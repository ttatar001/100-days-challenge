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d8bdafd43543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 i dziennik" sheetId="1" r:id="Rd572380f295f459c"/>
    <x:sheet xmlns:r="http://schemas.openxmlformats.org/officeDocument/2006/relationships" name="Posiłki" sheetId="2" r:id="Rdb70651524da4f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dd.mm.yyyy"/>
    <x:numFmt numFmtId="201" formatCode="0.0"/>
    <x:numFmt numFmtId="202" formatCode="dd.mm.yyyy hh:mm"/>
    <x:numFmt numFmtId="203" formatCode="0"/>
    <x:numFmt numFmtId="204" formatCode="hh:mm"/>
    <x:numFmt numFmtId="205" formatCode="0.00"/>
  </x:numFmts>
  <x:fonts count="5">
    <x:font>
      <x:sz val="11"/>
      <x:name val="Carlito"/>
    </x:font>
    <x:font>
      <x:sz val="11"/>
      <x:color rgb="FF263445"/>
      <x:name val="Arial"/>
    </x:font>
    <x:font>
      <x:b/>
      <x:sz val="16"/>
      <x:color rgb="FF24364B"/>
      <x:name val="Arial"/>
    </x:font>
    <x:font>
      <x:sz val="11"/>
      <x:color rgb="FF64748B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6DC"/>
      </x:patternFill>
    </x:fill>
    <x:fill>
      <x:patternFill patternType="solid">
        <x:fgColor rgb="FF24364B"/>
      </x:patternFill>
    </x:fill>
    <x:fill>
      <x:patternFill patternType="solid">
        <x:fgColor rgb="FFF1F4F8"/>
      </x:patternFill>
    </x:fill>
  </x:fills>
  <x:borders count="5">
    <x:border>
      <x:left/>
      <x:right/>
      <x:top/>
      <x:bottom/>
      <x:diagonal/>
    </x:border>
    <x:border>
      <x:left/>
      <x:right/>
      <x:top/>
      <x:bottom style="thin">
        <x:color rgb="FFCBD5E1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3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1" fontId="1" fillId="2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0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horizontal="center" vertical="center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4" fillId="3" borderId="2" xfId="0" applyNumberFormat="1" applyFont="1" applyFill="1" applyBorder="1" applyAlignment="1">
      <x:alignment horizontal="center" vertical="center" wrapText="1"/>
    </x:xf>
    <x:xf numFmtId="0" fontId="4" fillId="3" borderId="3" xfId="0" applyNumberFormat="1" applyFont="1" applyFill="1" applyBorder="1" applyAlignment="1">
      <x:alignment horizontal="center" vertical="center" wrapText="1"/>
    </x:xf>
    <x:xf numFmtId="0" fontId="4" fillId="3" borderId="4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2" fontId="1" fillId="4" borderId="0" xfId="0" applyNumberFormat="1" applyFont="1" applyFill="1" applyBorder="1" applyAlignment="1">
      <x:alignment vertical="center"/>
    </x:xf>
    <x:xf numFmtId="203" fontId="1" fillId="4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vertical="center"/>
    </x:xf>
    <x:xf numFmtId="202" fontId="1" fillId="4" borderId="0" xfId="0" applyNumberFormat="1" applyFont="1" applyFill="1" applyBorder="1" applyAlignment="1">
      <x:alignment horizontal="right" vertical="center"/>
    </x:xf>
    <x:xf numFmtId="203" fontId="1" fillId="4" borderId="0" xfId="0" applyNumberFormat="1" applyFont="1" applyFill="1" applyBorder="1" applyAlignment="1">
      <x:alignment horizontal="right" vertical="center"/>
    </x:xf>
    <x:xf numFmtId="201" fontId="1" fillId="4" borderId="0" xfId="0" applyNumberFormat="1" applyFont="1" applyFill="1" applyBorder="1" applyAlignment="1">
      <x:alignment horizontal="right" vertical="center"/>
    </x:xf>
    <x:xf numFmtId="203" fontId="1" fillId="2" borderId="0" xfId="0" applyNumberFormat="1" applyFont="1" applyFill="1" applyBorder="1" applyAlignment="1">
      <x:alignment vertical="center"/>
    </x:xf>
    <x:xf numFmtId="201" fontId="1" fillId="2" borderId="0" xfId="0" applyNumberFormat="1" applyFont="1" applyFill="1" applyBorder="1" applyAlignment="1">
      <x:alignment horizontal="right" vertical="center"/>
    </x:xf>
    <x:xf numFmtId="203" fontId="1" fillId="2" borderId="0" xfId="0" applyNumberFormat="1" applyFont="1" applyFill="1" applyBorder="1" applyAlignment="1">
      <x:alignment horizontal="right" vertical="center"/>
    </x:xf>
    <x:xf numFmtId="200" fontId="1" fillId="2" borderId="0" xfId="0" applyNumberFormat="1" applyFont="1" applyFill="1" applyBorder="1" applyAlignment="1">
      <x:alignment vertical="center" wrapText="1"/>
    </x:xf>
    <x:xf numFmtId="204" fontId="1" fillId="2" borderId="0" xfId="0" applyNumberFormat="1" applyFont="1" applyFill="1" applyBorder="1" applyAlignment="1">
      <x:alignment vertical="center"/>
    </x:xf>
    <x:xf numFmtId="205" fontId="1" fillId="2" borderId="0" xfId="0" applyNumberFormat="1" applyFont="1" applyFill="1" applyBorder="1" applyAlignment="1">
      <x:alignment vertical="center"/>
    </x:xf>
    <x:xf numFmtId="205" fontId="1" fillId="2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  <x:dxfs count="3">
    <x:dxf>
      <x:font>
        <x:b/>
        <x:color rgb="FF9A3412"/>
      </x:font>
      <x:fill>
        <x:patternFill>
          <x:bgColor rgb="FFFCE8DE"/>
        </x:patternFill>
      </x:fill>
    </x:dxf>
    <x:dxf>
      <x:font>
        <x:color rgb="FF9A3412"/>
      </x:font>
      <x:fill>
        <x:patternFill>
          <x:bgColor rgb="FFFCE8DE"/>
        </x:patternFill>
      </x:fill>
    </x:dxf>
    <x:dxf>
      <x:font>
        <x:b/>
        <x:color rgb="FF9A3412"/>
      </x:font>
      <x:fill>
        <x:patternFill>
          <x:bgColor rgb="FFFCE8D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21b8f2362f4c8e" /><Relationship Type="http://schemas.openxmlformats.org/officeDocument/2006/relationships/theme" Target="/xl/theme/theme1.xml" Id="Rb9c310e0fe1e43fb" /><Relationship Type="http://schemas.openxmlformats.org/officeDocument/2006/relationships/sharedStrings" Target="/xl/sharedStrings.xml" Id="R2eb238651cd84db3" /><Relationship Type="http://schemas.openxmlformats.org/officeDocument/2006/relationships/worksheet" Target="/xl/worksheets/sheet1.xml" Id="Rd572380f295f459c" /><Relationship Type="http://schemas.openxmlformats.org/officeDocument/2006/relationships/worksheet" Target="/xl/worksheets/sheet2.xml" Id="Rdb70651524da4f8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4364B"/>
  </x:sheetPr>
  <x:sheetViews>
    <x:sheetView showGridLines="0" workbookViewId="0">
      <x:pane xSplit="2" ySplit="11" topLeftCell="C12" activePane="bottomRight" state="frozen"/>
    </x:sheetView>
  </x:sheetViews>
  <x:sheetFormatPr defaultRowHeight="15"/>
  <x:cols>
    <x:col min="1" max="1" width="12.4399995803833" hidden="0" customWidth="1"/>
    <x:col min="2" max="2" width="8.4399995803833" hidden="0" customWidth="1"/>
    <x:col min="3" max="3" width="26.889999389648438" hidden="0" customWidth="1"/>
    <x:col min="4" max="4" width="21.110000610351562" hidden="0" customWidth="1"/>
    <x:col min="5" max="5" width="16.780000686645508" hidden="0" customWidth="1"/>
    <x:col min="6" max="6" width="10.670000076293945" hidden="0" customWidth="1"/>
    <x:col min="7" max="7" width="9.670000076293945" hidden="0" customWidth="1"/>
    <x:col min="8" max="8" width="9.670000076293945" hidden="0" customWidth="1"/>
    <x:col min="9" max="9" width="9.670000076293945" hidden="0" customWidth="1"/>
    <x:col min="10" max="10" width="11.670000076293945" hidden="0" customWidth="1"/>
    <x:col min="11" max="11" width="12.329999923706055" hidden="0" customWidth="1"/>
    <x:col min="12" max="12" width="12.329999923706055" hidden="0" customWidth="1"/>
    <x:col min="13" max="13" width="26.670000076293945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31" customHeight="1">
      <x:c r="A2" s="3" t="str">
        <x:v>Wyzwanie 100 DNI — draft v0.1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5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</x:row>
    <x:row r="4" ht="25" customHeight="1">
      <x:c r="A4" s="2" t="str">
        <x:v>Start (data)</x:v>
      </x:c>
      <x:c r="B4" s="6"/>
      <x:c r="C4" s="2"/>
      <x:c r="D4" s="2" t="str">
        <x:v>Cel masy (kg)</x:v>
      </x:c>
      <x:c r="E4" s="2"/>
      <x:c r="F4" s="7"/>
      <x:c r="G4" s="2"/>
      <x:c r="H4" s="2" t="str">
        <x:v>Strefa czasu</x:v>
      </x:c>
      <x:c r="I4" s="2"/>
      <x:c r="J4" s="2" t="str">
        <x:v>Europe/Warsaw</x:v>
      </x:c>
      <x:c r="K4" s="2"/>
      <x:c r="L4" s="2"/>
      <x:c r="M4" s="2"/>
    </x:row>
    <x:row r="5" ht="25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</x:row>
    <x:row r="6" ht="25" customHeight="1">
      <x:c r="A6" s="9" t="str">
        <x:v>Wpisz datę startu w B4. Żółte pola uzupełniamy; szare pola liczy arkusz. Dane i cel pozostają do ustalenia.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</x:row>
    <x:row r="7" ht="25" customHeight="1">
      <x:c r="A7" s="9" t="str">
        <x:v>Pt./sob. przed terminem NTFY: wybór pudełek na pon.–śr. Pon. wieczorem: obsada, treningi i jedzenie na czw.–niedz.</x:v>
      </x:c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</x:row>
    <x:row r="8" ht="25" customHeight="1">
      <x:c r="A8" s="9" t="str">
        <x:v>W zakładce Posiłki: 1 = jedna porcja bazowa. Puste „zjedzone” = brak raportu; 0 = pominięty posiłek.</x:v>
      </x:c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</x:row>
    <x:row r="9" ht="25" customHeight="1">
      <x:c r="A9" s="9" t="str">
        <x:v>Sumy zjedzone dotyczą zapisanych porcji. Brak makro jest widoczny. Cukry ogółem są częścią węglowodanów.</x:v>
      </x:c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</x:row>
    <x:row r="10" ht="25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</x:row>
    <x:row r="11" ht="49" customHeight="1">
      <x:c r="A11" s="14" t="str">
        <x:v>Data</x:v>
      </x:c>
      <x:c r="B11" s="15" t="str">
        <x:v>Dzień</x:v>
      </x:c>
      <x:c r="C11" s="15" t="str">
        <x:v>Obsada i plan treningów</x:v>
      </x:c>
      <x:c r="D11" s="15" t="str">
        <x:v>Wykonano: co i ile</x:v>
      </x:c>
      <x:c r="E11" s="15" t="str">
        <x:v>NTFY: wybór do</x:v>
      </x:c>
      <x:c r="F11" s="15" t="str">
        <x:v>kcal plan</x:v>
      </x:c>
      <x:c r="G11" s="15" t="str">
        <x:v>Białko plan (g)</x:v>
      </x:c>
      <x:c r="H11" s="15" t="str">
        <x:v>Węglow. plan (g)</x:v>
      </x:c>
      <x:c r="I11" s="15" t="str">
        <x:v>Tłuszcz plan (g)</x:v>
      </x:c>
      <x:c r="J11" s="15" t="str">
        <x:v>Cukry plan (g)</x:v>
      </x:c>
      <x:c r="K11" s="15" t="str">
        <x:v>kcal zjedzone (wpisy)</x:v>
      </x:c>
      <x:c r="L11" s="15" t="str">
        <x:v>Cukry zjedzone (g, wpisy)</x:v>
      </x:c>
      <x:c r="M11" s="16" t="str">
        <x:v>Uwagi</x:v>
      </x:c>
    </x:row>
    <x:row r="12" ht="25" customHeight="1">
      <x:c r="A12" s="19" t="str">
        <x:f>IF(ISNUMBER($B$4),$B$4+0,"")</x:f>
      </x:c>
      <x:c r="B12" s="2" t="str">
        <x:f>IF(A12="","",CHOOSE(WEEKDAY(A12,2),"pon.","wt.","śr.","czw.","pt.","sob.","niedz."))</x:f>
      </x:c>
      <x:c r="C12" s="18"/>
      <x:c r="D12" s="18"/>
      <x:c r="E12" s="23" t="str">
        <x:f>IF(A12="","",A12-2+16/24)</x:f>
      </x:c>
      <x:c r="F12" s="24" t="str">
        <x:f>IF($A12="","",IF(COUNTIFS('Posiłki'!$A$97:$A$696,$A12,'Posiłki'!$G$97:$G$696,"brak danych")&gt;0,"brak danych",IF(COUNTIFS('Posiłki'!$A$97:$A$696,$A12,'Posiłki'!$E$97:$E$696,"&lt;&gt;")=0,"",SUMIFS('Posiłki'!$G$97:$G$696,'Posiłki'!$A$97:$A$696,$A12))))</x:f>
      </x:c>
      <x:c r="G12" s="25" t="str">
        <x:f>IF($A12="","",IF(COUNTIFS('Posiłki'!$A$97:$A$696,$A12,'Posiłki'!$H$97:$H$696,"brak danych")&gt;0,"brak danych",IF(COUNTIFS('Posiłki'!$A$97:$A$696,$A12,'Posiłki'!$E$97:$E$696,"&lt;&gt;")=0,"",SUMIFS('Posiłki'!$H$97:$H$696,'Posiłki'!$A$97:$A$696,$A12))))</x:f>
      </x:c>
      <x:c r="H12" s="25" t="str">
        <x:f>IF($A12="","",IF(COUNTIFS('Posiłki'!$A$97:$A$696,$A12,'Posiłki'!$I$97:$I$696,"brak danych")&gt;0,"brak danych",IF(COUNTIFS('Posiłki'!$A$97:$A$696,$A12,'Posiłki'!$E$97:$E$696,"&lt;&gt;")=0,"",SUMIFS('Posiłki'!$I$97:$I$696,'Posiłki'!$A$97:$A$696,$A12))))</x:f>
      </x:c>
      <x:c r="I12" s="25" t="str">
        <x:f>IF($A12="","",IF(COUNTIFS('Posiłki'!$A$97:$A$696,$A12,'Posiłki'!$J$97:$J$696,"brak danych")&gt;0,"brak danych",IF(COUNTIFS('Posiłki'!$A$97:$A$696,$A12,'Posiłki'!$E$97:$E$696,"&lt;&gt;")=0,"",SUMIFS('Posiłki'!$J$97:$J$696,'Posiłki'!$A$97:$A$696,$A12))))</x:f>
      </x:c>
      <x:c r="J12" s="25" t="str">
        <x:f>IF($A12="","",IF(COUNTIFS('Posiłki'!$A$97:$A$696,$A12,'Posiłki'!$K$97:$K$696,"brak danych")&gt;0,"brak danych",IF(COUNTIFS('Posiłki'!$A$97:$A$696,$A12,'Posiłki'!$E$97:$E$696,"&lt;&gt;")=0,"",SUMIFS('Posiłki'!$K$97:$K$696,'Posiłki'!$A$97:$A$696,$A12))))</x:f>
      </x:c>
      <x:c r="K12" s="24" t="str">
        <x:f>IF($A12="","",IF(COUNTIFS('Posiłki'!$A$97:$A$696,$A12,'Posiłki'!$L$97:$L$696,"brak danych")&gt;0,"brak danych",IF(COUNTIFS('Posiłki'!$A$97:$A$696,$A12,'Posiłki'!$F$97:$F$696,"&lt;&gt;")=0,"",SUMIFS('Posiłki'!$L$97:$L$696,'Posiłki'!$A$97:$A$696,$A12))))</x:f>
      </x:c>
      <x:c r="L12" s="25" t="str">
        <x:f>IF($A12="","",IF(COUNTIFS('Posiłki'!$A$97:$A$696,$A12,'Posiłki'!$P$97:$P$696,"brak danych")&gt;0,"brak danych",IF(COUNTIFS('Posiłki'!$A$97:$A$696,$A12,'Posiłki'!$F$97:$F$696,"&lt;&gt;")=0,"",SUMIFS('Posiłki'!$P$97:$P$696,'Posiłki'!$A$97:$A$696,$A12))))</x:f>
      </x:c>
      <x:c r="M12" s="18"/>
    </x:row>
    <x:row r="13" ht="25" customHeight="1">
      <x:c r="A13" s="19" t="str">
        <x:f>IF(ISNUMBER($B$4),$B$4+1,"")</x:f>
      </x:c>
      <x:c r="B13" s="2" t="str">
        <x:f>IF(A13="","",CHOOSE(WEEKDAY(A13,2),"pon.","wt.","śr.","czw.","pt.","sob.","niedz."))</x:f>
      </x:c>
      <x:c r="C13" s="18"/>
      <x:c r="D13" s="18"/>
      <x:c r="E13" s="23" t="str">
        <x:f>IF(A13="","",A13-2+16/24)</x:f>
      </x:c>
      <x:c r="F13" s="24" t="str">
        <x:f>IF($A13="","",IF(COUNTIFS('Posiłki'!$A$97:$A$696,$A13,'Posiłki'!$G$97:$G$696,"brak danych")&gt;0,"brak danych",IF(COUNTIFS('Posiłki'!$A$97:$A$696,$A13,'Posiłki'!$E$97:$E$696,"&lt;&gt;")=0,"",SUMIFS('Posiłki'!$G$97:$G$696,'Posiłki'!$A$97:$A$696,$A13))))</x:f>
      </x:c>
      <x:c r="G13" s="25" t="str">
        <x:f>IF($A13="","",IF(COUNTIFS('Posiłki'!$A$97:$A$696,$A13,'Posiłki'!$H$97:$H$696,"brak danych")&gt;0,"brak danych",IF(COUNTIFS('Posiłki'!$A$97:$A$696,$A13,'Posiłki'!$E$97:$E$696,"&lt;&gt;")=0,"",SUMIFS('Posiłki'!$H$97:$H$696,'Posiłki'!$A$97:$A$696,$A13))))</x:f>
      </x:c>
      <x:c r="H13" s="25" t="str">
        <x:f>IF($A13="","",IF(COUNTIFS('Posiłki'!$A$97:$A$696,$A13,'Posiłki'!$I$97:$I$696,"brak danych")&gt;0,"brak danych",IF(COUNTIFS('Posiłki'!$A$97:$A$696,$A13,'Posiłki'!$E$97:$E$696,"&lt;&gt;")=0,"",SUMIFS('Posiłki'!$I$97:$I$696,'Posiłki'!$A$97:$A$696,$A13))))</x:f>
      </x:c>
      <x:c r="I13" s="25" t="str">
        <x:f>IF($A13="","",IF(COUNTIFS('Posiłki'!$A$97:$A$696,$A13,'Posiłki'!$J$97:$J$696,"brak danych")&gt;0,"brak danych",IF(COUNTIFS('Posiłki'!$A$97:$A$696,$A13,'Posiłki'!$E$97:$E$696,"&lt;&gt;")=0,"",SUMIFS('Posiłki'!$J$97:$J$696,'Posiłki'!$A$97:$A$696,$A13))))</x:f>
      </x:c>
      <x:c r="J13" s="25" t="str">
        <x:f>IF($A13="","",IF(COUNTIFS('Posiłki'!$A$97:$A$696,$A13,'Posiłki'!$K$97:$K$696,"brak danych")&gt;0,"brak danych",IF(COUNTIFS('Posiłki'!$A$97:$A$696,$A13,'Posiłki'!$E$97:$E$696,"&lt;&gt;")=0,"",SUMIFS('Posiłki'!$K$97:$K$696,'Posiłki'!$A$97:$A$696,$A13))))</x:f>
      </x:c>
      <x:c r="K13" s="24" t="str">
        <x:f>IF($A13="","",IF(COUNTIFS('Posiłki'!$A$97:$A$696,$A13,'Posiłki'!$L$97:$L$696,"brak danych")&gt;0,"brak danych",IF(COUNTIFS('Posiłki'!$A$97:$A$696,$A13,'Posiłki'!$F$97:$F$696,"&lt;&gt;")=0,"",SUMIFS('Posiłki'!$L$97:$L$696,'Posiłki'!$A$97:$A$696,$A13))))</x:f>
      </x:c>
      <x:c r="L13" s="25" t="str">
        <x:f>IF($A13="","",IF(COUNTIFS('Posiłki'!$A$97:$A$696,$A13,'Posiłki'!$P$97:$P$696,"brak danych")&gt;0,"brak danych",IF(COUNTIFS('Posiłki'!$A$97:$A$696,$A13,'Posiłki'!$F$97:$F$696,"&lt;&gt;")=0,"",SUMIFS('Posiłki'!$P$97:$P$696,'Posiłki'!$A$97:$A$696,$A13))))</x:f>
      </x:c>
      <x:c r="M13" s="18"/>
    </x:row>
    <x:row r="14" ht="25" customHeight="1">
      <x:c r="A14" s="19" t="str">
        <x:f>IF(ISNUMBER($B$4),$B$4+2,"")</x:f>
      </x:c>
      <x:c r="B14" s="2" t="str">
        <x:f>IF(A14="","",CHOOSE(WEEKDAY(A14,2),"pon.","wt.","śr.","czw.","pt.","sob.","niedz."))</x:f>
      </x:c>
      <x:c r="C14" s="18"/>
      <x:c r="D14" s="18"/>
      <x:c r="E14" s="23" t="str">
        <x:f>IF(A14="","",A14-2+16/24)</x:f>
      </x:c>
      <x:c r="F14" s="24" t="str">
        <x:f>IF($A14="","",IF(COUNTIFS('Posiłki'!$A$97:$A$696,$A14,'Posiłki'!$G$97:$G$696,"brak danych")&gt;0,"brak danych",IF(COUNTIFS('Posiłki'!$A$97:$A$696,$A14,'Posiłki'!$E$97:$E$696,"&lt;&gt;")=0,"",SUMIFS('Posiłki'!$G$97:$G$696,'Posiłki'!$A$97:$A$696,$A14))))</x:f>
      </x:c>
      <x:c r="G14" s="25" t="str">
        <x:f>IF($A14="","",IF(COUNTIFS('Posiłki'!$A$97:$A$696,$A14,'Posiłki'!$H$97:$H$696,"brak danych")&gt;0,"brak danych",IF(COUNTIFS('Posiłki'!$A$97:$A$696,$A14,'Posiłki'!$E$97:$E$696,"&lt;&gt;")=0,"",SUMIFS('Posiłki'!$H$97:$H$696,'Posiłki'!$A$97:$A$696,$A14))))</x:f>
      </x:c>
      <x:c r="H14" s="25" t="str">
        <x:f>IF($A14="","",IF(COUNTIFS('Posiłki'!$A$97:$A$696,$A14,'Posiłki'!$I$97:$I$696,"brak danych")&gt;0,"brak danych",IF(COUNTIFS('Posiłki'!$A$97:$A$696,$A14,'Posiłki'!$E$97:$E$696,"&lt;&gt;")=0,"",SUMIFS('Posiłki'!$I$97:$I$696,'Posiłki'!$A$97:$A$696,$A14))))</x:f>
      </x:c>
      <x:c r="I14" s="25" t="str">
        <x:f>IF($A14="","",IF(COUNTIFS('Posiłki'!$A$97:$A$696,$A14,'Posiłki'!$J$97:$J$696,"brak danych")&gt;0,"brak danych",IF(COUNTIFS('Posiłki'!$A$97:$A$696,$A14,'Posiłki'!$E$97:$E$696,"&lt;&gt;")=0,"",SUMIFS('Posiłki'!$J$97:$J$696,'Posiłki'!$A$97:$A$696,$A14))))</x:f>
      </x:c>
      <x:c r="J14" s="25" t="str">
        <x:f>IF($A14="","",IF(COUNTIFS('Posiłki'!$A$97:$A$696,$A14,'Posiłki'!$K$97:$K$696,"brak danych")&gt;0,"brak danych",IF(COUNTIFS('Posiłki'!$A$97:$A$696,$A14,'Posiłki'!$E$97:$E$696,"&lt;&gt;")=0,"",SUMIFS('Posiłki'!$K$97:$K$696,'Posiłki'!$A$97:$A$696,$A14))))</x:f>
      </x:c>
      <x:c r="K14" s="24" t="str">
        <x:f>IF($A14="","",IF(COUNTIFS('Posiłki'!$A$97:$A$696,$A14,'Posiłki'!$L$97:$L$696,"brak danych")&gt;0,"brak danych",IF(COUNTIFS('Posiłki'!$A$97:$A$696,$A14,'Posiłki'!$F$97:$F$696,"&lt;&gt;")=0,"",SUMIFS('Posiłki'!$L$97:$L$696,'Posiłki'!$A$97:$A$696,$A14))))</x:f>
      </x:c>
      <x:c r="L14" s="25" t="str">
        <x:f>IF($A14="","",IF(COUNTIFS('Posiłki'!$A$97:$A$696,$A14,'Posiłki'!$P$97:$P$696,"brak danych")&gt;0,"brak danych",IF(COUNTIFS('Posiłki'!$A$97:$A$696,$A14,'Posiłki'!$F$97:$F$696,"&lt;&gt;")=0,"",SUMIFS('Posiłki'!$P$97:$P$696,'Posiłki'!$A$97:$A$696,$A14))))</x:f>
      </x:c>
      <x:c r="M14" s="18"/>
    </x:row>
    <x:row r="15" ht="25" customHeight="1">
      <x:c r="A15" s="19" t="str">
        <x:f>IF(ISNUMBER($B$4),$B$4+3,"")</x:f>
      </x:c>
      <x:c r="B15" s="2" t="str">
        <x:f>IF(A15="","",CHOOSE(WEEKDAY(A15,2),"pon.","wt.","śr.","czw.","pt.","sob.","niedz."))</x:f>
      </x:c>
      <x:c r="C15" s="18"/>
      <x:c r="D15" s="18"/>
      <x:c r="E15" s="23" t="str">
        <x:f>IF(A15="","",A15-2+16/24)</x:f>
      </x:c>
      <x:c r="F15" s="24" t="str">
        <x:f>IF($A15="","",IF(COUNTIFS('Posiłki'!$A$97:$A$696,$A15,'Posiłki'!$G$97:$G$696,"brak danych")&gt;0,"brak danych",IF(COUNTIFS('Posiłki'!$A$97:$A$696,$A15,'Posiłki'!$E$97:$E$696,"&lt;&gt;")=0,"",SUMIFS('Posiłki'!$G$97:$G$696,'Posiłki'!$A$97:$A$696,$A15))))</x:f>
      </x:c>
      <x:c r="G15" s="25" t="str">
        <x:f>IF($A15="","",IF(COUNTIFS('Posiłki'!$A$97:$A$696,$A15,'Posiłki'!$H$97:$H$696,"brak danych")&gt;0,"brak danych",IF(COUNTIFS('Posiłki'!$A$97:$A$696,$A15,'Posiłki'!$E$97:$E$696,"&lt;&gt;")=0,"",SUMIFS('Posiłki'!$H$97:$H$696,'Posiłki'!$A$97:$A$696,$A15))))</x:f>
      </x:c>
      <x:c r="H15" s="25" t="str">
        <x:f>IF($A15="","",IF(COUNTIFS('Posiłki'!$A$97:$A$696,$A15,'Posiłki'!$I$97:$I$696,"brak danych")&gt;0,"brak danych",IF(COUNTIFS('Posiłki'!$A$97:$A$696,$A15,'Posiłki'!$E$97:$E$696,"&lt;&gt;")=0,"",SUMIFS('Posiłki'!$I$97:$I$696,'Posiłki'!$A$97:$A$696,$A15))))</x:f>
      </x:c>
      <x:c r="I15" s="25" t="str">
        <x:f>IF($A15="","",IF(COUNTIFS('Posiłki'!$A$97:$A$696,$A15,'Posiłki'!$J$97:$J$696,"brak danych")&gt;0,"brak danych",IF(COUNTIFS('Posiłki'!$A$97:$A$696,$A15,'Posiłki'!$E$97:$E$696,"&lt;&gt;")=0,"",SUMIFS('Posiłki'!$J$97:$J$696,'Posiłki'!$A$97:$A$696,$A15))))</x:f>
      </x:c>
      <x:c r="J15" s="25" t="str">
        <x:f>IF($A15="","",IF(COUNTIFS('Posiłki'!$A$97:$A$696,$A15,'Posiłki'!$K$97:$K$696,"brak danych")&gt;0,"brak danych",IF(COUNTIFS('Posiłki'!$A$97:$A$696,$A15,'Posiłki'!$E$97:$E$696,"&lt;&gt;")=0,"",SUMIFS('Posiłki'!$K$97:$K$696,'Posiłki'!$A$97:$A$696,$A15))))</x:f>
      </x:c>
      <x:c r="K15" s="24" t="str">
        <x:f>IF($A15="","",IF(COUNTIFS('Posiłki'!$A$97:$A$696,$A15,'Posiłki'!$L$97:$L$696,"brak danych")&gt;0,"brak danych",IF(COUNTIFS('Posiłki'!$A$97:$A$696,$A15,'Posiłki'!$F$97:$F$696,"&lt;&gt;")=0,"",SUMIFS('Posiłki'!$L$97:$L$696,'Posiłki'!$A$97:$A$696,$A15))))</x:f>
      </x:c>
      <x:c r="L15" s="25" t="str">
        <x:f>IF($A15="","",IF(COUNTIFS('Posiłki'!$A$97:$A$696,$A15,'Posiłki'!$P$97:$P$696,"brak danych")&gt;0,"brak danych",IF(COUNTIFS('Posiłki'!$A$97:$A$696,$A15,'Posiłki'!$F$97:$F$696,"&lt;&gt;")=0,"",SUMIFS('Posiłki'!$P$97:$P$696,'Posiłki'!$A$97:$A$696,$A15))))</x:f>
      </x:c>
      <x:c r="M15" s="18"/>
    </x:row>
    <x:row r="16" ht="25" customHeight="1">
      <x:c r="A16" s="19" t="str">
        <x:f>IF(ISNUMBER($B$4),$B$4+4,"")</x:f>
      </x:c>
      <x:c r="B16" s="2" t="str">
        <x:f>IF(A16="","",CHOOSE(WEEKDAY(A16,2),"pon.","wt.","śr.","czw.","pt.","sob.","niedz."))</x:f>
      </x:c>
      <x:c r="C16" s="18"/>
      <x:c r="D16" s="18"/>
      <x:c r="E16" s="23" t="str">
        <x:f>IF(A16="","",A16-2+16/24)</x:f>
      </x:c>
      <x:c r="F16" s="24" t="str">
        <x:f>IF($A16="","",IF(COUNTIFS('Posiłki'!$A$97:$A$696,$A16,'Posiłki'!$G$97:$G$696,"brak danych")&gt;0,"brak danych",IF(COUNTIFS('Posiłki'!$A$97:$A$696,$A16,'Posiłki'!$E$97:$E$696,"&lt;&gt;")=0,"",SUMIFS('Posiłki'!$G$97:$G$696,'Posiłki'!$A$97:$A$696,$A16))))</x:f>
      </x:c>
      <x:c r="G16" s="25" t="str">
        <x:f>IF($A16="","",IF(COUNTIFS('Posiłki'!$A$97:$A$696,$A16,'Posiłki'!$H$97:$H$696,"brak danych")&gt;0,"brak danych",IF(COUNTIFS('Posiłki'!$A$97:$A$696,$A16,'Posiłki'!$E$97:$E$696,"&lt;&gt;")=0,"",SUMIFS('Posiłki'!$H$97:$H$696,'Posiłki'!$A$97:$A$696,$A16))))</x:f>
      </x:c>
      <x:c r="H16" s="25" t="str">
        <x:f>IF($A16="","",IF(COUNTIFS('Posiłki'!$A$97:$A$696,$A16,'Posiłki'!$I$97:$I$696,"brak danych")&gt;0,"brak danych",IF(COUNTIFS('Posiłki'!$A$97:$A$696,$A16,'Posiłki'!$E$97:$E$696,"&lt;&gt;")=0,"",SUMIFS('Posiłki'!$I$97:$I$696,'Posiłki'!$A$97:$A$696,$A16))))</x:f>
      </x:c>
      <x:c r="I16" s="25" t="str">
        <x:f>IF($A16="","",IF(COUNTIFS('Posiłki'!$A$97:$A$696,$A16,'Posiłki'!$J$97:$J$696,"brak danych")&gt;0,"brak danych",IF(COUNTIFS('Posiłki'!$A$97:$A$696,$A16,'Posiłki'!$E$97:$E$696,"&lt;&gt;")=0,"",SUMIFS('Posiłki'!$J$97:$J$696,'Posiłki'!$A$97:$A$696,$A16))))</x:f>
      </x:c>
      <x:c r="J16" s="25" t="str">
        <x:f>IF($A16="","",IF(COUNTIFS('Posiłki'!$A$97:$A$696,$A16,'Posiłki'!$K$97:$K$696,"brak danych")&gt;0,"brak danych",IF(COUNTIFS('Posiłki'!$A$97:$A$696,$A16,'Posiłki'!$E$97:$E$696,"&lt;&gt;")=0,"",SUMIFS('Posiłki'!$K$97:$K$696,'Posiłki'!$A$97:$A$696,$A16))))</x:f>
      </x:c>
      <x:c r="K16" s="24" t="str">
        <x:f>IF($A16="","",IF(COUNTIFS('Posiłki'!$A$97:$A$696,$A16,'Posiłki'!$L$97:$L$696,"brak danych")&gt;0,"brak danych",IF(COUNTIFS('Posiłki'!$A$97:$A$696,$A16,'Posiłki'!$F$97:$F$696,"&lt;&gt;")=0,"",SUMIFS('Posiłki'!$L$97:$L$696,'Posiłki'!$A$97:$A$696,$A16))))</x:f>
      </x:c>
      <x:c r="L16" s="25" t="str">
        <x:f>IF($A16="","",IF(COUNTIFS('Posiłki'!$A$97:$A$696,$A16,'Posiłki'!$P$97:$P$696,"brak danych")&gt;0,"brak danych",IF(COUNTIFS('Posiłki'!$A$97:$A$696,$A16,'Posiłki'!$F$97:$F$696,"&lt;&gt;")=0,"",SUMIFS('Posiłki'!$P$97:$P$696,'Posiłki'!$A$97:$A$696,$A16))))</x:f>
      </x:c>
      <x:c r="M16" s="18"/>
    </x:row>
    <x:row r="17" ht="25" customHeight="1">
      <x:c r="A17" s="19" t="str">
        <x:f>IF(ISNUMBER($B$4),$B$4+5,"")</x:f>
      </x:c>
      <x:c r="B17" s="2" t="str">
        <x:f>IF(A17="","",CHOOSE(WEEKDAY(A17,2),"pon.","wt.","śr.","czw.","pt.","sob.","niedz."))</x:f>
      </x:c>
      <x:c r="C17" s="18"/>
      <x:c r="D17" s="18"/>
      <x:c r="E17" s="23" t="str">
        <x:f>IF(A17="","",A17-2+16/24)</x:f>
      </x:c>
      <x:c r="F17" s="24" t="str">
        <x:f>IF($A17="","",IF(COUNTIFS('Posiłki'!$A$97:$A$696,$A17,'Posiłki'!$G$97:$G$696,"brak danych")&gt;0,"brak danych",IF(COUNTIFS('Posiłki'!$A$97:$A$696,$A17,'Posiłki'!$E$97:$E$696,"&lt;&gt;")=0,"",SUMIFS('Posiłki'!$G$97:$G$696,'Posiłki'!$A$97:$A$696,$A17))))</x:f>
      </x:c>
      <x:c r="G17" s="25" t="str">
        <x:f>IF($A17="","",IF(COUNTIFS('Posiłki'!$A$97:$A$696,$A17,'Posiłki'!$H$97:$H$696,"brak danych")&gt;0,"brak danych",IF(COUNTIFS('Posiłki'!$A$97:$A$696,$A17,'Posiłki'!$E$97:$E$696,"&lt;&gt;")=0,"",SUMIFS('Posiłki'!$H$97:$H$696,'Posiłki'!$A$97:$A$696,$A17))))</x:f>
      </x:c>
      <x:c r="H17" s="25" t="str">
        <x:f>IF($A17="","",IF(COUNTIFS('Posiłki'!$A$97:$A$696,$A17,'Posiłki'!$I$97:$I$696,"brak danych")&gt;0,"brak danych",IF(COUNTIFS('Posiłki'!$A$97:$A$696,$A17,'Posiłki'!$E$97:$E$696,"&lt;&gt;")=0,"",SUMIFS('Posiłki'!$I$97:$I$696,'Posiłki'!$A$97:$A$696,$A17))))</x:f>
      </x:c>
      <x:c r="I17" s="25" t="str">
        <x:f>IF($A17="","",IF(COUNTIFS('Posiłki'!$A$97:$A$696,$A17,'Posiłki'!$J$97:$J$696,"brak danych")&gt;0,"brak danych",IF(COUNTIFS('Posiłki'!$A$97:$A$696,$A17,'Posiłki'!$E$97:$E$696,"&lt;&gt;")=0,"",SUMIFS('Posiłki'!$J$97:$J$696,'Posiłki'!$A$97:$A$696,$A17))))</x:f>
      </x:c>
      <x:c r="J17" s="25" t="str">
        <x:f>IF($A17="","",IF(COUNTIFS('Posiłki'!$A$97:$A$696,$A17,'Posiłki'!$K$97:$K$696,"brak danych")&gt;0,"brak danych",IF(COUNTIFS('Posiłki'!$A$97:$A$696,$A17,'Posiłki'!$E$97:$E$696,"&lt;&gt;")=0,"",SUMIFS('Posiłki'!$K$97:$K$696,'Posiłki'!$A$97:$A$696,$A17))))</x:f>
      </x:c>
      <x:c r="K17" s="24" t="str">
        <x:f>IF($A17="","",IF(COUNTIFS('Posiłki'!$A$97:$A$696,$A17,'Posiłki'!$L$97:$L$696,"brak danych")&gt;0,"brak danych",IF(COUNTIFS('Posiłki'!$A$97:$A$696,$A17,'Posiłki'!$F$97:$F$696,"&lt;&gt;")=0,"",SUMIFS('Posiłki'!$L$97:$L$696,'Posiłki'!$A$97:$A$696,$A17))))</x:f>
      </x:c>
      <x:c r="L17" s="25" t="str">
        <x:f>IF($A17="","",IF(COUNTIFS('Posiłki'!$A$97:$A$696,$A17,'Posiłki'!$P$97:$P$696,"brak danych")&gt;0,"brak danych",IF(COUNTIFS('Posiłki'!$A$97:$A$696,$A17,'Posiłki'!$F$97:$F$696,"&lt;&gt;")=0,"",SUMIFS('Posiłki'!$P$97:$P$696,'Posiłki'!$A$97:$A$696,$A17))))</x:f>
      </x:c>
      <x:c r="M17" s="18"/>
    </x:row>
    <x:row r="18" ht="25" customHeight="1">
      <x:c r="A18" s="19" t="str">
        <x:f>IF(ISNUMBER($B$4),$B$4+6,"")</x:f>
      </x:c>
      <x:c r="B18" s="2" t="str">
        <x:f>IF(A18="","",CHOOSE(WEEKDAY(A18,2),"pon.","wt.","śr.","czw.","pt.","sob.","niedz."))</x:f>
      </x:c>
      <x:c r="C18" s="18"/>
      <x:c r="D18" s="18"/>
      <x:c r="E18" s="23" t="str">
        <x:f>IF(A18="","",A18-2+16/24)</x:f>
      </x:c>
      <x:c r="F18" s="24" t="str">
        <x:f>IF($A18="","",IF(COUNTIFS('Posiłki'!$A$97:$A$696,$A18,'Posiłki'!$G$97:$G$696,"brak danych")&gt;0,"brak danych",IF(COUNTIFS('Posiłki'!$A$97:$A$696,$A18,'Posiłki'!$E$97:$E$696,"&lt;&gt;")=0,"",SUMIFS('Posiłki'!$G$97:$G$696,'Posiłki'!$A$97:$A$696,$A18))))</x:f>
      </x:c>
      <x:c r="G18" s="25" t="str">
        <x:f>IF($A18="","",IF(COUNTIFS('Posiłki'!$A$97:$A$696,$A18,'Posiłki'!$H$97:$H$696,"brak danych")&gt;0,"brak danych",IF(COUNTIFS('Posiłki'!$A$97:$A$696,$A18,'Posiłki'!$E$97:$E$696,"&lt;&gt;")=0,"",SUMIFS('Posiłki'!$H$97:$H$696,'Posiłki'!$A$97:$A$696,$A18))))</x:f>
      </x:c>
      <x:c r="H18" s="25" t="str">
        <x:f>IF($A18="","",IF(COUNTIFS('Posiłki'!$A$97:$A$696,$A18,'Posiłki'!$I$97:$I$696,"brak danych")&gt;0,"brak danych",IF(COUNTIFS('Posiłki'!$A$97:$A$696,$A18,'Posiłki'!$E$97:$E$696,"&lt;&gt;")=0,"",SUMIFS('Posiłki'!$I$97:$I$696,'Posiłki'!$A$97:$A$696,$A18))))</x:f>
      </x:c>
      <x:c r="I18" s="25" t="str">
        <x:f>IF($A18="","",IF(COUNTIFS('Posiłki'!$A$97:$A$696,$A18,'Posiłki'!$J$97:$J$696,"brak danych")&gt;0,"brak danych",IF(COUNTIFS('Posiłki'!$A$97:$A$696,$A18,'Posiłki'!$E$97:$E$696,"&lt;&gt;")=0,"",SUMIFS('Posiłki'!$J$97:$J$696,'Posiłki'!$A$97:$A$696,$A18))))</x:f>
      </x:c>
      <x:c r="J18" s="25" t="str">
        <x:f>IF($A18="","",IF(COUNTIFS('Posiłki'!$A$97:$A$696,$A18,'Posiłki'!$K$97:$K$696,"brak danych")&gt;0,"brak danych",IF(COUNTIFS('Posiłki'!$A$97:$A$696,$A18,'Posiłki'!$E$97:$E$696,"&lt;&gt;")=0,"",SUMIFS('Posiłki'!$K$97:$K$696,'Posiłki'!$A$97:$A$696,$A18))))</x:f>
      </x:c>
      <x:c r="K18" s="24" t="str">
        <x:f>IF($A18="","",IF(COUNTIFS('Posiłki'!$A$97:$A$696,$A18,'Posiłki'!$L$97:$L$696,"brak danych")&gt;0,"brak danych",IF(COUNTIFS('Posiłki'!$A$97:$A$696,$A18,'Posiłki'!$F$97:$F$696,"&lt;&gt;")=0,"",SUMIFS('Posiłki'!$L$97:$L$696,'Posiłki'!$A$97:$A$696,$A18))))</x:f>
      </x:c>
      <x:c r="L18" s="25" t="str">
        <x:f>IF($A18="","",IF(COUNTIFS('Posiłki'!$A$97:$A$696,$A18,'Posiłki'!$P$97:$P$696,"brak danych")&gt;0,"brak danych",IF(COUNTIFS('Posiłki'!$A$97:$A$696,$A18,'Posiłki'!$F$97:$F$696,"&lt;&gt;")=0,"",SUMIFS('Posiłki'!$P$97:$P$696,'Posiłki'!$A$97:$A$696,$A18))))</x:f>
      </x:c>
      <x:c r="M18" s="18"/>
    </x:row>
    <x:row r="19" ht="25" customHeight="1">
      <x:c r="A19" s="19" t="str">
        <x:f>IF(ISNUMBER($B$4),$B$4+7,"")</x:f>
      </x:c>
      <x:c r="B19" s="2" t="str">
        <x:f>IF(A19="","",CHOOSE(WEEKDAY(A19,2),"pon.","wt.","śr.","czw.","pt.","sob.","niedz."))</x:f>
      </x:c>
      <x:c r="C19" s="18"/>
      <x:c r="D19" s="18"/>
      <x:c r="E19" s="23" t="str">
        <x:f>IF(A19="","",A19-2+16/24)</x:f>
      </x:c>
      <x:c r="F19" s="24" t="str">
        <x:f>IF($A19="","",IF(COUNTIFS('Posiłki'!$A$97:$A$696,$A19,'Posiłki'!$G$97:$G$696,"brak danych")&gt;0,"brak danych",IF(COUNTIFS('Posiłki'!$A$97:$A$696,$A19,'Posiłki'!$E$97:$E$696,"&lt;&gt;")=0,"",SUMIFS('Posiłki'!$G$97:$G$696,'Posiłki'!$A$97:$A$696,$A19))))</x:f>
      </x:c>
      <x:c r="G19" s="25" t="str">
        <x:f>IF($A19="","",IF(COUNTIFS('Posiłki'!$A$97:$A$696,$A19,'Posiłki'!$H$97:$H$696,"brak danych")&gt;0,"brak danych",IF(COUNTIFS('Posiłki'!$A$97:$A$696,$A19,'Posiłki'!$E$97:$E$696,"&lt;&gt;")=0,"",SUMIFS('Posiłki'!$H$97:$H$696,'Posiłki'!$A$97:$A$696,$A19))))</x:f>
      </x:c>
      <x:c r="H19" s="25" t="str">
        <x:f>IF($A19="","",IF(COUNTIFS('Posiłki'!$A$97:$A$696,$A19,'Posiłki'!$I$97:$I$696,"brak danych")&gt;0,"brak danych",IF(COUNTIFS('Posiłki'!$A$97:$A$696,$A19,'Posiłki'!$E$97:$E$696,"&lt;&gt;")=0,"",SUMIFS('Posiłki'!$I$97:$I$696,'Posiłki'!$A$97:$A$696,$A19))))</x:f>
      </x:c>
      <x:c r="I19" s="25" t="str">
        <x:f>IF($A19="","",IF(COUNTIFS('Posiłki'!$A$97:$A$696,$A19,'Posiłki'!$J$97:$J$696,"brak danych")&gt;0,"brak danych",IF(COUNTIFS('Posiłki'!$A$97:$A$696,$A19,'Posiłki'!$E$97:$E$696,"&lt;&gt;")=0,"",SUMIFS('Posiłki'!$J$97:$J$696,'Posiłki'!$A$97:$A$696,$A19))))</x:f>
      </x:c>
      <x:c r="J19" s="25" t="str">
        <x:f>IF($A19="","",IF(COUNTIFS('Posiłki'!$A$97:$A$696,$A19,'Posiłki'!$K$97:$K$696,"brak danych")&gt;0,"brak danych",IF(COUNTIFS('Posiłki'!$A$97:$A$696,$A19,'Posiłki'!$E$97:$E$696,"&lt;&gt;")=0,"",SUMIFS('Posiłki'!$K$97:$K$696,'Posiłki'!$A$97:$A$696,$A19))))</x:f>
      </x:c>
      <x:c r="K19" s="24" t="str">
        <x:f>IF($A19="","",IF(COUNTIFS('Posiłki'!$A$97:$A$696,$A19,'Posiłki'!$L$97:$L$696,"brak danych")&gt;0,"brak danych",IF(COUNTIFS('Posiłki'!$A$97:$A$696,$A19,'Posiłki'!$F$97:$F$696,"&lt;&gt;")=0,"",SUMIFS('Posiłki'!$L$97:$L$696,'Posiłki'!$A$97:$A$696,$A19))))</x:f>
      </x:c>
      <x:c r="L19" s="25" t="str">
        <x:f>IF($A19="","",IF(COUNTIFS('Posiłki'!$A$97:$A$696,$A19,'Posiłki'!$P$97:$P$696,"brak danych")&gt;0,"brak danych",IF(COUNTIFS('Posiłki'!$A$97:$A$696,$A19,'Posiłki'!$F$97:$F$696,"&lt;&gt;")=0,"",SUMIFS('Posiłki'!$P$97:$P$696,'Posiłki'!$A$97:$A$696,$A19))))</x:f>
      </x:c>
      <x:c r="M19" s="18"/>
    </x:row>
    <x:row r="20" ht="25" customHeight="1">
      <x:c r="A20" s="19" t="str">
        <x:f>IF(ISNUMBER($B$4),$B$4+8,"")</x:f>
      </x:c>
      <x:c r="B20" s="2" t="str">
        <x:f>IF(A20="","",CHOOSE(WEEKDAY(A20,2),"pon.","wt.","śr.","czw.","pt.","sob.","niedz."))</x:f>
      </x:c>
      <x:c r="C20" s="18"/>
      <x:c r="D20" s="18"/>
      <x:c r="E20" s="23" t="str">
        <x:f>IF(A20="","",A20-2+16/24)</x:f>
      </x:c>
      <x:c r="F20" s="24" t="str">
        <x:f>IF($A20="","",IF(COUNTIFS('Posiłki'!$A$97:$A$696,$A20,'Posiłki'!$G$97:$G$696,"brak danych")&gt;0,"brak danych",IF(COUNTIFS('Posiłki'!$A$97:$A$696,$A20,'Posiłki'!$E$97:$E$696,"&lt;&gt;")=0,"",SUMIFS('Posiłki'!$G$97:$G$696,'Posiłki'!$A$97:$A$696,$A20))))</x:f>
      </x:c>
      <x:c r="G20" s="25" t="str">
        <x:f>IF($A20="","",IF(COUNTIFS('Posiłki'!$A$97:$A$696,$A20,'Posiłki'!$H$97:$H$696,"brak danych")&gt;0,"brak danych",IF(COUNTIFS('Posiłki'!$A$97:$A$696,$A20,'Posiłki'!$E$97:$E$696,"&lt;&gt;")=0,"",SUMIFS('Posiłki'!$H$97:$H$696,'Posiłki'!$A$97:$A$696,$A20))))</x:f>
      </x:c>
      <x:c r="H20" s="25" t="str">
        <x:f>IF($A20="","",IF(COUNTIFS('Posiłki'!$A$97:$A$696,$A20,'Posiłki'!$I$97:$I$696,"brak danych")&gt;0,"brak danych",IF(COUNTIFS('Posiłki'!$A$97:$A$696,$A20,'Posiłki'!$E$97:$E$696,"&lt;&gt;")=0,"",SUMIFS('Posiłki'!$I$97:$I$696,'Posiłki'!$A$97:$A$696,$A20))))</x:f>
      </x:c>
      <x:c r="I20" s="25" t="str">
        <x:f>IF($A20="","",IF(COUNTIFS('Posiłki'!$A$97:$A$696,$A20,'Posiłki'!$J$97:$J$696,"brak danych")&gt;0,"brak danych",IF(COUNTIFS('Posiłki'!$A$97:$A$696,$A20,'Posiłki'!$E$97:$E$696,"&lt;&gt;")=0,"",SUMIFS('Posiłki'!$J$97:$J$696,'Posiłki'!$A$97:$A$696,$A20))))</x:f>
      </x:c>
      <x:c r="J20" s="25" t="str">
        <x:f>IF($A20="","",IF(COUNTIFS('Posiłki'!$A$97:$A$696,$A20,'Posiłki'!$K$97:$K$696,"brak danych")&gt;0,"brak danych",IF(COUNTIFS('Posiłki'!$A$97:$A$696,$A20,'Posiłki'!$E$97:$E$696,"&lt;&gt;")=0,"",SUMIFS('Posiłki'!$K$97:$K$696,'Posiłki'!$A$97:$A$696,$A20))))</x:f>
      </x:c>
      <x:c r="K20" s="24" t="str">
        <x:f>IF($A20="","",IF(COUNTIFS('Posiłki'!$A$97:$A$696,$A20,'Posiłki'!$L$97:$L$696,"brak danych")&gt;0,"brak danych",IF(COUNTIFS('Posiłki'!$A$97:$A$696,$A20,'Posiłki'!$F$97:$F$696,"&lt;&gt;")=0,"",SUMIFS('Posiłki'!$L$97:$L$696,'Posiłki'!$A$97:$A$696,$A20))))</x:f>
      </x:c>
      <x:c r="L20" s="25" t="str">
        <x:f>IF($A20="","",IF(COUNTIFS('Posiłki'!$A$97:$A$696,$A20,'Posiłki'!$P$97:$P$696,"brak danych")&gt;0,"brak danych",IF(COUNTIFS('Posiłki'!$A$97:$A$696,$A20,'Posiłki'!$F$97:$F$696,"&lt;&gt;")=0,"",SUMIFS('Posiłki'!$P$97:$P$696,'Posiłki'!$A$97:$A$696,$A20))))</x:f>
      </x:c>
      <x:c r="M20" s="18"/>
    </x:row>
    <x:row r="21" ht="25" customHeight="1">
      <x:c r="A21" s="19" t="str">
        <x:f>IF(ISNUMBER($B$4),$B$4+9,"")</x:f>
      </x:c>
      <x:c r="B21" s="2" t="str">
        <x:f>IF(A21="","",CHOOSE(WEEKDAY(A21,2),"pon.","wt.","śr.","czw.","pt.","sob.","niedz."))</x:f>
      </x:c>
      <x:c r="C21" s="18"/>
      <x:c r="D21" s="18"/>
      <x:c r="E21" s="23" t="str">
        <x:f>IF(A21="","",A21-2+16/24)</x:f>
      </x:c>
      <x:c r="F21" s="24" t="str">
        <x:f>IF($A21="","",IF(COUNTIFS('Posiłki'!$A$97:$A$696,$A21,'Posiłki'!$G$97:$G$696,"brak danych")&gt;0,"brak danych",IF(COUNTIFS('Posiłki'!$A$97:$A$696,$A21,'Posiłki'!$E$97:$E$696,"&lt;&gt;")=0,"",SUMIFS('Posiłki'!$G$97:$G$696,'Posiłki'!$A$97:$A$696,$A21))))</x:f>
      </x:c>
      <x:c r="G21" s="25" t="str">
        <x:f>IF($A21="","",IF(COUNTIFS('Posiłki'!$A$97:$A$696,$A21,'Posiłki'!$H$97:$H$696,"brak danych")&gt;0,"brak danych",IF(COUNTIFS('Posiłki'!$A$97:$A$696,$A21,'Posiłki'!$E$97:$E$696,"&lt;&gt;")=0,"",SUMIFS('Posiłki'!$H$97:$H$696,'Posiłki'!$A$97:$A$696,$A21))))</x:f>
      </x:c>
      <x:c r="H21" s="25" t="str">
        <x:f>IF($A21="","",IF(COUNTIFS('Posiłki'!$A$97:$A$696,$A21,'Posiłki'!$I$97:$I$696,"brak danych")&gt;0,"brak danych",IF(COUNTIFS('Posiłki'!$A$97:$A$696,$A21,'Posiłki'!$E$97:$E$696,"&lt;&gt;")=0,"",SUMIFS('Posiłki'!$I$97:$I$696,'Posiłki'!$A$97:$A$696,$A21))))</x:f>
      </x:c>
      <x:c r="I21" s="25" t="str">
        <x:f>IF($A21="","",IF(COUNTIFS('Posiłki'!$A$97:$A$696,$A21,'Posiłki'!$J$97:$J$696,"brak danych")&gt;0,"brak danych",IF(COUNTIFS('Posiłki'!$A$97:$A$696,$A21,'Posiłki'!$E$97:$E$696,"&lt;&gt;")=0,"",SUMIFS('Posiłki'!$J$97:$J$696,'Posiłki'!$A$97:$A$696,$A21))))</x:f>
      </x:c>
      <x:c r="J21" s="25" t="str">
        <x:f>IF($A21="","",IF(COUNTIFS('Posiłki'!$A$97:$A$696,$A21,'Posiłki'!$K$97:$K$696,"brak danych")&gt;0,"brak danych",IF(COUNTIFS('Posiłki'!$A$97:$A$696,$A21,'Posiłki'!$E$97:$E$696,"&lt;&gt;")=0,"",SUMIFS('Posiłki'!$K$97:$K$696,'Posiłki'!$A$97:$A$696,$A21))))</x:f>
      </x:c>
      <x:c r="K21" s="24" t="str">
        <x:f>IF($A21="","",IF(COUNTIFS('Posiłki'!$A$97:$A$696,$A21,'Posiłki'!$L$97:$L$696,"brak danych")&gt;0,"brak danych",IF(COUNTIFS('Posiłki'!$A$97:$A$696,$A21,'Posiłki'!$F$97:$F$696,"&lt;&gt;")=0,"",SUMIFS('Posiłki'!$L$97:$L$696,'Posiłki'!$A$97:$A$696,$A21))))</x:f>
      </x:c>
      <x:c r="L21" s="25" t="str">
        <x:f>IF($A21="","",IF(COUNTIFS('Posiłki'!$A$97:$A$696,$A21,'Posiłki'!$P$97:$P$696,"brak danych")&gt;0,"brak danych",IF(COUNTIFS('Posiłki'!$A$97:$A$696,$A21,'Posiłki'!$F$97:$F$696,"&lt;&gt;")=0,"",SUMIFS('Posiłki'!$P$97:$P$696,'Posiłki'!$A$97:$A$696,$A21))))</x:f>
      </x:c>
      <x:c r="M21" s="18"/>
    </x:row>
    <x:row r="22" ht="25" customHeight="1">
      <x:c r="A22" s="19" t="str">
        <x:f>IF(ISNUMBER($B$4),$B$4+10,"")</x:f>
      </x:c>
      <x:c r="B22" s="2" t="str">
        <x:f>IF(A22="","",CHOOSE(WEEKDAY(A22,2),"pon.","wt.","śr.","czw.","pt.","sob.","niedz."))</x:f>
      </x:c>
      <x:c r="C22" s="18"/>
      <x:c r="D22" s="18"/>
      <x:c r="E22" s="23" t="str">
        <x:f>IF(A22="","",A22-2+16/24)</x:f>
      </x:c>
      <x:c r="F22" s="24" t="str">
        <x:f>IF($A22="","",IF(COUNTIFS('Posiłki'!$A$97:$A$696,$A22,'Posiłki'!$G$97:$G$696,"brak danych")&gt;0,"brak danych",IF(COUNTIFS('Posiłki'!$A$97:$A$696,$A22,'Posiłki'!$E$97:$E$696,"&lt;&gt;")=0,"",SUMIFS('Posiłki'!$G$97:$G$696,'Posiłki'!$A$97:$A$696,$A22))))</x:f>
      </x:c>
      <x:c r="G22" s="25" t="str">
        <x:f>IF($A22="","",IF(COUNTIFS('Posiłki'!$A$97:$A$696,$A22,'Posiłki'!$H$97:$H$696,"brak danych")&gt;0,"brak danych",IF(COUNTIFS('Posiłki'!$A$97:$A$696,$A22,'Posiłki'!$E$97:$E$696,"&lt;&gt;")=0,"",SUMIFS('Posiłki'!$H$97:$H$696,'Posiłki'!$A$97:$A$696,$A22))))</x:f>
      </x:c>
      <x:c r="H22" s="25" t="str">
        <x:f>IF($A22="","",IF(COUNTIFS('Posiłki'!$A$97:$A$696,$A22,'Posiłki'!$I$97:$I$696,"brak danych")&gt;0,"brak danych",IF(COUNTIFS('Posiłki'!$A$97:$A$696,$A22,'Posiłki'!$E$97:$E$696,"&lt;&gt;")=0,"",SUMIFS('Posiłki'!$I$97:$I$696,'Posiłki'!$A$97:$A$696,$A22))))</x:f>
      </x:c>
      <x:c r="I22" s="25" t="str">
        <x:f>IF($A22="","",IF(COUNTIFS('Posiłki'!$A$97:$A$696,$A22,'Posiłki'!$J$97:$J$696,"brak danych")&gt;0,"brak danych",IF(COUNTIFS('Posiłki'!$A$97:$A$696,$A22,'Posiłki'!$E$97:$E$696,"&lt;&gt;")=0,"",SUMIFS('Posiłki'!$J$97:$J$696,'Posiłki'!$A$97:$A$696,$A22))))</x:f>
      </x:c>
      <x:c r="J22" s="25" t="str">
        <x:f>IF($A22="","",IF(COUNTIFS('Posiłki'!$A$97:$A$696,$A22,'Posiłki'!$K$97:$K$696,"brak danych")&gt;0,"brak danych",IF(COUNTIFS('Posiłki'!$A$97:$A$696,$A22,'Posiłki'!$E$97:$E$696,"&lt;&gt;")=0,"",SUMIFS('Posiłki'!$K$97:$K$696,'Posiłki'!$A$97:$A$696,$A22))))</x:f>
      </x:c>
      <x:c r="K22" s="24" t="str">
        <x:f>IF($A22="","",IF(COUNTIFS('Posiłki'!$A$97:$A$696,$A22,'Posiłki'!$L$97:$L$696,"brak danych")&gt;0,"brak danych",IF(COUNTIFS('Posiłki'!$A$97:$A$696,$A22,'Posiłki'!$F$97:$F$696,"&lt;&gt;")=0,"",SUMIFS('Posiłki'!$L$97:$L$696,'Posiłki'!$A$97:$A$696,$A22))))</x:f>
      </x:c>
      <x:c r="L22" s="25" t="str">
        <x:f>IF($A22="","",IF(COUNTIFS('Posiłki'!$A$97:$A$696,$A22,'Posiłki'!$P$97:$P$696,"brak danych")&gt;0,"brak danych",IF(COUNTIFS('Posiłki'!$A$97:$A$696,$A22,'Posiłki'!$F$97:$F$696,"&lt;&gt;")=0,"",SUMIFS('Posiłki'!$P$97:$P$696,'Posiłki'!$A$97:$A$696,$A22))))</x:f>
      </x:c>
      <x:c r="M22" s="18"/>
    </x:row>
    <x:row r="23" ht="25" customHeight="1">
      <x:c r="A23" s="19" t="str">
        <x:f>IF(ISNUMBER($B$4),$B$4+11,"")</x:f>
      </x:c>
      <x:c r="B23" s="2" t="str">
        <x:f>IF(A23="","",CHOOSE(WEEKDAY(A23,2),"pon.","wt.","śr.","czw.","pt.","sob.","niedz."))</x:f>
      </x:c>
      <x:c r="C23" s="18"/>
      <x:c r="D23" s="18"/>
      <x:c r="E23" s="23" t="str">
        <x:f>IF(A23="","",A23-2+16/24)</x:f>
      </x:c>
      <x:c r="F23" s="24" t="str">
        <x:f>IF($A23="","",IF(COUNTIFS('Posiłki'!$A$97:$A$696,$A23,'Posiłki'!$G$97:$G$696,"brak danych")&gt;0,"brak danych",IF(COUNTIFS('Posiłki'!$A$97:$A$696,$A23,'Posiłki'!$E$97:$E$696,"&lt;&gt;")=0,"",SUMIFS('Posiłki'!$G$97:$G$696,'Posiłki'!$A$97:$A$696,$A23))))</x:f>
      </x:c>
      <x:c r="G23" s="25" t="str">
        <x:f>IF($A23="","",IF(COUNTIFS('Posiłki'!$A$97:$A$696,$A23,'Posiłki'!$H$97:$H$696,"brak danych")&gt;0,"brak danych",IF(COUNTIFS('Posiłki'!$A$97:$A$696,$A23,'Posiłki'!$E$97:$E$696,"&lt;&gt;")=0,"",SUMIFS('Posiłki'!$H$97:$H$696,'Posiłki'!$A$97:$A$696,$A23))))</x:f>
      </x:c>
      <x:c r="H23" s="25" t="str">
        <x:f>IF($A23="","",IF(COUNTIFS('Posiłki'!$A$97:$A$696,$A23,'Posiłki'!$I$97:$I$696,"brak danych")&gt;0,"brak danych",IF(COUNTIFS('Posiłki'!$A$97:$A$696,$A23,'Posiłki'!$E$97:$E$696,"&lt;&gt;")=0,"",SUMIFS('Posiłki'!$I$97:$I$696,'Posiłki'!$A$97:$A$696,$A23))))</x:f>
      </x:c>
      <x:c r="I23" s="25" t="str">
        <x:f>IF($A23="","",IF(COUNTIFS('Posiłki'!$A$97:$A$696,$A23,'Posiłki'!$J$97:$J$696,"brak danych")&gt;0,"brak danych",IF(COUNTIFS('Posiłki'!$A$97:$A$696,$A23,'Posiłki'!$E$97:$E$696,"&lt;&gt;")=0,"",SUMIFS('Posiłki'!$J$97:$J$696,'Posiłki'!$A$97:$A$696,$A23))))</x:f>
      </x:c>
      <x:c r="J23" s="25" t="str">
        <x:f>IF($A23="","",IF(COUNTIFS('Posiłki'!$A$97:$A$696,$A23,'Posiłki'!$K$97:$K$696,"brak danych")&gt;0,"brak danych",IF(COUNTIFS('Posiłki'!$A$97:$A$696,$A23,'Posiłki'!$E$97:$E$696,"&lt;&gt;")=0,"",SUMIFS('Posiłki'!$K$97:$K$696,'Posiłki'!$A$97:$A$696,$A23))))</x:f>
      </x:c>
      <x:c r="K23" s="24" t="str">
        <x:f>IF($A23="","",IF(COUNTIFS('Posiłki'!$A$97:$A$696,$A23,'Posiłki'!$L$97:$L$696,"brak danych")&gt;0,"brak danych",IF(COUNTIFS('Posiłki'!$A$97:$A$696,$A23,'Posiłki'!$F$97:$F$696,"&lt;&gt;")=0,"",SUMIFS('Posiłki'!$L$97:$L$696,'Posiłki'!$A$97:$A$696,$A23))))</x:f>
      </x:c>
      <x:c r="L23" s="25" t="str">
        <x:f>IF($A23="","",IF(COUNTIFS('Posiłki'!$A$97:$A$696,$A23,'Posiłki'!$P$97:$P$696,"brak danych")&gt;0,"brak danych",IF(COUNTIFS('Posiłki'!$A$97:$A$696,$A23,'Posiłki'!$F$97:$F$696,"&lt;&gt;")=0,"",SUMIFS('Posiłki'!$P$97:$P$696,'Posiłki'!$A$97:$A$696,$A23))))</x:f>
      </x:c>
      <x:c r="M23" s="18"/>
    </x:row>
    <x:row r="24" ht="25" customHeight="1">
      <x:c r="A24" s="19" t="str">
        <x:f>IF(ISNUMBER($B$4),$B$4+12,"")</x:f>
      </x:c>
      <x:c r="B24" s="2" t="str">
        <x:f>IF(A24="","",CHOOSE(WEEKDAY(A24,2),"pon.","wt.","śr.","czw.","pt.","sob.","niedz."))</x:f>
      </x:c>
      <x:c r="C24" s="18"/>
      <x:c r="D24" s="18"/>
      <x:c r="E24" s="23" t="str">
        <x:f>IF(A24="","",A24-2+16/24)</x:f>
      </x:c>
      <x:c r="F24" s="24" t="str">
        <x:f>IF($A24="","",IF(COUNTIFS('Posiłki'!$A$97:$A$696,$A24,'Posiłki'!$G$97:$G$696,"brak danych")&gt;0,"brak danych",IF(COUNTIFS('Posiłki'!$A$97:$A$696,$A24,'Posiłki'!$E$97:$E$696,"&lt;&gt;")=0,"",SUMIFS('Posiłki'!$G$97:$G$696,'Posiłki'!$A$97:$A$696,$A24))))</x:f>
      </x:c>
      <x:c r="G24" s="25" t="str">
        <x:f>IF($A24="","",IF(COUNTIFS('Posiłki'!$A$97:$A$696,$A24,'Posiłki'!$H$97:$H$696,"brak danych")&gt;0,"brak danych",IF(COUNTIFS('Posiłki'!$A$97:$A$696,$A24,'Posiłki'!$E$97:$E$696,"&lt;&gt;")=0,"",SUMIFS('Posiłki'!$H$97:$H$696,'Posiłki'!$A$97:$A$696,$A24))))</x:f>
      </x:c>
      <x:c r="H24" s="25" t="str">
        <x:f>IF($A24="","",IF(COUNTIFS('Posiłki'!$A$97:$A$696,$A24,'Posiłki'!$I$97:$I$696,"brak danych")&gt;0,"brak danych",IF(COUNTIFS('Posiłki'!$A$97:$A$696,$A24,'Posiłki'!$E$97:$E$696,"&lt;&gt;")=0,"",SUMIFS('Posiłki'!$I$97:$I$696,'Posiłki'!$A$97:$A$696,$A24))))</x:f>
      </x:c>
      <x:c r="I24" s="25" t="str">
        <x:f>IF($A24="","",IF(COUNTIFS('Posiłki'!$A$97:$A$696,$A24,'Posiłki'!$J$97:$J$696,"brak danych")&gt;0,"brak danych",IF(COUNTIFS('Posiłki'!$A$97:$A$696,$A24,'Posiłki'!$E$97:$E$696,"&lt;&gt;")=0,"",SUMIFS('Posiłki'!$J$97:$J$696,'Posiłki'!$A$97:$A$696,$A24))))</x:f>
      </x:c>
      <x:c r="J24" s="25" t="str">
        <x:f>IF($A24="","",IF(COUNTIFS('Posiłki'!$A$97:$A$696,$A24,'Posiłki'!$K$97:$K$696,"brak danych")&gt;0,"brak danych",IF(COUNTIFS('Posiłki'!$A$97:$A$696,$A24,'Posiłki'!$E$97:$E$696,"&lt;&gt;")=0,"",SUMIFS('Posiłki'!$K$97:$K$696,'Posiłki'!$A$97:$A$696,$A24))))</x:f>
      </x:c>
      <x:c r="K24" s="24" t="str">
        <x:f>IF($A24="","",IF(COUNTIFS('Posiłki'!$A$97:$A$696,$A24,'Posiłki'!$L$97:$L$696,"brak danych")&gt;0,"brak danych",IF(COUNTIFS('Posiłki'!$A$97:$A$696,$A24,'Posiłki'!$F$97:$F$696,"&lt;&gt;")=0,"",SUMIFS('Posiłki'!$L$97:$L$696,'Posiłki'!$A$97:$A$696,$A24))))</x:f>
      </x:c>
      <x:c r="L24" s="25" t="str">
        <x:f>IF($A24="","",IF(COUNTIFS('Posiłki'!$A$97:$A$696,$A24,'Posiłki'!$P$97:$P$696,"brak danych")&gt;0,"brak danych",IF(COUNTIFS('Posiłki'!$A$97:$A$696,$A24,'Posiłki'!$F$97:$F$696,"&lt;&gt;")=0,"",SUMIFS('Posiłki'!$P$97:$P$696,'Posiłki'!$A$97:$A$696,$A24))))</x:f>
      </x:c>
      <x:c r="M24" s="18"/>
    </x:row>
    <x:row r="25" ht="25" customHeight="1">
      <x:c r="A25" s="19" t="str">
        <x:f>IF(ISNUMBER($B$4),$B$4+13,"")</x:f>
      </x:c>
      <x:c r="B25" s="2" t="str">
        <x:f>IF(A25="","",CHOOSE(WEEKDAY(A25,2),"pon.","wt.","śr.","czw.","pt.","sob.","niedz."))</x:f>
      </x:c>
      <x:c r="C25" s="18"/>
      <x:c r="D25" s="18"/>
      <x:c r="E25" s="23" t="str">
        <x:f>IF(A25="","",A25-2+16/24)</x:f>
      </x:c>
      <x:c r="F25" s="24" t="str">
        <x:f>IF($A25="","",IF(COUNTIFS('Posiłki'!$A$97:$A$696,$A25,'Posiłki'!$G$97:$G$696,"brak danych")&gt;0,"brak danych",IF(COUNTIFS('Posiłki'!$A$97:$A$696,$A25,'Posiłki'!$E$97:$E$696,"&lt;&gt;")=0,"",SUMIFS('Posiłki'!$G$97:$G$696,'Posiłki'!$A$97:$A$696,$A25))))</x:f>
      </x:c>
      <x:c r="G25" s="25" t="str">
        <x:f>IF($A25="","",IF(COUNTIFS('Posiłki'!$A$97:$A$696,$A25,'Posiłki'!$H$97:$H$696,"brak danych")&gt;0,"brak danych",IF(COUNTIFS('Posiłki'!$A$97:$A$696,$A25,'Posiłki'!$E$97:$E$696,"&lt;&gt;")=0,"",SUMIFS('Posiłki'!$H$97:$H$696,'Posiłki'!$A$97:$A$696,$A25))))</x:f>
      </x:c>
      <x:c r="H25" s="25" t="str">
        <x:f>IF($A25="","",IF(COUNTIFS('Posiłki'!$A$97:$A$696,$A25,'Posiłki'!$I$97:$I$696,"brak danych")&gt;0,"brak danych",IF(COUNTIFS('Posiłki'!$A$97:$A$696,$A25,'Posiłki'!$E$97:$E$696,"&lt;&gt;")=0,"",SUMIFS('Posiłki'!$I$97:$I$696,'Posiłki'!$A$97:$A$696,$A25))))</x:f>
      </x:c>
      <x:c r="I25" s="25" t="str">
        <x:f>IF($A25="","",IF(COUNTIFS('Posiłki'!$A$97:$A$696,$A25,'Posiłki'!$J$97:$J$696,"brak danych")&gt;0,"brak danych",IF(COUNTIFS('Posiłki'!$A$97:$A$696,$A25,'Posiłki'!$E$97:$E$696,"&lt;&gt;")=0,"",SUMIFS('Posiłki'!$J$97:$J$696,'Posiłki'!$A$97:$A$696,$A25))))</x:f>
      </x:c>
      <x:c r="J25" s="25" t="str">
        <x:f>IF($A25="","",IF(COUNTIFS('Posiłki'!$A$97:$A$696,$A25,'Posiłki'!$K$97:$K$696,"brak danych")&gt;0,"brak danych",IF(COUNTIFS('Posiłki'!$A$97:$A$696,$A25,'Posiłki'!$E$97:$E$696,"&lt;&gt;")=0,"",SUMIFS('Posiłki'!$K$97:$K$696,'Posiłki'!$A$97:$A$696,$A25))))</x:f>
      </x:c>
      <x:c r="K25" s="24" t="str">
        <x:f>IF($A25="","",IF(COUNTIFS('Posiłki'!$A$97:$A$696,$A25,'Posiłki'!$L$97:$L$696,"brak danych")&gt;0,"brak danych",IF(COUNTIFS('Posiłki'!$A$97:$A$696,$A25,'Posiłki'!$F$97:$F$696,"&lt;&gt;")=0,"",SUMIFS('Posiłki'!$L$97:$L$696,'Posiłki'!$A$97:$A$696,$A25))))</x:f>
      </x:c>
      <x:c r="L25" s="25" t="str">
        <x:f>IF($A25="","",IF(COUNTIFS('Posiłki'!$A$97:$A$696,$A25,'Posiłki'!$P$97:$P$696,"brak danych")&gt;0,"brak danych",IF(COUNTIFS('Posiłki'!$A$97:$A$696,$A25,'Posiłki'!$F$97:$F$696,"&lt;&gt;")=0,"",SUMIFS('Posiłki'!$P$97:$P$696,'Posiłki'!$A$97:$A$696,$A25))))</x:f>
      </x:c>
      <x:c r="M25" s="18"/>
    </x:row>
    <x:row r="26" ht="25" customHeight="1">
      <x:c r="A26" s="19" t="str">
        <x:f>IF(ISNUMBER($B$4),$B$4+14,"")</x:f>
      </x:c>
      <x:c r="B26" s="2" t="str">
        <x:f>IF(A26="","",CHOOSE(WEEKDAY(A26,2),"pon.","wt.","śr.","czw.","pt.","sob.","niedz."))</x:f>
      </x:c>
      <x:c r="C26" s="18"/>
      <x:c r="D26" s="18"/>
      <x:c r="E26" s="23" t="str">
        <x:f>IF(A26="","",A26-2+16/24)</x:f>
      </x:c>
      <x:c r="F26" s="24" t="str">
        <x:f>IF($A26="","",IF(COUNTIFS('Posiłki'!$A$97:$A$696,$A26,'Posiłki'!$G$97:$G$696,"brak danych")&gt;0,"brak danych",IF(COUNTIFS('Posiłki'!$A$97:$A$696,$A26,'Posiłki'!$E$97:$E$696,"&lt;&gt;")=0,"",SUMIFS('Posiłki'!$G$97:$G$696,'Posiłki'!$A$97:$A$696,$A26))))</x:f>
      </x:c>
      <x:c r="G26" s="25" t="str">
        <x:f>IF($A26="","",IF(COUNTIFS('Posiłki'!$A$97:$A$696,$A26,'Posiłki'!$H$97:$H$696,"brak danych")&gt;0,"brak danych",IF(COUNTIFS('Posiłki'!$A$97:$A$696,$A26,'Posiłki'!$E$97:$E$696,"&lt;&gt;")=0,"",SUMIFS('Posiłki'!$H$97:$H$696,'Posiłki'!$A$97:$A$696,$A26))))</x:f>
      </x:c>
      <x:c r="H26" s="25" t="str">
        <x:f>IF($A26="","",IF(COUNTIFS('Posiłki'!$A$97:$A$696,$A26,'Posiłki'!$I$97:$I$696,"brak danych")&gt;0,"brak danych",IF(COUNTIFS('Posiłki'!$A$97:$A$696,$A26,'Posiłki'!$E$97:$E$696,"&lt;&gt;")=0,"",SUMIFS('Posiłki'!$I$97:$I$696,'Posiłki'!$A$97:$A$696,$A26))))</x:f>
      </x:c>
      <x:c r="I26" s="25" t="str">
        <x:f>IF($A26="","",IF(COUNTIFS('Posiłki'!$A$97:$A$696,$A26,'Posiłki'!$J$97:$J$696,"brak danych")&gt;0,"brak danych",IF(COUNTIFS('Posiłki'!$A$97:$A$696,$A26,'Posiłki'!$E$97:$E$696,"&lt;&gt;")=0,"",SUMIFS('Posiłki'!$J$97:$J$696,'Posiłki'!$A$97:$A$696,$A26))))</x:f>
      </x:c>
      <x:c r="J26" s="25" t="str">
        <x:f>IF($A26="","",IF(COUNTIFS('Posiłki'!$A$97:$A$696,$A26,'Posiłki'!$K$97:$K$696,"brak danych")&gt;0,"brak danych",IF(COUNTIFS('Posiłki'!$A$97:$A$696,$A26,'Posiłki'!$E$97:$E$696,"&lt;&gt;")=0,"",SUMIFS('Posiłki'!$K$97:$K$696,'Posiłki'!$A$97:$A$696,$A26))))</x:f>
      </x:c>
      <x:c r="K26" s="24" t="str">
        <x:f>IF($A26="","",IF(COUNTIFS('Posiłki'!$A$97:$A$696,$A26,'Posiłki'!$L$97:$L$696,"brak danych")&gt;0,"brak danych",IF(COUNTIFS('Posiłki'!$A$97:$A$696,$A26,'Posiłki'!$F$97:$F$696,"&lt;&gt;")=0,"",SUMIFS('Posiłki'!$L$97:$L$696,'Posiłki'!$A$97:$A$696,$A26))))</x:f>
      </x:c>
      <x:c r="L26" s="25" t="str">
        <x:f>IF($A26="","",IF(COUNTIFS('Posiłki'!$A$97:$A$696,$A26,'Posiłki'!$P$97:$P$696,"brak danych")&gt;0,"brak danych",IF(COUNTIFS('Posiłki'!$A$97:$A$696,$A26,'Posiłki'!$F$97:$F$696,"&lt;&gt;")=0,"",SUMIFS('Posiłki'!$P$97:$P$696,'Posiłki'!$A$97:$A$696,$A26))))</x:f>
      </x:c>
      <x:c r="M26" s="18"/>
    </x:row>
    <x:row r="27" ht="25" customHeight="1">
      <x:c r="A27" s="19" t="str">
        <x:f>IF(ISNUMBER($B$4),$B$4+15,"")</x:f>
      </x:c>
      <x:c r="B27" s="2" t="str">
        <x:f>IF(A27="","",CHOOSE(WEEKDAY(A27,2),"pon.","wt.","śr.","czw.","pt.","sob.","niedz."))</x:f>
      </x:c>
      <x:c r="C27" s="18"/>
      <x:c r="D27" s="18"/>
      <x:c r="E27" s="23" t="str">
        <x:f>IF(A27="","",A27-2+16/24)</x:f>
      </x:c>
      <x:c r="F27" s="24" t="str">
        <x:f>IF($A27="","",IF(COUNTIFS('Posiłki'!$A$97:$A$696,$A27,'Posiłki'!$G$97:$G$696,"brak danych")&gt;0,"brak danych",IF(COUNTIFS('Posiłki'!$A$97:$A$696,$A27,'Posiłki'!$E$97:$E$696,"&lt;&gt;")=0,"",SUMIFS('Posiłki'!$G$97:$G$696,'Posiłki'!$A$97:$A$696,$A27))))</x:f>
      </x:c>
      <x:c r="G27" s="25" t="str">
        <x:f>IF($A27="","",IF(COUNTIFS('Posiłki'!$A$97:$A$696,$A27,'Posiłki'!$H$97:$H$696,"brak danych")&gt;0,"brak danych",IF(COUNTIFS('Posiłki'!$A$97:$A$696,$A27,'Posiłki'!$E$97:$E$696,"&lt;&gt;")=0,"",SUMIFS('Posiłki'!$H$97:$H$696,'Posiłki'!$A$97:$A$696,$A27))))</x:f>
      </x:c>
      <x:c r="H27" s="25" t="str">
        <x:f>IF($A27="","",IF(COUNTIFS('Posiłki'!$A$97:$A$696,$A27,'Posiłki'!$I$97:$I$696,"brak danych")&gt;0,"brak danych",IF(COUNTIFS('Posiłki'!$A$97:$A$696,$A27,'Posiłki'!$E$97:$E$696,"&lt;&gt;")=0,"",SUMIFS('Posiłki'!$I$97:$I$696,'Posiłki'!$A$97:$A$696,$A27))))</x:f>
      </x:c>
      <x:c r="I27" s="25" t="str">
        <x:f>IF($A27="","",IF(COUNTIFS('Posiłki'!$A$97:$A$696,$A27,'Posiłki'!$J$97:$J$696,"brak danych")&gt;0,"brak danych",IF(COUNTIFS('Posiłki'!$A$97:$A$696,$A27,'Posiłki'!$E$97:$E$696,"&lt;&gt;")=0,"",SUMIFS('Posiłki'!$J$97:$J$696,'Posiłki'!$A$97:$A$696,$A27))))</x:f>
      </x:c>
      <x:c r="J27" s="25" t="str">
        <x:f>IF($A27="","",IF(COUNTIFS('Posiłki'!$A$97:$A$696,$A27,'Posiłki'!$K$97:$K$696,"brak danych")&gt;0,"brak danych",IF(COUNTIFS('Posiłki'!$A$97:$A$696,$A27,'Posiłki'!$E$97:$E$696,"&lt;&gt;")=0,"",SUMIFS('Posiłki'!$K$97:$K$696,'Posiłki'!$A$97:$A$696,$A27))))</x:f>
      </x:c>
      <x:c r="K27" s="24" t="str">
        <x:f>IF($A27="","",IF(COUNTIFS('Posiłki'!$A$97:$A$696,$A27,'Posiłki'!$L$97:$L$696,"brak danych")&gt;0,"brak danych",IF(COUNTIFS('Posiłki'!$A$97:$A$696,$A27,'Posiłki'!$F$97:$F$696,"&lt;&gt;")=0,"",SUMIFS('Posiłki'!$L$97:$L$696,'Posiłki'!$A$97:$A$696,$A27))))</x:f>
      </x:c>
      <x:c r="L27" s="25" t="str">
        <x:f>IF($A27="","",IF(COUNTIFS('Posiłki'!$A$97:$A$696,$A27,'Posiłki'!$P$97:$P$696,"brak danych")&gt;0,"brak danych",IF(COUNTIFS('Posiłki'!$A$97:$A$696,$A27,'Posiłki'!$F$97:$F$696,"&lt;&gt;")=0,"",SUMIFS('Posiłki'!$P$97:$P$696,'Posiłki'!$A$97:$A$696,$A27))))</x:f>
      </x:c>
      <x:c r="M27" s="18"/>
    </x:row>
    <x:row r="28" ht="25" customHeight="1">
      <x:c r="A28" s="19" t="str">
        <x:f>IF(ISNUMBER($B$4),$B$4+16,"")</x:f>
      </x:c>
      <x:c r="B28" s="2" t="str">
        <x:f>IF(A28="","",CHOOSE(WEEKDAY(A28,2),"pon.","wt.","śr.","czw.","pt.","sob.","niedz."))</x:f>
      </x:c>
      <x:c r="C28" s="18"/>
      <x:c r="D28" s="18"/>
      <x:c r="E28" s="23" t="str">
        <x:f>IF(A28="","",A28-2+16/24)</x:f>
      </x:c>
      <x:c r="F28" s="24" t="str">
        <x:f>IF($A28="","",IF(COUNTIFS('Posiłki'!$A$97:$A$696,$A28,'Posiłki'!$G$97:$G$696,"brak danych")&gt;0,"brak danych",IF(COUNTIFS('Posiłki'!$A$97:$A$696,$A28,'Posiłki'!$E$97:$E$696,"&lt;&gt;")=0,"",SUMIFS('Posiłki'!$G$97:$G$696,'Posiłki'!$A$97:$A$696,$A28))))</x:f>
      </x:c>
      <x:c r="G28" s="25" t="str">
        <x:f>IF($A28="","",IF(COUNTIFS('Posiłki'!$A$97:$A$696,$A28,'Posiłki'!$H$97:$H$696,"brak danych")&gt;0,"brak danych",IF(COUNTIFS('Posiłki'!$A$97:$A$696,$A28,'Posiłki'!$E$97:$E$696,"&lt;&gt;")=0,"",SUMIFS('Posiłki'!$H$97:$H$696,'Posiłki'!$A$97:$A$696,$A28))))</x:f>
      </x:c>
      <x:c r="H28" s="25" t="str">
        <x:f>IF($A28="","",IF(COUNTIFS('Posiłki'!$A$97:$A$696,$A28,'Posiłki'!$I$97:$I$696,"brak danych")&gt;0,"brak danych",IF(COUNTIFS('Posiłki'!$A$97:$A$696,$A28,'Posiłki'!$E$97:$E$696,"&lt;&gt;")=0,"",SUMIFS('Posiłki'!$I$97:$I$696,'Posiłki'!$A$97:$A$696,$A28))))</x:f>
      </x:c>
      <x:c r="I28" s="25" t="str">
        <x:f>IF($A28="","",IF(COUNTIFS('Posiłki'!$A$97:$A$696,$A28,'Posiłki'!$J$97:$J$696,"brak danych")&gt;0,"brak danych",IF(COUNTIFS('Posiłki'!$A$97:$A$696,$A28,'Posiłki'!$E$97:$E$696,"&lt;&gt;")=0,"",SUMIFS('Posiłki'!$J$97:$J$696,'Posiłki'!$A$97:$A$696,$A28))))</x:f>
      </x:c>
      <x:c r="J28" s="25" t="str">
        <x:f>IF($A28="","",IF(COUNTIFS('Posiłki'!$A$97:$A$696,$A28,'Posiłki'!$K$97:$K$696,"brak danych")&gt;0,"brak danych",IF(COUNTIFS('Posiłki'!$A$97:$A$696,$A28,'Posiłki'!$E$97:$E$696,"&lt;&gt;")=0,"",SUMIFS('Posiłki'!$K$97:$K$696,'Posiłki'!$A$97:$A$696,$A28))))</x:f>
      </x:c>
      <x:c r="K28" s="24" t="str">
        <x:f>IF($A28="","",IF(COUNTIFS('Posiłki'!$A$97:$A$696,$A28,'Posiłki'!$L$97:$L$696,"brak danych")&gt;0,"brak danych",IF(COUNTIFS('Posiłki'!$A$97:$A$696,$A28,'Posiłki'!$F$97:$F$696,"&lt;&gt;")=0,"",SUMIFS('Posiłki'!$L$97:$L$696,'Posiłki'!$A$97:$A$696,$A28))))</x:f>
      </x:c>
      <x:c r="L28" s="25" t="str">
        <x:f>IF($A28="","",IF(COUNTIFS('Posiłki'!$A$97:$A$696,$A28,'Posiłki'!$P$97:$P$696,"brak danych")&gt;0,"brak danych",IF(COUNTIFS('Posiłki'!$A$97:$A$696,$A28,'Posiłki'!$F$97:$F$696,"&lt;&gt;")=0,"",SUMIFS('Posiłki'!$P$97:$P$696,'Posiłki'!$A$97:$A$696,$A28))))</x:f>
      </x:c>
      <x:c r="M28" s="18"/>
    </x:row>
    <x:row r="29" ht="25" customHeight="1">
      <x:c r="A29" s="19" t="str">
        <x:f>IF(ISNUMBER($B$4),$B$4+17,"")</x:f>
      </x:c>
      <x:c r="B29" s="2" t="str">
        <x:f>IF(A29="","",CHOOSE(WEEKDAY(A29,2),"pon.","wt.","śr.","czw.","pt.","sob.","niedz."))</x:f>
      </x:c>
      <x:c r="C29" s="18"/>
      <x:c r="D29" s="18"/>
      <x:c r="E29" s="23" t="str">
        <x:f>IF(A29="","",A29-2+16/24)</x:f>
      </x:c>
      <x:c r="F29" s="24" t="str">
        <x:f>IF($A29="","",IF(COUNTIFS('Posiłki'!$A$97:$A$696,$A29,'Posiłki'!$G$97:$G$696,"brak danych")&gt;0,"brak danych",IF(COUNTIFS('Posiłki'!$A$97:$A$696,$A29,'Posiłki'!$E$97:$E$696,"&lt;&gt;")=0,"",SUMIFS('Posiłki'!$G$97:$G$696,'Posiłki'!$A$97:$A$696,$A29))))</x:f>
      </x:c>
      <x:c r="G29" s="25" t="str">
        <x:f>IF($A29="","",IF(COUNTIFS('Posiłki'!$A$97:$A$696,$A29,'Posiłki'!$H$97:$H$696,"brak danych")&gt;0,"brak danych",IF(COUNTIFS('Posiłki'!$A$97:$A$696,$A29,'Posiłki'!$E$97:$E$696,"&lt;&gt;")=0,"",SUMIFS('Posiłki'!$H$97:$H$696,'Posiłki'!$A$97:$A$696,$A29))))</x:f>
      </x:c>
      <x:c r="H29" s="25" t="str">
        <x:f>IF($A29="","",IF(COUNTIFS('Posiłki'!$A$97:$A$696,$A29,'Posiłki'!$I$97:$I$696,"brak danych")&gt;0,"brak danych",IF(COUNTIFS('Posiłki'!$A$97:$A$696,$A29,'Posiłki'!$E$97:$E$696,"&lt;&gt;")=0,"",SUMIFS('Posiłki'!$I$97:$I$696,'Posiłki'!$A$97:$A$696,$A29))))</x:f>
      </x:c>
      <x:c r="I29" s="25" t="str">
        <x:f>IF($A29="","",IF(COUNTIFS('Posiłki'!$A$97:$A$696,$A29,'Posiłki'!$J$97:$J$696,"brak danych")&gt;0,"brak danych",IF(COUNTIFS('Posiłki'!$A$97:$A$696,$A29,'Posiłki'!$E$97:$E$696,"&lt;&gt;")=0,"",SUMIFS('Posiłki'!$J$97:$J$696,'Posiłki'!$A$97:$A$696,$A29))))</x:f>
      </x:c>
      <x:c r="J29" s="25" t="str">
        <x:f>IF($A29="","",IF(COUNTIFS('Posiłki'!$A$97:$A$696,$A29,'Posiłki'!$K$97:$K$696,"brak danych")&gt;0,"brak danych",IF(COUNTIFS('Posiłki'!$A$97:$A$696,$A29,'Posiłki'!$E$97:$E$696,"&lt;&gt;")=0,"",SUMIFS('Posiłki'!$K$97:$K$696,'Posiłki'!$A$97:$A$696,$A29))))</x:f>
      </x:c>
      <x:c r="K29" s="24" t="str">
        <x:f>IF($A29="","",IF(COUNTIFS('Posiłki'!$A$97:$A$696,$A29,'Posiłki'!$L$97:$L$696,"brak danych")&gt;0,"brak danych",IF(COUNTIFS('Posiłki'!$A$97:$A$696,$A29,'Posiłki'!$F$97:$F$696,"&lt;&gt;")=0,"",SUMIFS('Posiłki'!$L$97:$L$696,'Posiłki'!$A$97:$A$696,$A29))))</x:f>
      </x:c>
      <x:c r="L29" s="25" t="str">
        <x:f>IF($A29="","",IF(COUNTIFS('Posiłki'!$A$97:$A$696,$A29,'Posiłki'!$P$97:$P$696,"brak danych")&gt;0,"brak danych",IF(COUNTIFS('Posiłki'!$A$97:$A$696,$A29,'Posiłki'!$F$97:$F$696,"&lt;&gt;")=0,"",SUMIFS('Posiłki'!$P$97:$P$696,'Posiłki'!$A$97:$A$696,$A29))))</x:f>
      </x:c>
      <x:c r="M29" s="18"/>
    </x:row>
    <x:row r="30" ht="25" customHeight="1">
      <x:c r="A30" s="19" t="str">
        <x:f>IF(ISNUMBER($B$4),$B$4+18,"")</x:f>
      </x:c>
      <x:c r="B30" s="2" t="str">
        <x:f>IF(A30="","",CHOOSE(WEEKDAY(A30,2),"pon.","wt.","śr.","czw.","pt.","sob.","niedz."))</x:f>
      </x:c>
      <x:c r="C30" s="18"/>
      <x:c r="D30" s="18"/>
      <x:c r="E30" s="23" t="str">
        <x:f>IF(A30="","",A30-2+16/24)</x:f>
      </x:c>
      <x:c r="F30" s="24" t="str">
        <x:f>IF($A30="","",IF(COUNTIFS('Posiłki'!$A$97:$A$696,$A30,'Posiłki'!$G$97:$G$696,"brak danych")&gt;0,"brak danych",IF(COUNTIFS('Posiłki'!$A$97:$A$696,$A30,'Posiłki'!$E$97:$E$696,"&lt;&gt;")=0,"",SUMIFS('Posiłki'!$G$97:$G$696,'Posiłki'!$A$97:$A$696,$A30))))</x:f>
      </x:c>
      <x:c r="G30" s="25" t="str">
        <x:f>IF($A30="","",IF(COUNTIFS('Posiłki'!$A$97:$A$696,$A30,'Posiłki'!$H$97:$H$696,"brak danych")&gt;0,"brak danych",IF(COUNTIFS('Posiłki'!$A$97:$A$696,$A30,'Posiłki'!$E$97:$E$696,"&lt;&gt;")=0,"",SUMIFS('Posiłki'!$H$97:$H$696,'Posiłki'!$A$97:$A$696,$A30))))</x:f>
      </x:c>
      <x:c r="H30" s="25" t="str">
        <x:f>IF($A30="","",IF(COUNTIFS('Posiłki'!$A$97:$A$696,$A30,'Posiłki'!$I$97:$I$696,"brak danych")&gt;0,"brak danych",IF(COUNTIFS('Posiłki'!$A$97:$A$696,$A30,'Posiłki'!$E$97:$E$696,"&lt;&gt;")=0,"",SUMIFS('Posiłki'!$I$97:$I$696,'Posiłki'!$A$97:$A$696,$A30))))</x:f>
      </x:c>
      <x:c r="I30" s="25" t="str">
        <x:f>IF($A30="","",IF(COUNTIFS('Posiłki'!$A$97:$A$696,$A30,'Posiłki'!$J$97:$J$696,"brak danych")&gt;0,"brak danych",IF(COUNTIFS('Posiłki'!$A$97:$A$696,$A30,'Posiłki'!$E$97:$E$696,"&lt;&gt;")=0,"",SUMIFS('Posiłki'!$J$97:$J$696,'Posiłki'!$A$97:$A$696,$A30))))</x:f>
      </x:c>
      <x:c r="J30" s="25" t="str">
        <x:f>IF($A30="","",IF(COUNTIFS('Posiłki'!$A$97:$A$696,$A30,'Posiłki'!$K$97:$K$696,"brak danych")&gt;0,"brak danych",IF(COUNTIFS('Posiłki'!$A$97:$A$696,$A30,'Posiłki'!$E$97:$E$696,"&lt;&gt;")=0,"",SUMIFS('Posiłki'!$K$97:$K$696,'Posiłki'!$A$97:$A$696,$A30))))</x:f>
      </x:c>
      <x:c r="K30" s="24" t="str">
        <x:f>IF($A30="","",IF(COUNTIFS('Posiłki'!$A$97:$A$696,$A30,'Posiłki'!$L$97:$L$696,"brak danych")&gt;0,"brak danych",IF(COUNTIFS('Posiłki'!$A$97:$A$696,$A30,'Posiłki'!$F$97:$F$696,"&lt;&gt;")=0,"",SUMIFS('Posiłki'!$L$97:$L$696,'Posiłki'!$A$97:$A$696,$A30))))</x:f>
      </x:c>
      <x:c r="L30" s="25" t="str">
        <x:f>IF($A30="","",IF(COUNTIFS('Posiłki'!$A$97:$A$696,$A30,'Posiłki'!$P$97:$P$696,"brak danych")&gt;0,"brak danych",IF(COUNTIFS('Posiłki'!$A$97:$A$696,$A30,'Posiłki'!$F$97:$F$696,"&lt;&gt;")=0,"",SUMIFS('Posiłki'!$P$97:$P$696,'Posiłki'!$A$97:$A$696,$A30))))</x:f>
      </x:c>
      <x:c r="M30" s="18"/>
    </x:row>
    <x:row r="31" ht="25" customHeight="1">
      <x:c r="A31" s="19" t="str">
        <x:f>IF(ISNUMBER($B$4),$B$4+19,"")</x:f>
      </x:c>
      <x:c r="B31" s="2" t="str">
        <x:f>IF(A31="","",CHOOSE(WEEKDAY(A31,2),"pon.","wt.","śr.","czw.","pt.","sob.","niedz."))</x:f>
      </x:c>
      <x:c r="C31" s="18"/>
      <x:c r="D31" s="18"/>
      <x:c r="E31" s="23" t="str">
        <x:f>IF(A31="","",A31-2+16/24)</x:f>
      </x:c>
      <x:c r="F31" s="24" t="str">
        <x:f>IF($A31="","",IF(COUNTIFS('Posiłki'!$A$97:$A$696,$A31,'Posiłki'!$G$97:$G$696,"brak danych")&gt;0,"brak danych",IF(COUNTIFS('Posiłki'!$A$97:$A$696,$A31,'Posiłki'!$E$97:$E$696,"&lt;&gt;")=0,"",SUMIFS('Posiłki'!$G$97:$G$696,'Posiłki'!$A$97:$A$696,$A31))))</x:f>
      </x:c>
      <x:c r="G31" s="25" t="str">
        <x:f>IF($A31="","",IF(COUNTIFS('Posiłki'!$A$97:$A$696,$A31,'Posiłki'!$H$97:$H$696,"brak danych")&gt;0,"brak danych",IF(COUNTIFS('Posiłki'!$A$97:$A$696,$A31,'Posiłki'!$E$97:$E$696,"&lt;&gt;")=0,"",SUMIFS('Posiłki'!$H$97:$H$696,'Posiłki'!$A$97:$A$696,$A31))))</x:f>
      </x:c>
      <x:c r="H31" s="25" t="str">
        <x:f>IF($A31="","",IF(COUNTIFS('Posiłki'!$A$97:$A$696,$A31,'Posiłki'!$I$97:$I$696,"brak danych")&gt;0,"brak danych",IF(COUNTIFS('Posiłki'!$A$97:$A$696,$A31,'Posiłki'!$E$97:$E$696,"&lt;&gt;")=0,"",SUMIFS('Posiłki'!$I$97:$I$696,'Posiłki'!$A$97:$A$696,$A31))))</x:f>
      </x:c>
      <x:c r="I31" s="25" t="str">
        <x:f>IF($A31="","",IF(COUNTIFS('Posiłki'!$A$97:$A$696,$A31,'Posiłki'!$J$97:$J$696,"brak danych")&gt;0,"brak danych",IF(COUNTIFS('Posiłki'!$A$97:$A$696,$A31,'Posiłki'!$E$97:$E$696,"&lt;&gt;")=0,"",SUMIFS('Posiłki'!$J$97:$J$696,'Posiłki'!$A$97:$A$696,$A31))))</x:f>
      </x:c>
      <x:c r="J31" s="25" t="str">
        <x:f>IF($A31="","",IF(COUNTIFS('Posiłki'!$A$97:$A$696,$A31,'Posiłki'!$K$97:$K$696,"brak danych")&gt;0,"brak danych",IF(COUNTIFS('Posiłki'!$A$97:$A$696,$A31,'Posiłki'!$E$97:$E$696,"&lt;&gt;")=0,"",SUMIFS('Posiłki'!$K$97:$K$696,'Posiłki'!$A$97:$A$696,$A31))))</x:f>
      </x:c>
      <x:c r="K31" s="24" t="str">
        <x:f>IF($A31="","",IF(COUNTIFS('Posiłki'!$A$97:$A$696,$A31,'Posiłki'!$L$97:$L$696,"brak danych")&gt;0,"brak danych",IF(COUNTIFS('Posiłki'!$A$97:$A$696,$A31,'Posiłki'!$F$97:$F$696,"&lt;&gt;")=0,"",SUMIFS('Posiłki'!$L$97:$L$696,'Posiłki'!$A$97:$A$696,$A31))))</x:f>
      </x:c>
      <x:c r="L31" s="25" t="str">
        <x:f>IF($A31="","",IF(COUNTIFS('Posiłki'!$A$97:$A$696,$A31,'Posiłki'!$P$97:$P$696,"brak danych")&gt;0,"brak danych",IF(COUNTIFS('Posiłki'!$A$97:$A$696,$A31,'Posiłki'!$F$97:$F$696,"&lt;&gt;")=0,"",SUMIFS('Posiłki'!$P$97:$P$696,'Posiłki'!$A$97:$A$696,$A31))))</x:f>
      </x:c>
      <x:c r="M31" s="18"/>
    </x:row>
    <x:row r="32" ht="25" customHeight="1">
      <x:c r="A32" s="19" t="str">
        <x:f>IF(ISNUMBER($B$4),$B$4+20,"")</x:f>
      </x:c>
      <x:c r="B32" s="2" t="str">
        <x:f>IF(A32="","",CHOOSE(WEEKDAY(A32,2),"pon.","wt.","śr.","czw.","pt.","sob.","niedz."))</x:f>
      </x:c>
      <x:c r="C32" s="18"/>
      <x:c r="D32" s="18"/>
      <x:c r="E32" s="23" t="str">
        <x:f>IF(A32="","",A32-2+16/24)</x:f>
      </x:c>
      <x:c r="F32" s="24" t="str">
        <x:f>IF($A32="","",IF(COUNTIFS('Posiłki'!$A$97:$A$696,$A32,'Posiłki'!$G$97:$G$696,"brak danych")&gt;0,"brak danych",IF(COUNTIFS('Posiłki'!$A$97:$A$696,$A32,'Posiłki'!$E$97:$E$696,"&lt;&gt;")=0,"",SUMIFS('Posiłki'!$G$97:$G$696,'Posiłki'!$A$97:$A$696,$A32))))</x:f>
      </x:c>
      <x:c r="G32" s="25" t="str">
        <x:f>IF($A32="","",IF(COUNTIFS('Posiłki'!$A$97:$A$696,$A32,'Posiłki'!$H$97:$H$696,"brak danych")&gt;0,"brak danych",IF(COUNTIFS('Posiłki'!$A$97:$A$696,$A32,'Posiłki'!$E$97:$E$696,"&lt;&gt;")=0,"",SUMIFS('Posiłki'!$H$97:$H$696,'Posiłki'!$A$97:$A$696,$A32))))</x:f>
      </x:c>
      <x:c r="H32" s="25" t="str">
        <x:f>IF($A32="","",IF(COUNTIFS('Posiłki'!$A$97:$A$696,$A32,'Posiłki'!$I$97:$I$696,"brak danych")&gt;0,"brak danych",IF(COUNTIFS('Posiłki'!$A$97:$A$696,$A32,'Posiłki'!$E$97:$E$696,"&lt;&gt;")=0,"",SUMIFS('Posiłki'!$I$97:$I$696,'Posiłki'!$A$97:$A$696,$A32))))</x:f>
      </x:c>
      <x:c r="I32" s="25" t="str">
        <x:f>IF($A32="","",IF(COUNTIFS('Posiłki'!$A$97:$A$696,$A32,'Posiłki'!$J$97:$J$696,"brak danych")&gt;0,"brak danych",IF(COUNTIFS('Posiłki'!$A$97:$A$696,$A32,'Posiłki'!$E$97:$E$696,"&lt;&gt;")=0,"",SUMIFS('Posiłki'!$J$97:$J$696,'Posiłki'!$A$97:$A$696,$A32))))</x:f>
      </x:c>
      <x:c r="J32" s="25" t="str">
        <x:f>IF($A32="","",IF(COUNTIFS('Posiłki'!$A$97:$A$696,$A32,'Posiłki'!$K$97:$K$696,"brak danych")&gt;0,"brak danych",IF(COUNTIFS('Posiłki'!$A$97:$A$696,$A32,'Posiłki'!$E$97:$E$696,"&lt;&gt;")=0,"",SUMIFS('Posiłki'!$K$97:$K$696,'Posiłki'!$A$97:$A$696,$A32))))</x:f>
      </x:c>
      <x:c r="K32" s="24" t="str">
        <x:f>IF($A32="","",IF(COUNTIFS('Posiłki'!$A$97:$A$696,$A32,'Posiłki'!$L$97:$L$696,"brak danych")&gt;0,"brak danych",IF(COUNTIFS('Posiłki'!$A$97:$A$696,$A32,'Posiłki'!$F$97:$F$696,"&lt;&gt;")=0,"",SUMIFS('Posiłki'!$L$97:$L$696,'Posiłki'!$A$97:$A$696,$A32))))</x:f>
      </x:c>
      <x:c r="L32" s="25" t="str">
        <x:f>IF($A32="","",IF(COUNTIFS('Posiłki'!$A$97:$A$696,$A32,'Posiłki'!$P$97:$P$696,"brak danych")&gt;0,"brak danych",IF(COUNTIFS('Posiłki'!$A$97:$A$696,$A32,'Posiłki'!$F$97:$F$696,"&lt;&gt;")=0,"",SUMIFS('Posiłki'!$P$97:$P$696,'Posiłki'!$A$97:$A$696,$A32))))</x:f>
      </x:c>
      <x:c r="M32" s="18"/>
    </x:row>
    <x:row r="33" ht="25" customHeight="1">
      <x:c r="A33" s="19" t="str">
        <x:f>IF(ISNUMBER($B$4),$B$4+21,"")</x:f>
      </x:c>
      <x:c r="B33" s="2" t="str">
        <x:f>IF(A33="","",CHOOSE(WEEKDAY(A33,2),"pon.","wt.","śr.","czw.","pt.","sob.","niedz."))</x:f>
      </x:c>
      <x:c r="C33" s="18"/>
      <x:c r="D33" s="18"/>
      <x:c r="E33" s="23" t="str">
        <x:f>IF(A33="","",A33-2+16/24)</x:f>
      </x:c>
      <x:c r="F33" s="24" t="str">
        <x:f>IF($A33="","",IF(COUNTIFS('Posiłki'!$A$97:$A$696,$A33,'Posiłki'!$G$97:$G$696,"brak danych")&gt;0,"brak danych",IF(COUNTIFS('Posiłki'!$A$97:$A$696,$A33,'Posiłki'!$E$97:$E$696,"&lt;&gt;")=0,"",SUMIFS('Posiłki'!$G$97:$G$696,'Posiłki'!$A$97:$A$696,$A33))))</x:f>
      </x:c>
      <x:c r="G33" s="25" t="str">
        <x:f>IF($A33="","",IF(COUNTIFS('Posiłki'!$A$97:$A$696,$A33,'Posiłki'!$H$97:$H$696,"brak danych")&gt;0,"brak danych",IF(COUNTIFS('Posiłki'!$A$97:$A$696,$A33,'Posiłki'!$E$97:$E$696,"&lt;&gt;")=0,"",SUMIFS('Posiłki'!$H$97:$H$696,'Posiłki'!$A$97:$A$696,$A33))))</x:f>
      </x:c>
      <x:c r="H33" s="25" t="str">
        <x:f>IF($A33="","",IF(COUNTIFS('Posiłki'!$A$97:$A$696,$A33,'Posiłki'!$I$97:$I$696,"brak danych")&gt;0,"brak danych",IF(COUNTIFS('Posiłki'!$A$97:$A$696,$A33,'Posiłki'!$E$97:$E$696,"&lt;&gt;")=0,"",SUMIFS('Posiłki'!$I$97:$I$696,'Posiłki'!$A$97:$A$696,$A33))))</x:f>
      </x:c>
      <x:c r="I33" s="25" t="str">
        <x:f>IF($A33="","",IF(COUNTIFS('Posiłki'!$A$97:$A$696,$A33,'Posiłki'!$J$97:$J$696,"brak danych")&gt;0,"brak danych",IF(COUNTIFS('Posiłki'!$A$97:$A$696,$A33,'Posiłki'!$E$97:$E$696,"&lt;&gt;")=0,"",SUMIFS('Posiłki'!$J$97:$J$696,'Posiłki'!$A$97:$A$696,$A33))))</x:f>
      </x:c>
      <x:c r="J33" s="25" t="str">
        <x:f>IF($A33="","",IF(COUNTIFS('Posiłki'!$A$97:$A$696,$A33,'Posiłki'!$K$97:$K$696,"brak danych")&gt;0,"brak danych",IF(COUNTIFS('Posiłki'!$A$97:$A$696,$A33,'Posiłki'!$E$97:$E$696,"&lt;&gt;")=0,"",SUMIFS('Posiłki'!$K$97:$K$696,'Posiłki'!$A$97:$A$696,$A33))))</x:f>
      </x:c>
      <x:c r="K33" s="24" t="str">
        <x:f>IF($A33="","",IF(COUNTIFS('Posiłki'!$A$97:$A$696,$A33,'Posiłki'!$L$97:$L$696,"brak danych")&gt;0,"brak danych",IF(COUNTIFS('Posiłki'!$A$97:$A$696,$A33,'Posiłki'!$F$97:$F$696,"&lt;&gt;")=0,"",SUMIFS('Posiłki'!$L$97:$L$696,'Posiłki'!$A$97:$A$696,$A33))))</x:f>
      </x:c>
      <x:c r="L33" s="25" t="str">
        <x:f>IF($A33="","",IF(COUNTIFS('Posiłki'!$A$97:$A$696,$A33,'Posiłki'!$P$97:$P$696,"brak danych")&gt;0,"brak danych",IF(COUNTIFS('Posiłki'!$A$97:$A$696,$A33,'Posiłki'!$F$97:$F$696,"&lt;&gt;")=0,"",SUMIFS('Posiłki'!$P$97:$P$696,'Posiłki'!$A$97:$A$696,$A33))))</x:f>
      </x:c>
      <x:c r="M33" s="18"/>
    </x:row>
    <x:row r="34" ht="25" customHeight="1">
      <x:c r="A34" s="19" t="str">
        <x:f>IF(ISNUMBER($B$4),$B$4+22,"")</x:f>
      </x:c>
      <x:c r="B34" s="2" t="str">
        <x:f>IF(A34="","",CHOOSE(WEEKDAY(A34,2),"pon.","wt.","śr.","czw.","pt.","sob.","niedz."))</x:f>
      </x:c>
      <x:c r="C34" s="18"/>
      <x:c r="D34" s="18"/>
      <x:c r="E34" s="23" t="str">
        <x:f>IF(A34="","",A34-2+16/24)</x:f>
      </x:c>
      <x:c r="F34" s="24" t="str">
        <x:f>IF($A34="","",IF(COUNTIFS('Posiłki'!$A$97:$A$696,$A34,'Posiłki'!$G$97:$G$696,"brak danych")&gt;0,"brak danych",IF(COUNTIFS('Posiłki'!$A$97:$A$696,$A34,'Posiłki'!$E$97:$E$696,"&lt;&gt;")=0,"",SUMIFS('Posiłki'!$G$97:$G$696,'Posiłki'!$A$97:$A$696,$A34))))</x:f>
      </x:c>
      <x:c r="G34" s="25" t="str">
        <x:f>IF($A34="","",IF(COUNTIFS('Posiłki'!$A$97:$A$696,$A34,'Posiłki'!$H$97:$H$696,"brak danych")&gt;0,"brak danych",IF(COUNTIFS('Posiłki'!$A$97:$A$696,$A34,'Posiłki'!$E$97:$E$696,"&lt;&gt;")=0,"",SUMIFS('Posiłki'!$H$97:$H$696,'Posiłki'!$A$97:$A$696,$A34))))</x:f>
      </x:c>
      <x:c r="H34" s="25" t="str">
        <x:f>IF($A34="","",IF(COUNTIFS('Posiłki'!$A$97:$A$696,$A34,'Posiłki'!$I$97:$I$696,"brak danych")&gt;0,"brak danych",IF(COUNTIFS('Posiłki'!$A$97:$A$696,$A34,'Posiłki'!$E$97:$E$696,"&lt;&gt;")=0,"",SUMIFS('Posiłki'!$I$97:$I$696,'Posiłki'!$A$97:$A$696,$A34))))</x:f>
      </x:c>
      <x:c r="I34" s="25" t="str">
        <x:f>IF($A34="","",IF(COUNTIFS('Posiłki'!$A$97:$A$696,$A34,'Posiłki'!$J$97:$J$696,"brak danych")&gt;0,"brak danych",IF(COUNTIFS('Posiłki'!$A$97:$A$696,$A34,'Posiłki'!$E$97:$E$696,"&lt;&gt;")=0,"",SUMIFS('Posiłki'!$J$97:$J$696,'Posiłki'!$A$97:$A$696,$A34))))</x:f>
      </x:c>
      <x:c r="J34" s="25" t="str">
        <x:f>IF($A34="","",IF(COUNTIFS('Posiłki'!$A$97:$A$696,$A34,'Posiłki'!$K$97:$K$696,"brak danych")&gt;0,"brak danych",IF(COUNTIFS('Posiłki'!$A$97:$A$696,$A34,'Posiłki'!$E$97:$E$696,"&lt;&gt;")=0,"",SUMIFS('Posiłki'!$K$97:$K$696,'Posiłki'!$A$97:$A$696,$A34))))</x:f>
      </x:c>
      <x:c r="K34" s="24" t="str">
        <x:f>IF($A34="","",IF(COUNTIFS('Posiłki'!$A$97:$A$696,$A34,'Posiłki'!$L$97:$L$696,"brak danych")&gt;0,"brak danych",IF(COUNTIFS('Posiłki'!$A$97:$A$696,$A34,'Posiłki'!$F$97:$F$696,"&lt;&gt;")=0,"",SUMIFS('Posiłki'!$L$97:$L$696,'Posiłki'!$A$97:$A$696,$A34))))</x:f>
      </x:c>
      <x:c r="L34" s="25" t="str">
        <x:f>IF($A34="","",IF(COUNTIFS('Posiłki'!$A$97:$A$696,$A34,'Posiłki'!$P$97:$P$696,"brak danych")&gt;0,"brak danych",IF(COUNTIFS('Posiłki'!$A$97:$A$696,$A34,'Posiłki'!$F$97:$F$696,"&lt;&gt;")=0,"",SUMIFS('Posiłki'!$P$97:$P$696,'Posiłki'!$A$97:$A$696,$A34))))</x:f>
      </x:c>
      <x:c r="M34" s="18"/>
    </x:row>
    <x:row r="35" ht="25" customHeight="1">
      <x:c r="A35" s="19" t="str">
        <x:f>IF(ISNUMBER($B$4),$B$4+23,"")</x:f>
      </x:c>
      <x:c r="B35" s="2" t="str">
        <x:f>IF(A35="","",CHOOSE(WEEKDAY(A35,2),"pon.","wt.","śr.","czw.","pt.","sob.","niedz."))</x:f>
      </x:c>
      <x:c r="C35" s="18"/>
      <x:c r="D35" s="18"/>
      <x:c r="E35" s="23" t="str">
        <x:f>IF(A35="","",A35-2+16/24)</x:f>
      </x:c>
      <x:c r="F35" s="24" t="str">
        <x:f>IF($A35="","",IF(COUNTIFS('Posiłki'!$A$97:$A$696,$A35,'Posiłki'!$G$97:$G$696,"brak danych")&gt;0,"brak danych",IF(COUNTIFS('Posiłki'!$A$97:$A$696,$A35,'Posiłki'!$E$97:$E$696,"&lt;&gt;")=0,"",SUMIFS('Posiłki'!$G$97:$G$696,'Posiłki'!$A$97:$A$696,$A35))))</x:f>
      </x:c>
      <x:c r="G35" s="25" t="str">
        <x:f>IF($A35="","",IF(COUNTIFS('Posiłki'!$A$97:$A$696,$A35,'Posiłki'!$H$97:$H$696,"brak danych")&gt;0,"brak danych",IF(COUNTIFS('Posiłki'!$A$97:$A$696,$A35,'Posiłki'!$E$97:$E$696,"&lt;&gt;")=0,"",SUMIFS('Posiłki'!$H$97:$H$696,'Posiłki'!$A$97:$A$696,$A35))))</x:f>
      </x:c>
      <x:c r="H35" s="25" t="str">
        <x:f>IF($A35="","",IF(COUNTIFS('Posiłki'!$A$97:$A$696,$A35,'Posiłki'!$I$97:$I$696,"brak danych")&gt;0,"brak danych",IF(COUNTIFS('Posiłki'!$A$97:$A$696,$A35,'Posiłki'!$E$97:$E$696,"&lt;&gt;")=0,"",SUMIFS('Posiłki'!$I$97:$I$696,'Posiłki'!$A$97:$A$696,$A35))))</x:f>
      </x:c>
      <x:c r="I35" s="25" t="str">
        <x:f>IF($A35="","",IF(COUNTIFS('Posiłki'!$A$97:$A$696,$A35,'Posiłki'!$J$97:$J$696,"brak danych")&gt;0,"brak danych",IF(COUNTIFS('Posiłki'!$A$97:$A$696,$A35,'Posiłki'!$E$97:$E$696,"&lt;&gt;")=0,"",SUMIFS('Posiłki'!$J$97:$J$696,'Posiłki'!$A$97:$A$696,$A35))))</x:f>
      </x:c>
      <x:c r="J35" s="25" t="str">
        <x:f>IF($A35="","",IF(COUNTIFS('Posiłki'!$A$97:$A$696,$A35,'Posiłki'!$K$97:$K$696,"brak danych")&gt;0,"brak danych",IF(COUNTIFS('Posiłki'!$A$97:$A$696,$A35,'Posiłki'!$E$97:$E$696,"&lt;&gt;")=0,"",SUMIFS('Posiłki'!$K$97:$K$696,'Posiłki'!$A$97:$A$696,$A35))))</x:f>
      </x:c>
      <x:c r="K35" s="24" t="str">
        <x:f>IF($A35="","",IF(COUNTIFS('Posiłki'!$A$97:$A$696,$A35,'Posiłki'!$L$97:$L$696,"brak danych")&gt;0,"brak danych",IF(COUNTIFS('Posiłki'!$A$97:$A$696,$A35,'Posiłki'!$F$97:$F$696,"&lt;&gt;")=0,"",SUMIFS('Posiłki'!$L$97:$L$696,'Posiłki'!$A$97:$A$696,$A35))))</x:f>
      </x:c>
      <x:c r="L35" s="25" t="str">
        <x:f>IF($A35="","",IF(COUNTIFS('Posiłki'!$A$97:$A$696,$A35,'Posiłki'!$P$97:$P$696,"brak danych")&gt;0,"brak danych",IF(COUNTIFS('Posiłki'!$A$97:$A$696,$A35,'Posiłki'!$F$97:$F$696,"&lt;&gt;")=0,"",SUMIFS('Posiłki'!$P$97:$P$696,'Posiłki'!$A$97:$A$696,$A35))))</x:f>
      </x:c>
      <x:c r="M35" s="18"/>
    </x:row>
    <x:row r="36" ht="25" customHeight="1">
      <x:c r="A36" s="19" t="str">
        <x:f>IF(ISNUMBER($B$4),$B$4+24,"")</x:f>
      </x:c>
      <x:c r="B36" s="2" t="str">
        <x:f>IF(A36="","",CHOOSE(WEEKDAY(A36,2),"pon.","wt.","śr.","czw.","pt.","sob.","niedz."))</x:f>
      </x:c>
      <x:c r="C36" s="18"/>
      <x:c r="D36" s="18"/>
      <x:c r="E36" s="23" t="str">
        <x:f>IF(A36="","",A36-2+16/24)</x:f>
      </x:c>
      <x:c r="F36" s="24" t="str">
        <x:f>IF($A36="","",IF(COUNTIFS('Posiłki'!$A$97:$A$696,$A36,'Posiłki'!$G$97:$G$696,"brak danych")&gt;0,"brak danych",IF(COUNTIFS('Posiłki'!$A$97:$A$696,$A36,'Posiłki'!$E$97:$E$696,"&lt;&gt;")=0,"",SUMIFS('Posiłki'!$G$97:$G$696,'Posiłki'!$A$97:$A$696,$A36))))</x:f>
      </x:c>
      <x:c r="G36" s="25" t="str">
        <x:f>IF($A36="","",IF(COUNTIFS('Posiłki'!$A$97:$A$696,$A36,'Posiłki'!$H$97:$H$696,"brak danych")&gt;0,"brak danych",IF(COUNTIFS('Posiłki'!$A$97:$A$696,$A36,'Posiłki'!$E$97:$E$696,"&lt;&gt;")=0,"",SUMIFS('Posiłki'!$H$97:$H$696,'Posiłki'!$A$97:$A$696,$A36))))</x:f>
      </x:c>
      <x:c r="H36" s="25" t="str">
        <x:f>IF($A36="","",IF(COUNTIFS('Posiłki'!$A$97:$A$696,$A36,'Posiłki'!$I$97:$I$696,"brak danych")&gt;0,"brak danych",IF(COUNTIFS('Posiłki'!$A$97:$A$696,$A36,'Posiłki'!$E$97:$E$696,"&lt;&gt;")=0,"",SUMIFS('Posiłki'!$I$97:$I$696,'Posiłki'!$A$97:$A$696,$A36))))</x:f>
      </x:c>
      <x:c r="I36" s="25" t="str">
        <x:f>IF($A36="","",IF(COUNTIFS('Posiłki'!$A$97:$A$696,$A36,'Posiłki'!$J$97:$J$696,"brak danych")&gt;0,"brak danych",IF(COUNTIFS('Posiłki'!$A$97:$A$696,$A36,'Posiłki'!$E$97:$E$696,"&lt;&gt;")=0,"",SUMIFS('Posiłki'!$J$97:$J$696,'Posiłki'!$A$97:$A$696,$A36))))</x:f>
      </x:c>
      <x:c r="J36" s="25" t="str">
        <x:f>IF($A36="","",IF(COUNTIFS('Posiłki'!$A$97:$A$696,$A36,'Posiłki'!$K$97:$K$696,"brak danych")&gt;0,"brak danych",IF(COUNTIFS('Posiłki'!$A$97:$A$696,$A36,'Posiłki'!$E$97:$E$696,"&lt;&gt;")=0,"",SUMIFS('Posiłki'!$K$97:$K$696,'Posiłki'!$A$97:$A$696,$A36))))</x:f>
      </x:c>
      <x:c r="K36" s="24" t="str">
        <x:f>IF($A36="","",IF(COUNTIFS('Posiłki'!$A$97:$A$696,$A36,'Posiłki'!$L$97:$L$696,"brak danych")&gt;0,"brak danych",IF(COUNTIFS('Posiłki'!$A$97:$A$696,$A36,'Posiłki'!$F$97:$F$696,"&lt;&gt;")=0,"",SUMIFS('Posiłki'!$L$97:$L$696,'Posiłki'!$A$97:$A$696,$A36))))</x:f>
      </x:c>
      <x:c r="L36" s="25" t="str">
        <x:f>IF($A36="","",IF(COUNTIFS('Posiłki'!$A$97:$A$696,$A36,'Posiłki'!$P$97:$P$696,"brak danych")&gt;0,"brak danych",IF(COUNTIFS('Posiłki'!$A$97:$A$696,$A36,'Posiłki'!$F$97:$F$696,"&lt;&gt;")=0,"",SUMIFS('Posiłki'!$P$97:$P$696,'Posiłki'!$A$97:$A$696,$A36))))</x:f>
      </x:c>
      <x:c r="M36" s="18"/>
    </x:row>
    <x:row r="37" ht="25" customHeight="1">
      <x:c r="A37" s="19" t="str">
        <x:f>IF(ISNUMBER($B$4),$B$4+25,"")</x:f>
      </x:c>
      <x:c r="B37" s="2" t="str">
        <x:f>IF(A37="","",CHOOSE(WEEKDAY(A37,2),"pon.","wt.","śr.","czw.","pt.","sob.","niedz."))</x:f>
      </x:c>
      <x:c r="C37" s="18"/>
      <x:c r="D37" s="18"/>
      <x:c r="E37" s="23" t="str">
        <x:f>IF(A37="","",A37-2+16/24)</x:f>
      </x:c>
      <x:c r="F37" s="24" t="str">
        <x:f>IF($A37="","",IF(COUNTIFS('Posiłki'!$A$97:$A$696,$A37,'Posiłki'!$G$97:$G$696,"brak danych")&gt;0,"brak danych",IF(COUNTIFS('Posiłki'!$A$97:$A$696,$A37,'Posiłki'!$E$97:$E$696,"&lt;&gt;")=0,"",SUMIFS('Posiłki'!$G$97:$G$696,'Posiłki'!$A$97:$A$696,$A37))))</x:f>
      </x:c>
      <x:c r="G37" s="25" t="str">
        <x:f>IF($A37="","",IF(COUNTIFS('Posiłki'!$A$97:$A$696,$A37,'Posiłki'!$H$97:$H$696,"brak danych")&gt;0,"brak danych",IF(COUNTIFS('Posiłki'!$A$97:$A$696,$A37,'Posiłki'!$E$97:$E$696,"&lt;&gt;")=0,"",SUMIFS('Posiłki'!$H$97:$H$696,'Posiłki'!$A$97:$A$696,$A37))))</x:f>
      </x:c>
      <x:c r="H37" s="25" t="str">
        <x:f>IF($A37="","",IF(COUNTIFS('Posiłki'!$A$97:$A$696,$A37,'Posiłki'!$I$97:$I$696,"brak danych")&gt;0,"brak danych",IF(COUNTIFS('Posiłki'!$A$97:$A$696,$A37,'Posiłki'!$E$97:$E$696,"&lt;&gt;")=0,"",SUMIFS('Posiłki'!$I$97:$I$696,'Posiłki'!$A$97:$A$696,$A37))))</x:f>
      </x:c>
      <x:c r="I37" s="25" t="str">
        <x:f>IF($A37="","",IF(COUNTIFS('Posiłki'!$A$97:$A$696,$A37,'Posiłki'!$J$97:$J$696,"brak danych")&gt;0,"brak danych",IF(COUNTIFS('Posiłki'!$A$97:$A$696,$A37,'Posiłki'!$E$97:$E$696,"&lt;&gt;")=0,"",SUMIFS('Posiłki'!$J$97:$J$696,'Posiłki'!$A$97:$A$696,$A37))))</x:f>
      </x:c>
      <x:c r="J37" s="25" t="str">
        <x:f>IF($A37="","",IF(COUNTIFS('Posiłki'!$A$97:$A$696,$A37,'Posiłki'!$K$97:$K$696,"brak danych")&gt;0,"brak danych",IF(COUNTIFS('Posiłki'!$A$97:$A$696,$A37,'Posiłki'!$E$97:$E$696,"&lt;&gt;")=0,"",SUMIFS('Posiłki'!$K$97:$K$696,'Posiłki'!$A$97:$A$696,$A37))))</x:f>
      </x:c>
      <x:c r="K37" s="24" t="str">
        <x:f>IF($A37="","",IF(COUNTIFS('Posiłki'!$A$97:$A$696,$A37,'Posiłki'!$L$97:$L$696,"brak danych")&gt;0,"brak danych",IF(COUNTIFS('Posiłki'!$A$97:$A$696,$A37,'Posiłki'!$F$97:$F$696,"&lt;&gt;")=0,"",SUMIFS('Posiłki'!$L$97:$L$696,'Posiłki'!$A$97:$A$696,$A37))))</x:f>
      </x:c>
      <x:c r="L37" s="25" t="str">
        <x:f>IF($A37="","",IF(COUNTIFS('Posiłki'!$A$97:$A$696,$A37,'Posiłki'!$P$97:$P$696,"brak danych")&gt;0,"brak danych",IF(COUNTIFS('Posiłki'!$A$97:$A$696,$A37,'Posiłki'!$F$97:$F$696,"&lt;&gt;")=0,"",SUMIFS('Posiłki'!$P$97:$P$696,'Posiłki'!$A$97:$A$696,$A37))))</x:f>
      </x:c>
      <x:c r="M37" s="18"/>
    </x:row>
    <x:row r="38" ht="25" customHeight="1">
      <x:c r="A38" s="19" t="str">
        <x:f>IF(ISNUMBER($B$4),$B$4+26,"")</x:f>
      </x:c>
      <x:c r="B38" s="2" t="str">
        <x:f>IF(A38="","",CHOOSE(WEEKDAY(A38,2),"pon.","wt.","śr.","czw.","pt.","sob.","niedz."))</x:f>
      </x:c>
      <x:c r="C38" s="18"/>
      <x:c r="D38" s="18"/>
      <x:c r="E38" s="23" t="str">
        <x:f>IF(A38="","",A38-2+16/24)</x:f>
      </x:c>
      <x:c r="F38" s="24" t="str">
        <x:f>IF($A38="","",IF(COUNTIFS('Posiłki'!$A$97:$A$696,$A38,'Posiłki'!$G$97:$G$696,"brak danych")&gt;0,"brak danych",IF(COUNTIFS('Posiłki'!$A$97:$A$696,$A38,'Posiłki'!$E$97:$E$696,"&lt;&gt;")=0,"",SUMIFS('Posiłki'!$G$97:$G$696,'Posiłki'!$A$97:$A$696,$A38))))</x:f>
      </x:c>
      <x:c r="G38" s="25" t="str">
        <x:f>IF($A38="","",IF(COUNTIFS('Posiłki'!$A$97:$A$696,$A38,'Posiłki'!$H$97:$H$696,"brak danych")&gt;0,"brak danych",IF(COUNTIFS('Posiłki'!$A$97:$A$696,$A38,'Posiłki'!$E$97:$E$696,"&lt;&gt;")=0,"",SUMIFS('Posiłki'!$H$97:$H$696,'Posiłki'!$A$97:$A$696,$A38))))</x:f>
      </x:c>
      <x:c r="H38" s="25" t="str">
        <x:f>IF($A38="","",IF(COUNTIFS('Posiłki'!$A$97:$A$696,$A38,'Posiłki'!$I$97:$I$696,"brak danych")&gt;0,"brak danych",IF(COUNTIFS('Posiłki'!$A$97:$A$696,$A38,'Posiłki'!$E$97:$E$696,"&lt;&gt;")=0,"",SUMIFS('Posiłki'!$I$97:$I$696,'Posiłki'!$A$97:$A$696,$A38))))</x:f>
      </x:c>
      <x:c r="I38" s="25" t="str">
        <x:f>IF($A38="","",IF(COUNTIFS('Posiłki'!$A$97:$A$696,$A38,'Posiłki'!$J$97:$J$696,"brak danych")&gt;0,"brak danych",IF(COUNTIFS('Posiłki'!$A$97:$A$696,$A38,'Posiłki'!$E$97:$E$696,"&lt;&gt;")=0,"",SUMIFS('Posiłki'!$J$97:$J$696,'Posiłki'!$A$97:$A$696,$A38))))</x:f>
      </x:c>
      <x:c r="J38" s="25" t="str">
        <x:f>IF($A38="","",IF(COUNTIFS('Posiłki'!$A$97:$A$696,$A38,'Posiłki'!$K$97:$K$696,"brak danych")&gt;0,"brak danych",IF(COUNTIFS('Posiłki'!$A$97:$A$696,$A38,'Posiłki'!$E$97:$E$696,"&lt;&gt;")=0,"",SUMIFS('Posiłki'!$K$97:$K$696,'Posiłki'!$A$97:$A$696,$A38))))</x:f>
      </x:c>
      <x:c r="K38" s="24" t="str">
        <x:f>IF($A38="","",IF(COUNTIFS('Posiłki'!$A$97:$A$696,$A38,'Posiłki'!$L$97:$L$696,"brak danych")&gt;0,"brak danych",IF(COUNTIFS('Posiłki'!$A$97:$A$696,$A38,'Posiłki'!$F$97:$F$696,"&lt;&gt;")=0,"",SUMIFS('Posiłki'!$L$97:$L$696,'Posiłki'!$A$97:$A$696,$A38))))</x:f>
      </x:c>
      <x:c r="L38" s="25" t="str">
        <x:f>IF($A38="","",IF(COUNTIFS('Posiłki'!$A$97:$A$696,$A38,'Posiłki'!$P$97:$P$696,"brak danych")&gt;0,"brak danych",IF(COUNTIFS('Posiłki'!$A$97:$A$696,$A38,'Posiłki'!$F$97:$F$696,"&lt;&gt;")=0,"",SUMIFS('Posiłki'!$P$97:$P$696,'Posiłki'!$A$97:$A$696,$A38))))</x:f>
      </x:c>
      <x:c r="M38" s="18"/>
    </x:row>
    <x:row r="39" ht="25" customHeight="1">
      <x:c r="A39" s="19" t="str">
        <x:f>IF(ISNUMBER($B$4),$B$4+27,"")</x:f>
      </x:c>
      <x:c r="B39" s="2" t="str">
        <x:f>IF(A39="","",CHOOSE(WEEKDAY(A39,2),"pon.","wt.","śr.","czw.","pt.","sob.","niedz."))</x:f>
      </x:c>
      <x:c r="C39" s="18"/>
      <x:c r="D39" s="18"/>
      <x:c r="E39" s="23" t="str">
        <x:f>IF(A39="","",A39-2+16/24)</x:f>
      </x:c>
      <x:c r="F39" s="24" t="str">
        <x:f>IF($A39="","",IF(COUNTIFS('Posiłki'!$A$97:$A$696,$A39,'Posiłki'!$G$97:$G$696,"brak danych")&gt;0,"brak danych",IF(COUNTIFS('Posiłki'!$A$97:$A$696,$A39,'Posiłki'!$E$97:$E$696,"&lt;&gt;")=0,"",SUMIFS('Posiłki'!$G$97:$G$696,'Posiłki'!$A$97:$A$696,$A39))))</x:f>
      </x:c>
      <x:c r="G39" s="25" t="str">
        <x:f>IF($A39="","",IF(COUNTIFS('Posiłki'!$A$97:$A$696,$A39,'Posiłki'!$H$97:$H$696,"brak danych")&gt;0,"brak danych",IF(COUNTIFS('Posiłki'!$A$97:$A$696,$A39,'Posiłki'!$E$97:$E$696,"&lt;&gt;")=0,"",SUMIFS('Posiłki'!$H$97:$H$696,'Posiłki'!$A$97:$A$696,$A39))))</x:f>
      </x:c>
      <x:c r="H39" s="25" t="str">
        <x:f>IF($A39="","",IF(COUNTIFS('Posiłki'!$A$97:$A$696,$A39,'Posiłki'!$I$97:$I$696,"brak danych")&gt;0,"brak danych",IF(COUNTIFS('Posiłki'!$A$97:$A$696,$A39,'Posiłki'!$E$97:$E$696,"&lt;&gt;")=0,"",SUMIFS('Posiłki'!$I$97:$I$696,'Posiłki'!$A$97:$A$696,$A39))))</x:f>
      </x:c>
      <x:c r="I39" s="25" t="str">
        <x:f>IF($A39="","",IF(COUNTIFS('Posiłki'!$A$97:$A$696,$A39,'Posiłki'!$J$97:$J$696,"brak danych")&gt;0,"brak danych",IF(COUNTIFS('Posiłki'!$A$97:$A$696,$A39,'Posiłki'!$E$97:$E$696,"&lt;&gt;")=0,"",SUMIFS('Posiłki'!$J$97:$J$696,'Posiłki'!$A$97:$A$696,$A39))))</x:f>
      </x:c>
      <x:c r="J39" s="25" t="str">
        <x:f>IF($A39="","",IF(COUNTIFS('Posiłki'!$A$97:$A$696,$A39,'Posiłki'!$K$97:$K$696,"brak danych")&gt;0,"brak danych",IF(COUNTIFS('Posiłki'!$A$97:$A$696,$A39,'Posiłki'!$E$97:$E$696,"&lt;&gt;")=0,"",SUMIFS('Posiłki'!$K$97:$K$696,'Posiłki'!$A$97:$A$696,$A39))))</x:f>
      </x:c>
      <x:c r="K39" s="24" t="str">
        <x:f>IF($A39="","",IF(COUNTIFS('Posiłki'!$A$97:$A$696,$A39,'Posiłki'!$L$97:$L$696,"brak danych")&gt;0,"brak danych",IF(COUNTIFS('Posiłki'!$A$97:$A$696,$A39,'Posiłki'!$F$97:$F$696,"&lt;&gt;")=0,"",SUMIFS('Posiłki'!$L$97:$L$696,'Posiłki'!$A$97:$A$696,$A39))))</x:f>
      </x:c>
      <x:c r="L39" s="25" t="str">
        <x:f>IF($A39="","",IF(COUNTIFS('Posiłki'!$A$97:$A$696,$A39,'Posiłki'!$P$97:$P$696,"brak danych")&gt;0,"brak danych",IF(COUNTIFS('Posiłki'!$A$97:$A$696,$A39,'Posiłki'!$F$97:$F$696,"&lt;&gt;")=0,"",SUMIFS('Posiłki'!$P$97:$P$696,'Posiłki'!$A$97:$A$696,$A39))))</x:f>
      </x:c>
      <x:c r="M39" s="18"/>
    </x:row>
    <x:row r="40" ht="25" customHeight="1">
      <x:c r="A40" s="19" t="str">
        <x:f>IF(ISNUMBER($B$4),$B$4+28,"")</x:f>
      </x:c>
      <x:c r="B40" s="2" t="str">
        <x:f>IF(A40="","",CHOOSE(WEEKDAY(A40,2),"pon.","wt.","śr.","czw.","pt.","sob.","niedz."))</x:f>
      </x:c>
      <x:c r="C40" s="18"/>
      <x:c r="D40" s="18"/>
      <x:c r="E40" s="23" t="str">
        <x:f>IF(A40="","",A40-2+16/24)</x:f>
      </x:c>
      <x:c r="F40" s="24" t="str">
        <x:f>IF($A40="","",IF(COUNTIFS('Posiłki'!$A$97:$A$696,$A40,'Posiłki'!$G$97:$G$696,"brak danych")&gt;0,"brak danych",IF(COUNTIFS('Posiłki'!$A$97:$A$696,$A40,'Posiłki'!$E$97:$E$696,"&lt;&gt;")=0,"",SUMIFS('Posiłki'!$G$97:$G$696,'Posiłki'!$A$97:$A$696,$A40))))</x:f>
      </x:c>
      <x:c r="G40" s="25" t="str">
        <x:f>IF($A40="","",IF(COUNTIFS('Posiłki'!$A$97:$A$696,$A40,'Posiłki'!$H$97:$H$696,"brak danych")&gt;0,"brak danych",IF(COUNTIFS('Posiłki'!$A$97:$A$696,$A40,'Posiłki'!$E$97:$E$696,"&lt;&gt;")=0,"",SUMIFS('Posiłki'!$H$97:$H$696,'Posiłki'!$A$97:$A$696,$A40))))</x:f>
      </x:c>
      <x:c r="H40" s="25" t="str">
        <x:f>IF($A40="","",IF(COUNTIFS('Posiłki'!$A$97:$A$696,$A40,'Posiłki'!$I$97:$I$696,"brak danych")&gt;0,"brak danych",IF(COUNTIFS('Posiłki'!$A$97:$A$696,$A40,'Posiłki'!$E$97:$E$696,"&lt;&gt;")=0,"",SUMIFS('Posiłki'!$I$97:$I$696,'Posiłki'!$A$97:$A$696,$A40))))</x:f>
      </x:c>
      <x:c r="I40" s="25" t="str">
        <x:f>IF($A40="","",IF(COUNTIFS('Posiłki'!$A$97:$A$696,$A40,'Posiłki'!$J$97:$J$696,"brak danych")&gt;0,"brak danych",IF(COUNTIFS('Posiłki'!$A$97:$A$696,$A40,'Posiłki'!$E$97:$E$696,"&lt;&gt;")=0,"",SUMIFS('Posiłki'!$J$97:$J$696,'Posiłki'!$A$97:$A$696,$A40))))</x:f>
      </x:c>
      <x:c r="J40" s="25" t="str">
        <x:f>IF($A40="","",IF(COUNTIFS('Posiłki'!$A$97:$A$696,$A40,'Posiłki'!$K$97:$K$696,"brak danych")&gt;0,"brak danych",IF(COUNTIFS('Posiłki'!$A$97:$A$696,$A40,'Posiłki'!$E$97:$E$696,"&lt;&gt;")=0,"",SUMIFS('Posiłki'!$K$97:$K$696,'Posiłki'!$A$97:$A$696,$A40))))</x:f>
      </x:c>
      <x:c r="K40" s="24" t="str">
        <x:f>IF($A40="","",IF(COUNTIFS('Posiłki'!$A$97:$A$696,$A40,'Posiłki'!$L$97:$L$696,"brak danych")&gt;0,"brak danych",IF(COUNTIFS('Posiłki'!$A$97:$A$696,$A40,'Posiłki'!$F$97:$F$696,"&lt;&gt;")=0,"",SUMIFS('Posiłki'!$L$97:$L$696,'Posiłki'!$A$97:$A$696,$A40))))</x:f>
      </x:c>
      <x:c r="L40" s="25" t="str">
        <x:f>IF($A40="","",IF(COUNTIFS('Posiłki'!$A$97:$A$696,$A40,'Posiłki'!$P$97:$P$696,"brak danych")&gt;0,"brak danych",IF(COUNTIFS('Posiłki'!$A$97:$A$696,$A40,'Posiłki'!$F$97:$F$696,"&lt;&gt;")=0,"",SUMIFS('Posiłki'!$P$97:$P$696,'Posiłki'!$A$97:$A$696,$A40))))</x:f>
      </x:c>
      <x:c r="M40" s="18"/>
    </x:row>
    <x:row r="41" ht="25" customHeight="1">
      <x:c r="A41" s="19" t="str">
        <x:f>IF(ISNUMBER($B$4),$B$4+29,"")</x:f>
      </x:c>
      <x:c r="B41" s="2" t="str">
        <x:f>IF(A41="","",CHOOSE(WEEKDAY(A41,2),"pon.","wt.","śr.","czw.","pt.","sob.","niedz."))</x:f>
      </x:c>
      <x:c r="C41" s="18"/>
      <x:c r="D41" s="18"/>
      <x:c r="E41" s="23" t="str">
        <x:f>IF(A41="","",A41-2+16/24)</x:f>
      </x:c>
      <x:c r="F41" s="24" t="str">
        <x:f>IF($A41="","",IF(COUNTIFS('Posiłki'!$A$97:$A$696,$A41,'Posiłki'!$G$97:$G$696,"brak danych")&gt;0,"brak danych",IF(COUNTIFS('Posiłki'!$A$97:$A$696,$A41,'Posiłki'!$E$97:$E$696,"&lt;&gt;")=0,"",SUMIFS('Posiłki'!$G$97:$G$696,'Posiłki'!$A$97:$A$696,$A41))))</x:f>
      </x:c>
      <x:c r="G41" s="25" t="str">
        <x:f>IF($A41="","",IF(COUNTIFS('Posiłki'!$A$97:$A$696,$A41,'Posiłki'!$H$97:$H$696,"brak danych")&gt;0,"brak danych",IF(COUNTIFS('Posiłki'!$A$97:$A$696,$A41,'Posiłki'!$E$97:$E$696,"&lt;&gt;")=0,"",SUMIFS('Posiłki'!$H$97:$H$696,'Posiłki'!$A$97:$A$696,$A41))))</x:f>
      </x:c>
      <x:c r="H41" s="25" t="str">
        <x:f>IF($A41="","",IF(COUNTIFS('Posiłki'!$A$97:$A$696,$A41,'Posiłki'!$I$97:$I$696,"brak danych")&gt;0,"brak danych",IF(COUNTIFS('Posiłki'!$A$97:$A$696,$A41,'Posiłki'!$E$97:$E$696,"&lt;&gt;")=0,"",SUMIFS('Posiłki'!$I$97:$I$696,'Posiłki'!$A$97:$A$696,$A41))))</x:f>
      </x:c>
      <x:c r="I41" s="25" t="str">
        <x:f>IF($A41="","",IF(COUNTIFS('Posiłki'!$A$97:$A$696,$A41,'Posiłki'!$J$97:$J$696,"brak danych")&gt;0,"brak danych",IF(COUNTIFS('Posiłki'!$A$97:$A$696,$A41,'Posiłki'!$E$97:$E$696,"&lt;&gt;")=0,"",SUMIFS('Posiłki'!$J$97:$J$696,'Posiłki'!$A$97:$A$696,$A41))))</x:f>
      </x:c>
      <x:c r="J41" s="25" t="str">
        <x:f>IF($A41="","",IF(COUNTIFS('Posiłki'!$A$97:$A$696,$A41,'Posiłki'!$K$97:$K$696,"brak danych")&gt;0,"brak danych",IF(COUNTIFS('Posiłki'!$A$97:$A$696,$A41,'Posiłki'!$E$97:$E$696,"&lt;&gt;")=0,"",SUMIFS('Posiłki'!$K$97:$K$696,'Posiłki'!$A$97:$A$696,$A41))))</x:f>
      </x:c>
      <x:c r="K41" s="24" t="str">
        <x:f>IF($A41="","",IF(COUNTIFS('Posiłki'!$A$97:$A$696,$A41,'Posiłki'!$L$97:$L$696,"brak danych")&gt;0,"brak danych",IF(COUNTIFS('Posiłki'!$A$97:$A$696,$A41,'Posiłki'!$F$97:$F$696,"&lt;&gt;")=0,"",SUMIFS('Posiłki'!$L$97:$L$696,'Posiłki'!$A$97:$A$696,$A41))))</x:f>
      </x:c>
      <x:c r="L41" s="25" t="str">
        <x:f>IF($A41="","",IF(COUNTIFS('Posiłki'!$A$97:$A$696,$A41,'Posiłki'!$P$97:$P$696,"brak danych")&gt;0,"brak danych",IF(COUNTIFS('Posiłki'!$A$97:$A$696,$A41,'Posiłki'!$F$97:$F$696,"&lt;&gt;")=0,"",SUMIFS('Posiłki'!$P$97:$P$696,'Posiłki'!$A$97:$A$696,$A41))))</x:f>
      </x:c>
      <x:c r="M41" s="18"/>
    </x:row>
    <x:row r="42" ht="25" customHeight="1">
      <x:c r="A42" s="19" t="str">
        <x:f>IF(ISNUMBER($B$4),$B$4+30,"")</x:f>
      </x:c>
      <x:c r="B42" s="2" t="str">
        <x:f>IF(A42="","",CHOOSE(WEEKDAY(A42,2),"pon.","wt.","śr.","czw.","pt.","sob.","niedz."))</x:f>
      </x:c>
      <x:c r="C42" s="18"/>
      <x:c r="D42" s="18"/>
      <x:c r="E42" s="23" t="str">
        <x:f>IF(A42="","",A42-2+16/24)</x:f>
      </x:c>
      <x:c r="F42" s="24" t="str">
        <x:f>IF($A42="","",IF(COUNTIFS('Posiłki'!$A$97:$A$696,$A42,'Posiłki'!$G$97:$G$696,"brak danych")&gt;0,"brak danych",IF(COUNTIFS('Posiłki'!$A$97:$A$696,$A42,'Posiłki'!$E$97:$E$696,"&lt;&gt;")=0,"",SUMIFS('Posiłki'!$G$97:$G$696,'Posiłki'!$A$97:$A$696,$A42))))</x:f>
      </x:c>
      <x:c r="G42" s="25" t="str">
        <x:f>IF($A42="","",IF(COUNTIFS('Posiłki'!$A$97:$A$696,$A42,'Posiłki'!$H$97:$H$696,"brak danych")&gt;0,"brak danych",IF(COUNTIFS('Posiłki'!$A$97:$A$696,$A42,'Posiłki'!$E$97:$E$696,"&lt;&gt;")=0,"",SUMIFS('Posiłki'!$H$97:$H$696,'Posiłki'!$A$97:$A$696,$A42))))</x:f>
      </x:c>
      <x:c r="H42" s="25" t="str">
        <x:f>IF($A42="","",IF(COUNTIFS('Posiłki'!$A$97:$A$696,$A42,'Posiłki'!$I$97:$I$696,"brak danych")&gt;0,"brak danych",IF(COUNTIFS('Posiłki'!$A$97:$A$696,$A42,'Posiłki'!$E$97:$E$696,"&lt;&gt;")=0,"",SUMIFS('Posiłki'!$I$97:$I$696,'Posiłki'!$A$97:$A$696,$A42))))</x:f>
      </x:c>
      <x:c r="I42" s="25" t="str">
        <x:f>IF($A42="","",IF(COUNTIFS('Posiłki'!$A$97:$A$696,$A42,'Posiłki'!$J$97:$J$696,"brak danych")&gt;0,"brak danych",IF(COUNTIFS('Posiłki'!$A$97:$A$696,$A42,'Posiłki'!$E$97:$E$696,"&lt;&gt;")=0,"",SUMIFS('Posiłki'!$J$97:$J$696,'Posiłki'!$A$97:$A$696,$A42))))</x:f>
      </x:c>
      <x:c r="J42" s="25" t="str">
        <x:f>IF($A42="","",IF(COUNTIFS('Posiłki'!$A$97:$A$696,$A42,'Posiłki'!$K$97:$K$696,"brak danych")&gt;0,"brak danych",IF(COUNTIFS('Posiłki'!$A$97:$A$696,$A42,'Posiłki'!$E$97:$E$696,"&lt;&gt;")=0,"",SUMIFS('Posiłki'!$K$97:$K$696,'Posiłki'!$A$97:$A$696,$A42))))</x:f>
      </x:c>
      <x:c r="K42" s="24" t="str">
        <x:f>IF($A42="","",IF(COUNTIFS('Posiłki'!$A$97:$A$696,$A42,'Posiłki'!$L$97:$L$696,"brak danych")&gt;0,"brak danych",IF(COUNTIFS('Posiłki'!$A$97:$A$696,$A42,'Posiłki'!$F$97:$F$696,"&lt;&gt;")=0,"",SUMIFS('Posiłki'!$L$97:$L$696,'Posiłki'!$A$97:$A$696,$A42))))</x:f>
      </x:c>
      <x:c r="L42" s="25" t="str">
        <x:f>IF($A42="","",IF(COUNTIFS('Posiłki'!$A$97:$A$696,$A42,'Posiłki'!$P$97:$P$696,"brak danych")&gt;0,"brak danych",IF(COUNTIFS('Posiłki'!$A$97:$A$696,$A42,'Posiłki'!$F$97:$F$696,"&lt;&gt;")=0,"",SUMIFS('Posiłki'!$P$97:$P$696,'Posiłki'!$A$97:$A$696,$A42))))</x:f>
      </x:c>
      <x:c r="M42" s="18"/>
    </x:row>
    <x:row r="43" ht="25" customHeight="1">
      <x:c r="A43" s="19" t="str">
        <x:f>IF(ISNUMBER($B$4),$B$4+31,"")</x:f>
      </x:c>
      <x:c r="B43" s="2" t="str">
        <x:f>IF(A43="","",CHOOSE(WEEKDAY(A43,2),"pon.","wt.","śr.","czw.","pt.","sob.","niedz."))</x:f>
      </x:c>
      <x:c r="C43" s="18"/>
      <x:c r="D43" s="18"/>
      <x:c r="E43" s="23" t="str">
        <x:f>IF(A43="","",A43-2+16/24)</x:f>
      </x:c>
      <x:c r="F43" s="24" t="str">
        <x:f>IF($A43="","",IF(COUNTIFS('Posiłki'!$A$97:$A$696,$A43,'Posiłki'!$G$97:$G$696,"brak danych")&gt;0,"brak danych",IF(COUNTIFS('Posiłki'!$A$97:$A$696,$A43,'Posiłki'!$E$97:$E$696,"&lt;&gt;")=0,"",SUMIFS('Posiłki'!$G$97:$G$696,'Posiłki'!$A$97:$A$696,$A43))))</x:f>
      </x:c>
      <x:c r="G43" s="25" t="str">
        <x:f>IF($A43="","",IF(COUNTIFS('Posiłki'!$A$97:$A$696,$A43,'Posiłki'!$H$97:$H$696,"brak danych")&gt;0,"brak danych",IF(COUNTIFS('Posiłki'!$A$97:$A$696,$A43,'Posiłki'!$E$97:$E$696,"&lt;&gt;")=0,"",SUMIFS('Posiłki'!$H$97:$H$696,'Posiłki'!$A$97:$A$696,$A43))))</x:f>
      </x:c>
      <x:c r="H43" s="25" t="str">
        <x:f>IF($A43="","",IF(COUNTIFS('Posiłki'!$A$97:$A$696,$A43,'Posiłki'!$I$97:$I$696,"brak danych")&gt;0,"brak danych",IF(COUNTIFS('Posiłki'!$A$97:$A$696,$A43,'Posiłki'!$E$97:$E$696,"&lt;&gt;")=0,"",SUMIFS('Posiłki'!$I$97:$I$696,'Posiłki'!$A$97:$A$696,$A43))))</x:f>
      </x:c>
      <x:c r="I43" s="25" t="str">
        <x:f>IF($A43="","",IF(COUNTIFS('Posiłki'!$A$97:$A$696,$A43,'Posiłki'!$J$97:$J$696,"brak danych")&gt;0,"brak danych",IF(COUNTIFS('Posiłki'!$A$97:$A$696,$A43,'Posiłki'!$E$97:$E$696,"&lt;&gt;")=0,"",SUMIFS('Posiłki'!$J$97:$J$696,'Posiłki'!$A$97:$A$696,$A43))))</x:f>
      </x:c>
      <x:c r="J43" s="25" t="str">
        <x:f>IF($A43="","",IF(COUNTIFS('Posiłki'!$A$97:$A$696,$A43,'Posiłki'!$K$97:$K$696,"brak danych")&gt;0,"brak danych",IF(COUNTIFS('Posiłki'!$A$97:$A$696,$A43,'Posiłki'!$E$97:$E$696,"&lt;&gt;")=0,"",SUMIFS('Posiłki'!$K$97:$K$696,'Posiłki'!$A$97:$A$696,$A43))))</x:f>
      </x:c>
      <x:c r="K43" s="24" t="str">
        <x:f>IF($A43="","",IF(COUNTIFS('Posiłki'!$A$97:$A$696,$A43,'Posiłki'!$L$97:$L$696,"brak danych")&gt;0,"brak danych",IF(COUNTIFS('Posiłki'!$A$97:$A$696,$A43,'Posiłki'!$F$97:$F$696,"&lt;&gt;")=0,"",SUMIFS('Posiłki'!$L$97:$L$696,'Posiłki'!$A$97:$A$696,$A43))))</x:f>
      </x:c>
      <x:c r="L43" s="25" t="str">
        <x:f>IF($A43="","",IF(COUNTIFS('Posiłki'!$A$97:$A$696,$A43,'Posiłki'!$P$97:$P$696,"brak danych")&gt;0,"brak danych",IF(COUNTIFS('Posiłki'!$A$97:$A$696,$A43,'Posiłki'!$F$97:$F$696,"&lt;&gt;")=0,"",SUMIFS('Posiłki'!$P$97:$P$696,'Posiłki'!$A$97:$A$696,$A43))))</x:f>
      </x:c>
      <x:c r="M43" s="18"/>
    </x:row>
    <x:row r="44" ht="25" customHeight="1">
      <x:c r="A44" s="19" t="str">
        <x:f>IF(ISNUMBER($B$4),$B$4+32,"")</x:f>
      </x:c>
      <x:c r="B44" s="2" t="str">
        <x:f>IF(A44="","",CHOOSE(WEEKDAY(A44,2),"pon.","wt.","śr.","czw.","pt.","sob.","niedz."))</x:f>
      </x:c>
      <x:c r="C44" s="18"/>
      <x:c r="D44" s="18"/>
      <x:c r="E44" s="23" t="str">
        <x:f>IF(A44="","",A44-2+16/24)</x:f>
      </x:c>
      <x:c r="F44" s="24" t="str">
        <x:f>IF($A44="","",IF(COUNTIFS('Posiłki'!$A$97:$A$696,$A44,'Posiłki'!$G$97:$G$696,"brak danych")&gt;0,"brak danych",IF(COUNTIFS('Posiłki'!$A$97:$A$696,$A44,'Posiłki'!$E$97:$E$696,"&lt;&gt;")=0,"",SUMIFS('Posiłki'!$G$97:$G$696,'Posiłki'!$A$97:$A$696,$A44))))</x:f>
      </x:c>
      <x:c r="G44" s="25" t="str">
        <x:f>IF($A44="","",IF(COUNTIFS('Posiłki'!$A$97:$A$696,$A44,'Posiłki'!$H$97:$H$696,"brak danych")&gt;0,"brak danych",IF(COUNTIFS('Posiłki'!$A$97:$A$696,$A44,'Posiłki'!$E$97:$E$696,"&lt;&gt;")=0,"",SUMIFS('Posiłki'!$H$97:$H$696,'Posiłki'!$A$97:$A$696,$A44))))</x:f>
      </x:c>
      <x:c r="H44" s="25" t="str">
        <x:f>IF($A44="","",IF(COUNTIFS('Posiłki'!$A$97:$A$696,$A44,'Posiłki'!$I$97:$I$696,"brak danych")&gt;0,"brak danych",IF(COUNTIFS('Posiłki'!$A$97:$A$696,$A44,'Posiłki'!$E$97:$E$696,"&lt;&gt;")=0,"",SUMIFS('Posiłki'!$I$97:$I$696,'Posiłki'!$A$97:$A$696,$A44))))</x:f>
      </x:c>
      <x:c r="I44" s="25" t="str">
        <x:f>IF($A44="","",IF(COUNTIFS('Posiłki'!$A$97:$A$696,$A44,'Posiłki'!$J$97:$J$696,"brak danych")&gt;0,"brak danych",IF(COUNTIFS('Posiłki'!$A$97:$A$696,$A44,'Posiłki'!$E$97:$E$696,"&lt;&gt;")=0,"",SUMIFS('Posiłki'!$J$97:$J$696,'Posiłki'!$A$97:$A$696,$A44))))</x:f>
      </x:c>
      <x:c r="J44" s="25" t="str">
        <x:f>IF($A44="","",IF(COUNTIFS('Posiłki'!$A$97:$A$696,$A44,'Posiłki'!$K$97:$K$696,"brak danych")&gt;0,"brak danych",IF(COUNTIFS('Posiłki'!$A$97:$A$696,$A44,'Posiłki'!$E$97:$E$696,"&lt;&gt;")=0,"",SUMIFS('Posiłki'!$K$97:$K$696,'Posiłki'!$A$97:$A$696,$A44))))</x:f>
      </x:c>
      <x:c r="K44" s="24" t="str">
        <x:f>IF($A44="","",IF(COUNTIFS('Posiłki'!$A$97:$A$696,$A44,'Posiłki'!$L$97:$L$696,"brak danych")&gt;0,"brak danych",IF(COUNTIFS('Posiłki'!$A$97:$A$696,$A44,'Posiłki'!$F$97:$F$696,"&lt;&gt;")=0,"",SUMIFS('Posiłki'!$L$97:$L$696,'Posiłki'!$A$97:$A$696,$A44))))</x:f>
      </x:c>
      <x:c r="L44" s="25" t="str">
        <x:f>IF($A44="","",IF(COUNTIFS('Posiłki'!$A$97:$A$696,$A44,'Posiłki'!$P$97:$P$696,"brak danych")&gt;0,"brak danych",IF(COUNTIFS('Posiłki'!$A$97:$A$696,$A44,'Posiłki'!$F$97:$F$696,"&lt;&gt;")=0,"",SUMIFS('Posiłki'!$P$97:$P$696,'Posiłki'!$A$97:$A$696,$A44))))</x:f>
      </x:c>
      <x:c r="M44" s="18"/>
    </x:row>
    <x:row r="45" ht="25" customHeight="1">
      <x:c r="A45" s="19" t="str">
        <x:f>IF(ISNUMBER($B$4),$B$4+33,"")</x:f>
      </x:c>
      <x:c r="B45" s="2" t="str">
        <x:f>IF(A45="","",CHOOSE(WEEKDAY(A45,2),"pon.","wt.","śr.","czw.","pt.","sob.","niedz."))</x:f>
      </x:c>
      <x:c r="C45" s="18"/>
      <x:c r="D45" s="18"/>
      <x:c r="E45" s="23" t="str">
        <x:f>IF(A45="","",A45-2+16/24)</x:f>
      </x:c>
      <x:c r="F45" s="24" t="str">
        <x:f>IF($A45="","",IF(COUNTIFS('Posiłki'!$A$97:$A$696,$A45,'Posiłki'!$G$97:$G$696,"brak danych")&gt;0,"brak danych",IF(COUNTIFS('Posiłki'!$A$97:$A$696,$A45,'Posiłki'!$E$97:$E$696,"&lt;&gt;")=0,"",SUMIFS('Posiłki'!$G$97:$G$696,'Posiłki'!$A$97:$A$696,$A45))))</x:f>
      </x:c>
      <x:c r="G45" s="25" t="str">
        <x:f>IF($A45="","",IF(COUNTIFS('Posiłki'!$A$97:$A$696,$A45,'Posiłki'!$H$97:$H$696,"brak danych")&gt;0,"brak danych",IF(COUNTIFS('Posiłki'!$A$97:$A$696,$A45,'Posiłki'!$E$97:$E$696,"&lt;&gt;")=0,"",SUMIFS('Posiłki'!$H$97:$H$696,'Posiłki'!$A$97:$A$696,$A45))))</x:f>
      </x:c>
      <x:c r="H45" s="25" t="str">
        <x:f>IF($A45="","",IF(COUNTIFS('Posiłki'!$A$97:$A$696,$A45,'Posiłki'!$I$97:$I$696,"brak danych")&gt;0,"brak danych",IF(COUNTIFS('Posiłki'!$A$97:$A$696,$A45,'Posiłki'!$E$97:$E$696,"&lt;&gt;")=0,"",SUMIFS('Posiłki'!$I$97:$I$696,'Posiłki'!$A$97:$A$696,$A45))))</x:f>
      </x:c>
      <x:c r="I45" s="25" t="str">
        <x:f>IF($A45="","",IF(COUNTIFS('Posiłki'!$A$97:$A$696,$A45,'Posiłki'!$J$97:$J$696,"brak danych")&gt;0,"brak danych",IF(COUNTIFS('Posiłki'!$A$97:$A$696,$A45,'Posiłki'!$E$97:$E$696,"&lt;&gt;")=0,"",SUMIFS('Posiłki'!$J$97:$J$696,'Posiłki'!$A$97:$A$696,$A45))))</x:f>
      </x:c>
      <x:c r="J45" s="25" t="str">
        <x:f>IF($A45="","",IF(COUNTIFS('Posiłki'!$A$97:$A$696,$A45,'Posiłki'!$K$97:$K$696,"brak danych")&gt;0,"brak danych",IF(COUNTIFS('Posiłki'!$A$97:$A$696,$A45,'Posiłki'!$E$97:$E$696,"&lt;&gt;")=0,"",SUMIFS('Posiłki'!$K$97:$K$696,'Posiłki'!$A$97:$A$696,$A45))))</x:f>
      </x:c>
      <x:c r="K45" s="24" t="str">
        <x:f>IF($A45="","",IF(COUNTIFS('Posiłki'!$A$97:$A$696,$A45,'Posiłki'!$L$97:$L$696,"brak danych")&gt;0,"brak danych",IF(COUNTIFS('Posiłki'!$A$97:$A$696,$A45,'Posiłki'!$F$97:$F$696,"&lt;&gt;")=0,"",SUMIFS('Posiłki'!$L$97:$L$696,'Posiłki'!$A$97:$A$696,$A45))))</x:f>
      </x:c>
      <x:c r="L45" s="25" t="str">
        <x:f>IF($A45="","",IF(COUNTIFS('Posiłki'!$A$97:$A$696,$A45,'Posiłki'!$P$97:$P$696,"brak danych")&gt;0,"brak danych",IF(COUNTIFS('Posiłki'!$A$97:$A$696,$A45,'Posiłki'!$F$97:$F$696,"&lt;&gt;")=0,"",SUMIFS('Posiłki'!$P$97:$P$696,'Posiłki'!$A$97:$A$696,$A45))))</x:f>
      </x:c>
      <x:c r="M45" s="18"/>
    </x:row>
    <x:row r="46" ht="25" customHeight="1">
      <x:c r="A46" s="19" t="str">
        <x:f>IF(ISNUMBER($B$4),$B$4+34,"")</x:f>
      </x:c>
      <x:c r="B46" s="2" t="str">
        <x:f>IF(A46="","",CHOOSE(WEEKDAY(A46,2),"pon.","wt.","śr.","czw.","pt.","sob.","niedz."))</x:f>
      </x:c>
      <x:c r="C46" s="18"/>
      <x:c r="D46" s="18"/>
      <x:c r="E46" s="23" t="str">
        <x:f>IF(A46="","",A46-2+16/24)</x:f>
      </x:c>
      <x:c r="F46" s="24" t="str">
        <x:f>IF($A46="","",IF(COUNTIFS('Posiłki'!$A$97:$A$696,$A46,'Posiłki'!$G$97:$G$696,"brak danych")&gt;0,"brak danych",IF(COUNTIFS('Posiłki'!$A$97:$A$696,$A46,'Posiłki'!$E$97:$E$696,"&lt;&gt;")=0,"",SUMIFS('Posiłki'!$G$97:$G$696,'Posiłki'!$A$97:$A$696,$A46))))</x:f>
      </x:c>
      <x:c r="G46" s="25" t="str">
        <x:f>IF($A46="","",IF(COUNTIFS('Posiłki'!$A$97:$A$696,$A46,'Posiłki'!$H$97:$H$696,"brak danych")&gt;0,"brak danych",IF(COUNTIFS('Posiłki'!$A$97:$A$696,$A46,'Posiłki'!$E$97:$E$696,"&lt;&gt;")=0,"",SUMIFS('Posiłki'!$H$97:$H$696,'Posiłki'!$A$97:$A$696,$A46))))</x:f>
      </x:c>
      <x:c r="H46" s="25" t="str">
        <x:f>IF($A46="","",IF(COUNTIFS('Posiłki'!$A$97:$A$696,$A46,'Posiłki'!$I$97:$I$696,"brak danych")&gt;0,"brak danych",IF(COUNTIFS('Posiłki'!$A$97:$A$696,$A46,'Posiłki'!$E$97:$E$696,"&lt;&gt;")=0,"",SUMIFS('Posiłki'!$I$97:$I$696,'Posiłki'!$A$97:$A$696,$A46))))</x:f>
      </x:c>
      <x:c r="I46" s="25" t="str">
        <x:f>IF($A46="","",IF(COUNTIFS('Posiłki'!$A$97:$A$696,$A46,'Posiłki'!$J$97:$J$696,"brak danych")&gt;0,"brak danych",IF(COUNTIFS('Posiłki'!$A$97:$A$696,$A46,'Posiłki'!$E$97:$E$696,"&lt;&gt;")=0,"",SUMIFS('Posiłki'!$J$97:$J$696,'Posiłki'!$A$97:$A$696,$A46))))</x:f>
      </x:c>
      <x:c r="J46" s="25" t="str">
        <x:f>IF($A46="","",IF(COUNTIFS('Posiłki'!$A$97:$A$696,$A46,'Posiłki'!$K$97:$K$696,"brak danych")&gt;0,"brak danych",IF(COUNTIFS('Posiłki'!$A$97:$A$696,$A46,'Posiłki'!$E$97:$E$696,"&lt;&gt;")=0,"",SUMIFS('Posiłki'!$K$97:$K$696,'Posiłki'!$A$97:$A$696,$A46))))</x:f>
      </x:c>
      <x:c r="K46" s="24" t="str">
        <x:f>IF($A46="","",IF(COUNTIFS('Posiłki'!$A$97:$A$696,$A46,'Posiłki'!$L$97:$L$696,"brak danych")&gt;0,"brak danych",IF(COUNTIFS('Posiłki'!$A$97:$A$696,$A46,'Posiłki'!$F$97:$F$696,"&lt;&gt;")=0,"",SUMIFS('Posiłki'!$L$97:$L$696,'Posiłki'!$A$97:$A$696,$A46))))</x:f>
      </x:c>
      <x:c r="L46" s="25" t="str">
        <x:f>IF($A46="","",IF(COUNTIFS('Posiłki'!$A$97:$A$696,$A46,'Posiłki'!$P$97:$P$696,"brak danych")&gt;0,"brak danych",IF(COUNTIFS('Posiłki'!$A$97:$A$696,$A46,'Posiłki'!$F$97:$F$696,"&lt;&gt;")=0,"",SUMIFS('Posiłki'!$P$97:$P$696,'Posiłki'!$A$97:$A$696,$A46))))</x:f>
      </x:c>
      <x:c r="M46" s="18"/>
    </x:row>
    <x:row r="47" ht="25" customHeight="1">
      <x:c r="A47" s="19" t="str">
        <x:f>IF(ISNUMBER($B$4),$B$4+35,"")</x:f>
      </x:c>
      <x:c r="B47" s="2" t="str">
        <x:f>IF(A47="","",CHOOSE(WEEKDAY(A47,2),"pon.","wt.","śr.","czw.","pt.","sob.","niedz."))</x:f>
      </x:c>
      <x:c r="C47" s="18"/>
      <x:c r="D47" s="18"/>
      <x:c r="E47" s="23" t="str">
        <x:f>IF(A47="","",A47-2+16/24)</x:f>
      </x:c>
      <x:c r="F47" s="24" t="str">
        <x:f>IF($A47="","",IF(COUNTIFS('Posiłki'!$A$97:$A$696,$A47,'Posiłki'!$G$97:$G$696,"brak danych")&gt;0,"brak danych",IF(COUNTIFS('Posiłki'!$A$97:$A$696,$A47,'Posiłki'!$E$97:$E$696,"&lt;&gt;")=0,"",SUMIFS('Posiłki'!$G$97:$G$696,'Posiłki'!$A$97:$A$696,$A47))))</x:f>
      </x:c>
      <x:c r="G47" s="25" t="str">
        <x:f>IF($A47="","",IF(COUNTIFS('Posiłki'!$A$97:$A$696,$A47,'Posiłki'!$H$97:$H$696,"brak danych")&gt;0,"brak danych",IF(COUNTIFS('Posiłki'!$A$97:$A$696,$A47,'Posiłki'!$E$97:$E$696,"&lt;&gt;")=0,"",SUMIFS('Posiłki'!$H$97:$H$696,'Posiłki'!$A$97:$A$696,$A47))))</x:f>
      </x:c>
      <x:c r="H47" s="25" t="str">
        <x:f>IF($A47="","",IF(COUNTIFS('Posiłki'!$A$97:$A$696,$A47,'Posiłki'!$I$97:$I$696,"brak danych")&gt;0,"brak danych",IF(COUNTIFS('Posiłki'!$A$97:$A$696,$A47,'Posiłki'!$E$97:$E$696,"&lt;&gt;")=0,"",SUMIFS('Posiłki'!$I$97:$I$696,'Posiłki'!$A$97:$A$696,$A47))))</x:f>
      </x:c>
      <x:c r="I47" s="25" t="str">
        <x:f>IF($A47="","",IF(COUNTIFS('Posiłki'!$A$97:$A$696,$A47,'Posiłki'!$J$97:$J$696,"brak danych")&gt;0,"brak danych",IF(COUNTIFS('Posiłki'!$A$97:$A$696,$A47,'Posiłki'!$E$97:$E$696,"&lt;&gt;")=0,"",SUMIFS('Posiłki'!$J$97:$J$696,'Posiłki'!$A$97:$A$696,$A47))))</x:f>
      </x:c>
      <x:c r="J47" s="25" t="str">
        <x:f>IF($A47="","",IF(COUNTIFS('Posiłki'!$A$97:$A$696,$A47,'Posiłki'!$K$97:$K$696,"brak danych")&gt;0,"brak danych",IF(COUNTIFS('Posiłki'!$A$97:$A$696,$A47,'Posiłki'!$E$97:$E$696,"&lt;&gt;")=0,"",SUMIFS('Posiłki'!$K$97:$K$696,'Posiłki'!$A$97:$A$696,$A47))))</x:f>
      </x:c>
      <x:c r="K47" s="24" t="str">
        <x:f>IF($A47="","",IF(COUNTIFS('Posiłki'!$A$97:$A$696,$A47,'Posiłki'!$L$97:$L$696,"brak danych")&gt;0,"brak danych",IF(COUNTIFS('Posiłki'!$A$97:$A$696,$A47,'Posiłki'!$F$97:$F$696,"&lt;&gt;")=0,"",SUMIFS('Posiłki'!$L$97:$L$696,'Posiłki'!$A$97:$A$696,$A47))))</x:f>
      </x:c>
      <x:c r="L47" s="25" t="str">
        <x:f>IF($A47="","",IF(COUNTIFS('Posiłki'!$A$97:$A$696,$A47,'Posiłki'!$P$97:$P$696,"brak danych")&gt;0,"brak danych",IF(COUNTIFS('Posiłki'!$A$97:$A$696,$A47,'Posiłki'!$F$97:$F$696,"&lt;&gt;")=0,"",SUMIFS('Posiłki'!$P$97:$P$696,'Posiłki'!$A$97:$A$696,$A47))))</x:f>
      </x:c>
      <x:c r="M47" s="18"/>
    </x:row>
    <x:row r="48" ht="25" customHeight="1">
      <x:c r="A48" s="19" t="str">
        <x:f>IF(ISNUMBER($B$4),$B$4+36,"")</x:f>
      </x:c>
      <x:c r="B48" s="2" t="str">
        <x:f>IF(A48="","",CHOOSE(WEEKDAY(A48,2),"pon.","wt.","śr.","czw.","pt.","sob.","niedz."))</x:f>
      </x:c>
      <x:c r="C48" s="18"/>
      <x:c r="D48" s="18"/>
      <x:c r="E48" s="23" t="str">
        <x:f>IF(A48="","",A48-2+16/24)</x:f>
      </x:c>
      <x:c r="F48" s="24" t="str">
        <x:f>IF($A48="","",IF(COUNTIFS('Posiłki'!$A$97:$A$696,$A48,'Posiłki'!$G$97:$G$696,"brak danych")&gt;0,"brak danych",IF(COUNTIFS('Posiłki'!$A$97:$A$696,$A48,'Posiłki'!$E$97:$E$696,"&lt;&gt;")=0,"",SUMIFS('Posiłki'!$G$97:$G$696,'Posiłki'!$A$97:$A$696,$A48))))</x:f>
      </x:c>
      <x:c r="G48" s="25" t="str">
        <x:f>IF($A48="","",IF(COUNTIFS('Posiłki'!$A$97:$A$696,$A48,'Posiłki'!$H$97:$H$696,"brak danych")&gt;0,"brak danych",IF(COUNTIFS('Posiłki'!$A$97:$A$696,$A48,'Posiłki'!$E$97:$E$696,"&lt;&gt;")=0,"",SUMIFS('Posiłki'!$H$97:$H$696,'Posiłki'!$A$97:$A$696,$A48))))</x:f>
      </x:c>
      <x:c r="H48" s="25" t="str">
        <x:f>IF($A48="","",IF(COUNTIFS('Posiłki'!$A$97:$A$696,$A48,'Posiłki'!$I$97:$I$696,"brak danych")&gt;0,"brak danych",IF(COUNTIFS('Posiłki'!$A$97:$A$696,$A48,'Posiłki'!$E$97:$E$696,"&lt;&gt;")=0,"",SUMIFS('Posiłki'!$I$97:$I$696,'Posiłki'!$A$97:$A$696,$A48))))</x:f>
      </x:c>
      <x:c r="I48" s="25" t="str">
        <x:f>IF($A48="","",IF(COUNTIFS('Posiłki'!$A$97:$A$696,$A48,'Posiłki'!$J$97:$J$696,"brak danych")&gt;0,"brak danych",IF(COUNTIFS('Posiłki'!$A$97:$A$696,$A48,'Posiłki'!$E$97:$E$696,"&lt;&gt;")=0,"",SUMIFS('Posiłki'!$J$97:$J$696,'Posiłki'!$A$97:$A$696,$A48))))</x:f>
      </x:c>
      <x:c r="J48" s="25" t="str">
        <x:f>IF($A48="","",IF(COUNTIFS('Posiłki'!$A$97:$A$696,$A48,'Posiłki'!$K$97:$K$696,"brak danych")&gt;0,"brak danych",IF(COUNTIFS('Posiłki'!$A$97:$A$696,$A48,'Posiłki'!$E$97:$E$696,"&lt;&gt;")=0,"",SUMIFS('Posiłki'!$K$97:$K$696,'Posiłki'!$A$97:$A$696,$A48))))</x:f>
      </x:c>
      <x:c r="K48" s="24" t="str">
        <x:f>IF($A48="","",IF(COUNTIFS('Posiłki'!$A$97:$A$696,$A48,'Posiłki'!$L$97:$L$696,"brak danych")&gt;0,"brak danych",IF(COUNTIFS('Posiłki'!$A$97:$A$696,$A48,'Posiłki'!$F$97:$F$696,"&lt;&gt;")=0,"",SUMIFS('Posiłki'!$L$97:$L$696,'Posiłki'!$A$97:$A$696,$A48))))</x:f>
      </x:c>
      <x:c r="L48" s="25" t="str">
        <x:f>IF($A48="","",IF(COUNTIFS('Posiłki'!$A$97:$A$696,$A48,'Posiłki'!$P$97:$P$696,"brak danych")&gt;0,"brak danych",IF(COUNTIFS('Posiłki'!$A$97:$A$696,$A48,'Posiłki'!$F$97:$F$696,"&lt;&gt;")=0,"",SUMIFS('Posiłki'!$P$97:$P$696,'Posiłki'!$A$97:$A$696,$A48))))</x:f>
      </x:c>
      <x:c r="M48" s="18"/>
    </x:row>
    <x:row r="49" ht="25" customHeight="1">
      <x:c r="A49" s="19" t="str">
        <x:f>IF(ISNUMBER($B$4),$B$4+37,"")</x:f>
      </x:c>
      <x:c r="B49" s="2" t="str">
        <x:f>IF(A49="","",CHOOSE(WEEKDAY(A49,2),"pon.","wt.","śr.","czw.","pt.","sob.","niedz."))</x:f>
      </x:c>
      <x:c r="C49" s="18"/>
      <x:c r="D49" s="18"/>
      <x:c r="E49" s="23" t="str">
        <x:f>IF(A49="","",A49-2+16/24)</x:f>
      </x:c>
      <x:c r="F49" s="24" t="str">
        <x:f>IF($A49="","",IF(COUNTIFS('Posiłki'!$A$97:$A$696,$A49,'Posiłki'!$G$97:$G$696,"brak danych")&gt;0,"brak danych",IF(COUNTIFS('Posiłki'!$A$97:$A$696,$A49,'Posiłki'!$E$97:$E$696,"&lt;&gt;")=0,"",SUMIFS('Posiłki'!$G$97:$G$696,'Posiłki'!$A$97:$A$696,$A49))))</x:f>
      </x:c>
      <x:c r="G49" s="25" t="str">
        <x:f>IF($A49="","",IF(COUNTIFS('Posiłki'!$A$97:$A$696,$A49,'Posiłki'!$H$97:$H$696,"brak danych")&gt;0,"brak danych",IF(COUNTIFS('Posiłki'!$A$97:$A$696,$A49,'Posiłki'!$E$97:$E$696,"&lt;&gt;")=0,"",SUMIFS('Posiłki'!$H$97:$H$696,'Posiłki'!$A$97:$A$696,$A49))))</x:f>
      </x:c>
      <x:c r="H49" s="25" t="str">
        <x:f>IF($A49="","",IF(COUNTIFS('Posiłki'!$A$97:$A$696,$A49,'Posiłki'!$I$97:$I$696,"brak danych")&gt;0,"brak danych",IF(COUNTIFS('Posiłki'!$A$97:$A$696,$A49,'Posiłki'!$E$97:$E$696,"&lt;&gt;")=0,"",SUMIFS('Posiłki'!$I$97:$I$696,'Posiłki'!$A$97:$A$696,$A49))))</x:f>
      </x:c>
      <x:c r="I49" s="25" t="str">
        <x:f>IF($A49="","",IF(COUNTIFS('Posiłki'!$A$97:$A$696,$A49,'Posiłki'!$J$97:$J$696,"brak danych")&gt;0,"brak danych",IF(COUNTIFS('Posiłki'!$A$97:$A$696,$A49,'Posiłki'!$E$97:$E$696,"&lt;&gt;")=0,"",SUMIFS('Posiłki'!$J$97:$J$696,'Posiłki'!$A$97:$A$696,$A49))))</x:f>
      </x:c>
      <x:c r="J49" s="25" t="str">
        <x:f>IF($A49="","",IF(COUNTIFS('Posiłki'!$A$97:$A$696,$A49,'Posiłki'!$K$97:$K$696,"brak danych")&gt;0,"brak danych",IF(COUNTIFS('Posiłki'!$A$97:$A$696,$A49,'Posiłki'!$E$97:$E$696,"&lt;&gt;")=0,"",SUMIFS('Posiłki'!$K$97:$K$696,'Posiłki'!$A$97:$A$696,$A49))))</x:f>
      </x:c>
      <x:c r="K49" s="24" t="str">
        <x:f>IF($A49="","",IF(COUNTIFS('Posiłki'!$A$97:$A$696,$A49,'Posiłki'!$L$97:$L$696,"brak danych")&gt;0,"brak danych",IF(COUNTIFS('Posiłki'!$A$97:$A$696,$A49,'Posiłki'!$F$97:$F$696,"&lt;&gt;")=0,"",SUMIFS('Posiłki'!$L$97:$L$696,'Posiłki'!$A$97:$A$696,$A49))))</x:f>
      </x:c>
      <x:c r="L49" s="25" t="str">
        <x:f>IF($A49="","",IF(COUNTIFS('Posiłki'!$A$97:$A$696,$A49,'Posiłki'!$P$97:$P$696,"brak danych")&gt;0,"brak danych",IF(COUNTIFS('Posiłki'!$A$97:$A$696,$A49,'Posiłki'!$F$97:$F$696,"&lt;&gt;")=0,"",SUMIFS('Posiłki'!$P$97:$P$696,'Posiłki'!$A$97:$A$696,$A49))))</x:f>
      </x:c>
      <x:c r="M49" s="18"/>
    </x:row>
    <x:row r="50" ht="25" customHeight="1">
      <x:c r="A50" s="19" t="str">
        <x:f>IF(ISNUMBER($B$4),$B$4+38,"")</x:f>
      </x:c>
      <x:c r="B50" s="2" t="str">
        <x:f>IF(A50="","",CHOOSE(WEEKDAY(A50,2),"pon.","wt.","śr.","czw.","pt.","sob.","niedz."))</x:f>
      </x:c>
      <x:c r="C50" s="18"/>
      <x:c r="D50" s="18"/>
      <x:c r="E50" s="23" t="str">
        <x:f>IF(A50="","",A50-2+16/24)</x:f>
      </x:c>
      <x:c r="F50" s="24" t="str">
        <x:f>IF($A50="","",IF(COUNTIFS('Posiłki'!$A$97:$A$696,$A50,'Posiłki'!$G$97:$G$696,"brak danych")&gt;0,"brak danych",IF(COUNTIFS('Posiłki'!$A$97:$A$696,$A50,'Posiłki'!$E$97:$E$696,"&lt;&gt;")=0,"",SUMIFS('Posiłki'!$G$97:$G$696,'Posiłki'!$A$97:$A$696,$A50))))</x:f>
      </x:c>
      <x:c r="G50" s="25" t="str">
        <x:f>IF($A50="","",IF(COUNTIFS('Posiłki'!$A$97:$A$696,$A50,'Posiłki'!$H$97:$H$696,"brak danych")&gt;0,"brak danych",IF(COUNTIFS('Posiłki'!$A$97:$A$696,$A50,'Posiłki'!$E$97:$E$696,"&lt;&gt;")=0,"",SUMIFS('Posiłki'!$H$97:$H$696,'Posiłki'!$A$97:$A$696,$A50))))</x:f>
      </x:c>
      <x:c r="H50" s="25" t="str">
        <x:f>IF($A50="","",IF(COUNTIFS('Posiłki'!$A$97:$A$696,$A50,'Posiłki'!$I$97:$I$696,"brak danych")&gt;0,"brak danych",IF(COUNTIFS('Posiłki'!$A$97:$A$696,$A50,'Posiłki'!$E$97:$E$696,"&lt;&gt;")=0,"",SUMIFS('Posiłki'!$I$97:$I$696,'Posiłki'!$A$97:$A$696,$A50))))</x:f>
      </x:c>
      <x:c r="I50" s="25" t="str">
        <x:f>IF($A50="","",IF(COUNTIFS('Posiłki'!$A$97:$A$696,$A50,'Posiłki'!$J$97:$J$696,"brak danych")&gt;0,"brak danych",IF(COUNTIFS('Posiłki'!$A$97:$A$696,$A50,'Posiłki'!$E$97:$E$696,"&lt;&gt;")=0,"",SUMIFS('Posiłki'!$J$97:$J$696,'Posiłki'!$A$97:$A$696,$A50))))</x:f>
      </x:c>
      <x:c r="J50" s="25" t="str">
        <x:f>IF($A50="","",IF(COUNTIFS('Posiłki'!$A$97:$A$696,$A50,'Posiłki'!$K$97:$K$696,"brak danych")&gt;0,"brak danych",IF(COUNTIFS('Posiłki'!$A$97:$A$696,$A50,'Posiłki'!$E$97:$E$696,"&lt;&gt;")=0,"",SUMIFS('Posiłki'!$K$97:$K$696,'Posiłki'!$A$97:$A$696,$A50))))</x:f>
      </x:c>
      <x:c r="K50" s="24" t="str">
        <x:f>IF($A50="","",IF(COUNTIFS('Posiłki'!$A$97:$A$696,$A50,'Posiłki'!$L$97:$L$696,"brak danych")&gt;0,"brak danych",IF(COUNTIFS('Posiłki'!$A$97:$A$696,$A50,'Posiłki'!$F$97:$F$696,"&lt;&gt;")=0,"",SUMIFS('Posiłki'!$L$97:$L$696,'Posiłki'!$A$97:$A$696,$A50))))</x:f>
      </x:c>
      <x:c r="L50" s="25" t="str">
        <x:f>IF($A50="","",IF(COUNTIFS('Posiłki'!$A$97:$A$696,$A50,'Posiłki'!$P$97:$P$696,"brak danych")&gt;0,"brak danych",IF(COUNTIFS('Posiłki'!$A$97:$A$696,$A50,'Posiłki'!$F$97:$F$696,"&lt;&gt;")=0,"",SUMIFS('Posiłki'!$P$97:$P$696,'Posiłki'!$A$97:$A$696,$A50))))</x:f>
      </x:c>
      <x:c r="M50" s="18"/>
    </x:row>
    <x:row r="51" ht="25" customHeight="1">
      <x:c r="A51" s="19" t="str">
        <x:f>IF(ISNUMBER($B$4),$B$4+39,"")</x:f>
      </x:c>
      <x:c r="B51" s="2" t="str">
        <x:f>IF(A51="","",CHOOSE(WEEKDAY(A51,2),"pon.","wt.","śr.","czw.","pt.","sob.","niedz."))</x:f>
      </x:c>
      <x:c r="C51" s="18"/>
      <x:c r="D51" s="18"/>
      <x:c r="E51" s="23" t="str">
        <x:f>IF(A51="","",A51-2+16/24)</x:f>
      </x:c>
      <x:c r="F51" s="24" t="str">
        <x:f>IF($A51="","",IF(COUNTIFS('Posiłki'!$A$97:$A$696,$A51,'Posiłki'!$G$97:$G$696,"brak danych")&gt;0,"brak danych",IF(COUNTIFS('Posiłki'!$A$97:$A$696,$A51,'Posiłki'!$E$97:$E$696,"&lt;&gt;")=0,"",SUMIFS('Posiłki'!$G$97:$G$696,'Posiłki'!$A$97:$A$696,$A51))))</x:f>
      </x:c>
      <x:c r="G51" s="25" t="str">
        <x:f>IF($A51="","",IF(COUNTIFS('Posiłki'!$A$97:$A$696,$A51,'Posiłki'!$H$97:$H$696,"brak danych")&gt;0,"brak danych",IF(COUNTIFS('Posiłki'!$A$97:$A$696,$A51,'Posiłki'!$E$97:$E$696,"&lt;&gt;")=0,"",SUMIFS('Posiłki'!$H$97:$H$696,'Posiłki'!$A$97:$A$696,$A51))))</x:f>
      </x:c>
      <x:c r="H51" s="25" t="str">
        <x:f>IF($A51="","",IF(COUNTIFS('Posiłki'!$A$97:$A$696,$A51,'Posiłki'!$I$97:$I$696,"brak danych")&gt;0,"brak danych",IF(COUNTIFS('Posiłki'!$A$97:$A$696,$A51,'Posiłki'!$E$97:$E$696,"&lt;&gt;")=0,"",SUMIFS('Posiłki'!$I$97:$I$696,'Posiłki'!$A$97:$A$696,$A51))))</x:f>
      </x:c>
      <x:c r="I51" s="25" t="str">
        <x:f>IF($A51="","",IF(COUNTIFS('Posiłki'!$A$97:$A$696,$A51,'Posiłki'!$J$97:$J$696,"brak danych")&gt;0,"brak danych",IF(COUNTIFS('Posiłki'!$A$97:$A$696,$A51,'Posiłki'!$E$97:$E$696,"&lt;&gt;")=0,"",SUMIFS('Posiłki'!$J$97:$J$696,'Posiłki'!$A$97:$A$696,$A51))))</x:f>
      </x:c>
      <x:c r="J51" s="25" t="str">
        <x:f>IF($A51="","",IF(COUNTIFS('Posiłki'!$A$97:$A$696,$A51,'Posiłki'!$K$97:$K$696,"brak danych")&gt;0,"brak danych",IF(COUNTIFS('Posiłki'!$A$97:$A$696,$A51,'Posiłki'!$E$97:$E$696,"&lt;&gt;")=0,"",SUMIFS('Posiłki'!$K$97:$K$696,'Posiłki'!$A$97:$A$696,$A51))))</x:f>
      </x:c>
      <x:c r="K51" s="24" t="str">
        <x:f>IF($A51="","",IF(COUNTIFS('Posiłki'!$A$97:$A$696,$A51,'Posiłki'!$L$97:$L$696,"brak danych")&gt;0,"brak danych",IF(COUNTIFS('Posiłki'!$A$97:$A$696,$A51,'Posiłki'!$F$97:$F$696,"&lt;&gt;")=0,"",SUMIFS('Posiłki'!$L$97:$L$696,'Posiłki'!$A$97:$A$696,$A51))))</x:f>
      </x:c>
      <x:c r="L51" s="25" t="str">
        <x:f>IF($A51="","",IF(COUNTIFS('Posiłki'!$A$97:$A$696,$A51,'Posiłki'!$P$97:$P$696,"brak danych")&gt;0,"brak danych",IF(COUNTIFS('Posiłki'!$A$97:$A$696,$A51,'Posiłki'!$F$97:$F$696,"&lt;&gt;")=0,"",SUMIFS('Posiłki'!$P$97:$P$696,'Posiłki'!$A$97:$A$696,$A51))))</x:f>
      </x:c>
      <x:c r="M51" s="18"/>
    </x:row>
    <x:row r="52" ht="25" customHeight="1">
      <x:c r="A52" s="19" t="str">
        <x:f>IF(ISNUMBER($B$4),$B$4+40,"")</x:f>
      </x:c>
      <x:c r="B52" s="2" t="str">
        <x:f>IF(A52="","",CHOOSE(WEEKDAY(A52,2),"pon.","wt.","śr.","czw.","pt.","sob.","niedz."))</x:f>
      </x:c>
      <x:c r="C52" s="18"/>
      <x:c r="D52" s="18"/>
      <x:c r="E52" s="23" t="str">
        <x:f>IF(A52="","",A52-2+16/24)</x:f>
      </x:c>
      <x:c r="F52" s="24" t="str">
        <x:f>IF($A52="","",IF(COUNTIFS('Posiłki'!$A$97:$A$696,$A52,'Posiłki'!$G$97:$G$696,"brak danych")&gt;0,"brak danych",IF(COUNTIFS('Posiłki'!$A$97:$A$696,$A52,'Posiłki'!$E$97:$E$696,"&lt;&gt;")=0,"",SUMIFS('Posiłki'!$G$97:$G$696,'Posiłki'!$A$97:$A$696,$A52))))</x:f>
      </x:c>
      <x:c r="G52" s="25" t="str">
        <x:f>IF($A52="","",IF(COUNTIFS('Posiłki'!$A$97:$A$696,$A52,'Posiłki'!$H$97:$H$696,"brak danych")&gt;0,"brak danych",IF(COUNTIFS('Posiłki'!$A$97:$A$696,$A52,'Posiłki'!$E$97:$E$696,"&lt;&gt;")=0,"",SUMIFS('Posiłki'!$H$97:$H$696,'Posiłki'!$A$97:$A$696,$A52))))</x:f>
      </x:c>
      <x:c r="H52" s="25" t="str">
        <x:f>IF($A52="","",IF(COUNTIFS('Posiłki'!$A$97:$A$696,$A52,'Posiłki'!$I$97:$I$696,"brak danych")&gt;0,"brak danych",IF(COUNTIFS('Posiłki'!$A$97:$A$696,$A52,'Posiłki'!$E$97:$E$696,"&lt;&gt;")=0,"",SUMIFS('Posiłki'!$I$97:$I$696,'Posiłki'!$A$97:$A$696,$A52))))</x:f>
      </x:c>
      <x:c r="I52" s="25" t="str">
        <x:f>IF($A52="","",IF(COUNTIFS('Posiłki'!$A$97:$A$696,$A52,'Posiłki'!$J$97:$J$696,"brak danych")&gt;0,"brak danych",IF(COUNTIFS('Posiłki'!$A$97:$A$696,$A52,'Posiłki'!$E$97:$E$696,"&lt;&gt;")=0,"",SUMIFS('Posiłki'!$J$97:$J$696,'Posiłki'!$A$97:$A$696,$A52))))</x:f>
      </x:c>
      <x:c r="J52" s="25" t="str">
        <x:f>IF($A52="","",IF(COUNTIFS('Posiłki'!$A$97:$A$696,$A52,'Posiłki'!$K$97:$K$696,"brak danych")&gt;0,"brak danych",IF(COUNTIFS('Posiłki'!$A$97:$A$696,$A52,'Posiłki'!$E$97:$E$696,"&lt;&gt;")=0,"",SUMIFS('Posiłki'!$K$97:$K$696,'Posiłki'!$A$97:$A$696,$A52))))</x:f>
      </x:c>
      <x:c r="K52" s="24" t="str">
        <x:f>IF($A52="","",IF(COUNTIFS('Posiłki'!$A$97:$A$696,$A52,'Posiłki'!$L$97:$L$696,"brak danych")&gt;0,"brak danych",IF(COUNTIFS('Posiłki'!$A$97:$A$696,$A52,'Posiłki'!$F$97:$F$696,"&lt;&gt;")=0,"",SUMIFS('Posiłki'!$L$97:$L$696,'Posiłki'!$A$97:$A$696,$A52))))</x:f>
      </x:c>
      <x:c r="L52" s="25" t="str">
        <x:f>IF($A52="","",IF(COUNTIFS('Posiłki'!$A$97:$A$696,$A52,'Posiłki'!$P$97:$P$696,"brak danych")&gt;0,"brak danych",IF(COUNTIFS('Posiłki'!$A$97:$A$696,$A52,'Posiłki'!$F$97:$F$696,"&lt;&gt;")=0,"",SUMIFS('Posiłki'!$P$97:$P$696,'Posiłki'!$A$97:$A$696,$A52))))</x:f>
      </x:c>
      <x:c r="M52" s="18"/>
    </x:row>
    <x:row r="53" ht="25" customHeight="1">
      <x:c r="A53" s="19" t="str">
        <x:f>IF(ISNUMBER($B$4),$B$4+41,"")</x:f>
      </x:c>
      <x:c r="B53" s="2" t="str">
        <x:f>IF(A53="","",CHOOSE(WEEKDAY(A53,2),"pon.","wt.","śr.","czw.","pt.","sob.","niedz."))</x:f>
      </x:c>
      <x:c r="C53" s="18"/>
      <x:c r="D53" s="18"/>
      <x:c r="E53" s="23" t="str">
        <x:f>IF(A53="","",A53-2+16/24)</x:f>
      </x:c>
      <x:c r="F53" s="24" t="str">
        <x:f>IF($A53="","",IF(COUNTIFS('Posiłki'!$A$97:$A$696,$A53,'Posiłki'!$G$97:$G$696,"brak danych")&gt;0,"brak danych",IF(COUNTIFS('Posiłki'!$A$97:$A$696,$A53,'Posiłki'!$E$97:$E$696,"&lt;&gt;")=0,"",SUMIFS('Posiłki'!$G$97:$G$696,'Posiłki'!$A$97:$A$696,$A53))))</x:f>
      </x:c>
      <x:c r="G53" s="25" t="str">
        <x:f>IF($A53="","",IF(COUNTIFS('Posiłki'!$A$97:$A$696,$A53,'Posiłki'!$H$97:$H$696,"brak danych")&gt;0,"brak danych",IF(COUNTIFS('Posiłki'!$A$97:$A$696,$A53,'Posiłki'!$E$97:$E$696,"&lt;&gt;")=0,"",SUMIFS('Posiłki'!$H$97:$H$696,'Posiłki'!$A$97:$A$696,$A53))))</x:f>
      </x:c>
      <x:c r="H53" s="25" t="str">
        <x:f>IF($A53="","",IF(COUNTIFS('Posiłki'!$A$97:$A$696,$A53,'Posiłki'!$I$97:$I$696,"brak danych")&gt;0,"brak danych",IF(COUNTIFS('Posiłki'!$A$97:$A$696,$A53,'Posiłki'!$E$97:$E$696,"&lt;&gt;")=0,"",SUMIFS('Posiłki'!$I$97:$I$696,'Posiłki'!$A$97:$A$696,$A53))))</x:f>
      </x:c>
      <x:c r="I53" s="25" t="str">
        <x:f>IF($A53="","",IF(COUNTIFS('Posiłki'!$A$97:$A$696,$A53,'Posiłki'!$J$97:$J$696,"brak danych")&gt;0,"brak danych",IF(COUNTIFS('Posiłki'!$A$97:$A$696,$A53,'Posiłki'!$E$97:$E$696,"&lt;&gt;")=0,"",SUMIFS('Posiłki'!$J$97:$J$696,'Posiłki'!$A$97:$A$696,$A53))))</x:f>
      </x:c>
      <x:c r="J53" s="25" t="str">
        <x:f>IF($A53="","",IF(COUNTIFS('Posiłki'!$A$97:$A$696,$A53,'Posiłki'!$K$97:$K$696,"brak danych")&gt;0,"brak danych",IF(COUNTIFS('Posiłki'!$A$97:$A$696,$A53,'Posiłki'!$E$97:$E$696,"&lt;&gt;")=0,"",SUMIFS('Posiłki'!$K$97:$K$696,'Posiłki'!$A$97:$A$696,$A53))))</x:f>
      </x:c>
      <x:c r="K53" s="24" t="str">
        <x:f>IF($A53="","",IF(COUNTIFS('Posiłki'!$A$97:$A$696,$A53,'Posiłki'!$L$97:$L$696,"brak danych")&gt;0,"brak danych",IF(COUNTIFS('Posiłki'!$A$97:$A$696,$A53,'Posiłki'!$F$97:$F$696,"&lt;&gt;")=0,"",SUMIFS('Posiłki'!$L$97:$L$696,'Posiłki'!$A$97:$A$696,$A53))))</x:f>
      </x:c>
      <x:c r="L53" s="25" t="str">
        <x:f>IF($A53="","",IF(COUNTIFS('Posiłki'!$A$97:$A$696,$A53,'Posiłki'!$P$97:$P$696,"brak danych")&gt;0,"brak danych",IF(COUNTIFS('Posiłki'!$A$97:$A$696,$A53,'Posiłki'!$F$97:$F$696,"&lt;&gt;")=0,"",SUMIFS('Posiłki'!$P$97:$P$696,'Posiłki'!$A$97:$A$696,$A53))))</x:f>
      </x:c>
      <x:c r="M53" s="18"/>
    </x:row>
    <x:row r="54" ht="25" customHeight="1">
      <x:c r="A54" s="19" t="str">
        <x:f>IF(ISNUMBER($B$4),$B$4+42,"")</x:f>
      </x:c>
      <x:c r="B54" s="2" t="str">
        <x:f>IF(A54="","",CHOOSE(WEEKDAY(A54,2),"pon.","wt.","śr.","czw.","pt.","sob.","niedz."))</x:f>
      </x:c>
      <x:c r="C54" s="18"/>
      <x:c r="D54" s="18"/>
      <x:c r="E54" s="23" t="str">
        <x:f>IF(A54="","",A54-2+16/24)</x:f>
      </x:c>
      <x:c r="F54" s="24" t="str">
        <x:f>IF($A54="","",IF(COUNTIFS('Posiłki'!$A$97:$A$696,$A54,'Posiłki'!$G$97:$G$696,"brak danych")&gt;0,"brak danych",IF(COUNTIFS('Posiłki'!$A$97:$A$696,$A54,'Posiłki'!$E$97:$E$696,"&lt;&gt;")=0,"",SUMIFS('Posiłki'!$G$97:$G$696,'Posiłki'!$A$97:$A$696,$A54))))</x:f>
      </x:c>
      <x:c r="G54" s="25" t="str">
        <x:f>IF($A54="","",IF(COUNTIFS('Posiłki'!$A$97:$A$696,$A54,'Posiłki'!$H$97:$H$696,"brak danych")&gt;0,"brak danych",IF(COUNTIFS('Posiłki'!$A$97:$A$696,$A54,'Posiłki'!$E$97:$E$696,"&lt;&gt;")=0,"",SUMIFS('Posiłki'!$H$97:$H$696,'Posiłki'!$A$97:$A$696,$A54))))</x:f>
      </x:c>
      <x:c r="H54" s="25" t="str">
        <x:f>IF($A54="","",IF(COUNTIFS('Posiłki'!$A$97:$A$696,$A54,'Posiłki'!$I$97:$I$696,"brak danych")&gt;0,"brak danych",IF(COUNTIFS('Posiłki'!$A$97:$A$696,$A54,'Posiłki'!$E$97:$E$696,"&lt;&gt;")=0,"",SUMIFS('Posiłki'!$I$97:$I$696,'Posiłki'!$A$97:$A$696,$A54))))</x:f>
      </x:c>
      <x:c r="I54" s="25" t="str">
        <x:f>IF($A54="","",IF(COUNTIFS('Posiłki'!$A$97:$A$696,$A54,'Posiłki'!$J$97:$J$696,"brak danych")&gt;0,"brak danych",IF(COUNTIFS('Posiłki'!$A$97:$A$696,$A54,'Posiłki'!$E$97:$E$696,"&lt;&gt;")=0,"",SUMIFS('Posiłki'!$J$97:$J$696,'Posiłki'!$A$97:$A$696,$A54))))</x:f>
      </x:c>
      <x:c r="J54" s="25" t="str">
        <x:f>IF($A54="","",IF(COUNTIFS('Posiłki'!$A$97:$A$696,$A54,'Posiłki'!$K$97:$K$696,"brak danych")&gt;0,"brak danych",IF(COUNTIFS('Posiłki'!$A$97:$A$696,$A54,'Posiłki'!$E$97:$E$696,"&lt;&gt;")=0,"",SUMIFS('Posiłki'!$K$97:$K$696,'Posiłki'!$A$97:$A$696,$A54))))</x:f>
      </x:c>
      <x:c r="K54" s="24" t="str">
        <x:f>IF($A54="","",IF(COUNTIFS('Posiłki'!$A$97:$A$696,$A54,'Posiłki'!$L$97:$L$696,"brak danych")&gt;0,"brak danych",IF(COUNTIFS('Posiłki'!$A$97:$A$696,$A54,'Posiłki'!$F$97:$F$696,"&lt;&gt;")=0,"",SUMIFS('Posiłki'!$L$97:$L$696,'Posiłki'!$A$97:$A$696,$A54))))</x:f>
      </x:c>
      <x:c r="L54" s="25" t="str">
        <x:f>IF($A54="","",IF(COUNTIFS('Posiłki'!$A$97:$A$696,$A54,'Posiłki'!$P$97:$P$696,"brak danych")&gt;0,"brak danych",IF(COUNTIFS('Posiłki'!$A$97:$A$696,$A54,'Posiłki'!$F$97:$F$696,"&lt;&gt;")=0,"",SUMIFS('Posiłki'!$P$97:$P$696,'Posiłki'!$A$97:$A$696,$A54))))</x:f>
      </x:c>
      <x:c r="M54" s="18"/>
    </x:row>
    <x:row r="55" ht="25" customHeight="1">
      <x:c r="A55" s="19" t="str">
        <x:f>IF(ISNUMBER($B$4),$B$4+43,"")</x:f>
      </x:c>
      <x:c r="B55" s="2" t="str">
        <x:f>IF(A55="","",CHOOSE(WEEKDAY(A55,2),"pon.","wt.","śr.","czw.","pt.","sob.","niedz."))</x:f>
      </x:c>
      <x:c r="C55" s="18"/>
      <x:c r="D55" s="18"/>
      <x:c r="E55" s="23" t="str">
        <x:f>IF(A55="","",A55-2+16/24)</x:f>
      </x:c>
      <x:c r="F55" s="24" t="str">
        <x:f>IF($A55="","",IF(COUNTIFS('Posiłki'!$A$97:$A$696,$A55,'Posiłki'!$G$97:$G$696,"brak danych")&gt;0,"brak danych",IF(COUNTIFS('Posiłki'!$A$97:$A$696,$A55,'Posiłki'!$E$97:$E$696,"&lt;&gt;")=0,"",SUMIFS('Posiłki'!$G$97:$G$696,'Posiłki'!$A$97:$A$696,$A55))))</x:f>
      </x:c>
      <x:c r="G55" s="25" t="str">
        <x:f>IF($A55="","",IF(COUNTIFS('Posiłki'!$A$97:$A$696,$A55,'Posiłki'!$H$97:$H$696,"brak danych")&gt;0,"brak danych",IF(COUNTIFS('Posiłki'!$A$97:$A$696,$A55,'Posiłki'!$E$97:$E$696,"&lt;&gt;")=0,"",SUMIFS('Posiłki'!$H$97:$H$696,'Posiłki'!$A$97:$A$696,$A55))))</x:f>
      </x:c>
      <x:c r="H55" s="25" t="str">
        <x:f>IF($A55="","",IF(COUNTIFS('Posiłki'!$A$97:$A$696,$A55,'Posiłki'!$I$97:$I$696,"brak danych")&gt;0,"brak danych",IF(COUNTIFS('Posiłki'!$A$97:$A$696,$A55,'Posiłki'!$E$97:$E$696,"&lt;&gt;")=0,"",SUMIFS('Posiłki'!$I$97:$I$696,'Posiłki'!$A$97:$A$696,$A55))))</x:f>
      </x:c>
      <x:c r="I55" s="25" t="str">
        <x:f>IF($A55="","",IF(COUNTIFS('Posiłki'!$A$97:$A$696,$A55,'Posiłki'!$J$97:$J$696,"brak danych")&gt;0,"brak danych",IF(COUNTIFS('Posiłki'!$A$97:$A$696,$A55,'Posiłki'!$E$97:$E$696,"&lt;&gt;")=0,"",SUMIFS('Posiłki'!$J$97:$J$696,'Posiłki'!$A$97:$A$696,$A55))))</x:f>
      </x:c>
      <x:c r="J55" s="25" t="str">
        <x:f>IF($A55="","",IF(COUNTIFS('Posiłki'!$A$97:$A$696,$A55,'Posiłki'!$K$97:$K$696,"brak danych")&gt;0,"brak danych",IF(COUNTIFS('Posiłki'!$A$97:$A$696,$A55,'Posiłki'!$E$97:$E$696,"&lt;&gt;")=0,"",SUMIFS('Posiłki'!$K$97:$K$696,'Posiłki'!$A$97:$A$696,$A55))))</x:f>
      </x:c>
      <x:c r="K55" s="24" t="str">
        <x:f>IF($A55="","",IF(COUNTIFS('Posiłki'!$A$97:$A$696,$A55,'Posiłki'!$L$97:$L$696,"brak danych")&gt;0,"brak danych",IF(COUNTIFS('Posiłki'!$A$97:$A$696,$A55,'Posiłki'!$F$97:$F$696,"&lt;&gt;")=0,"",SUMIFS('Posiłki'!$L$97:$L$696,'Posiłki'!$A$97:$A$696,$A55))))</x:f>
      </x:c>
      <x:c r="L55" s="25" t="str">
        <x:f>IF($A55="","",IF(COUNTIFS('Posiłki'!$A$97:$A$696,$A55,'Posiłki'!$P$97:$P$696,"brak danych")&gt;0,"brak danych",IF(COUNTIFS('Posiłki'!$A$97:$A$696,$A55,'Posiłki'!$F$97:$F$696,"&lt;&gt;")=0,"",SUMIFS('Posiłki'!$P$97:$P$696,'Posiłki'!$A$97:$A$696,$A55))))</x:f>
      </x:c>
      <x:c r="M55" s="18"/>
    </x:row>
    <x:row r="56" ht="25" customHeight="1">
      <x:c r="A56" s="19" t="str">
        <x:f>IF(ISNUMBER($B$4),$B$4+44,"")</x:f>
      </x:c>
      <x:c r="B56" s="2" t="str">
        <x:f>IF(A56="","",CHOOSE(WEEKDAY(A56,2),"pon.","wt.","śr.","czw.","pt.","sob.","niedz."))</x:f>
      </x:c>
      <x:c r="C56" s="18"/>
      <x:c r="D56" s="18"/>
      <x:c r="E56" s="23" t="str">
        <x:f>IF(A56="","",A56-2+16/24)</x:f>
      </x:c>
      <x:c r="F56" s="24" t="str">
        <x:f>IF($A56="","",IF(COUNTIFS('Posiłki'!$A$97:$A$696,$A56,'Posiłki'!$G$97:$G$696,"brak danych")&gt;0,"brak danych",IF(COUNTIFS('Posiłki'!$A$97:$A$696,$A56,'Posiłki'!$E$97:$E$696,"&lt;&gt;")=0,"",SUMIFS('Posiłki'!$G$97:$G$696,'Posiłki'!$A$97:$A$696,$A56))))</x:f>
      </x:c>
      <x:c r="G56" s="25" t="str">
        <x:f>IF($A56="","",IF(COUNTIFS('Posiłki'!$A$97:$A$696,$A56,'Posiłki'!$H$97:$H$696,"brak danych")&gt;0,"brak danych",IF(COUNTIFS('Posiłki'!$A$97:$A$696,$A56,'Posiłki'!$E$97:$E$696,"&lt;&gt;")=0,"",SUMIFS('Posiłki'!$H$97:$H$696,'Posiłki'!$A$97:$A$696,$A56))))</x:f>
      </x:c>
      <x:c r="H56" s="25" t="str">
        <x:f>IF($A56="","",IF(COUNTIFS('Posiłki'!$A$97:$A$696,$A56,'Posiłki'!$I$97:$I$696,"brak danych")&gt;0,"brak danych",IF(COUNTIFS('Posiłki'!$A$97:$A$696,$A56,'Posiłki'!$E$97:$E$696,"&lt;&gt;")=0,"",SUMIFS('Posiłki'!$I$97:$I$696,'Posiłki'!$A$97:$A$696,$A56))))</x:f>
      </x:c>
      <x:c r="I56" s="25" t="str">
        <x:f>IF($A56="","",IF(COUNTIFS('Posiłki'!$A$97:$A$696,$A56,'Posiłki'!$J$97:$J$696,"brak danych")&gt;0,"brak danych",IF(COUNTIFS('Posiłki'!$A$97:$A$696,$A56,'Posiłki'!$E$97:$E$696,"&lt;&gt;")=0,"",SUMIFS('Posiłki'!$J$97:$J$696,'Posiłki'!$A$97:$A$696,$A56))))</x:f>
      </x:c>
      <x:c r="J56" s="25" t="str">
        <x:f>IF($A56="","",IF(COUNTIFS('Posiłki'!$A$97:$A$696,$A56,'Posiłki'!$K$97:$K$696,"brak danych")&gt;0,"brak danych",IF(COUNTIFS('Posiłki'!$A$97:$A$696,$A56,'Posiłki'!$E$97:$E$696,"&lt;&gt;")=0,"",SUMIFS('Posiłki'!$K$97:$K$696,'Posiłki'!$A$97:$A$696,$A56))))</x:f>
      </x:c>
      <x:c r="K56" s="24" t="str">
        <x:f>IF($A56="","",IF(COUNTIFS('Posiłki'!$A$97:$A$696,$A56,'Posiłki'!$L$97:$L$696,"brak danych")&gt;0,"brak danych",IF(COUNTIFS('Posiłki'!$A$97:$A$696,$A56,'Posiłki'!$F$97:$F$696,"&lt;&gt;")=0,"",SUMIFS('Posiłki'!$L$97:$L$696,'Posiłki'!$A$97:$A$696,$A56))))</x:f>
      </x:c>
      <x:c r="L56" s="25" t="str">
        <x:f>IF($A56="","",IF(COUNTIFS('Posiłki'!$A$97:$A$696,$A56,'Posiłki'!$P$97:$P$696,"brak danych")&gt;0,"brak danych",IF(COUNTIFS('Posiłki'!$A$97:$A$696,$A56,'Posiłki'!$F$97:$F$696,"&lt;&gt;")=0,"",SUMIFS('Posiłki'!$P$97:$P$696,'Posiłki'!$A$97:$A$696,$A56))))</x:f>
      </x:c>
      <x:c r="M56" s="18"/>
    </x:row>
    <x:row r="57" ht="25" customHeight="1">
      <x:c r="A57" s="19" t="str">
        <x:f>IF(ISNUMBER($B$4),$B$4+45,"")</x:f>
      </x:c>
      <x:c r="B57" s="2" t="str">
        <x:f>IF(A57="","",CHOOSE(WEEKDAY(A57,2),"pon.","wt.","śr.","czw.","pt.","sob.","niedz."))</x:f>
      </x:c>
      <x:c r="C57" s="18"/>
      <x:c r="D57" s="18"/>
      <x:c r="E57" s="23" t="str">
        <x:f>IF(A57="","",A57-2+16/24)</x:f>
      </x:c>
      <x:c r="F57" s="24" t="str">
        <x:f>IF($A57="","",IF(COUNTIFS('Posiłki'!$A$97:$A$696,$A57,'Posiłki'!$G$97:$G$696,"brak danych")&gt;0,"brak danych",IF(COUNTIFS('Posiłki'!$A$97:$A$696,$A57,'Posiłki'!$E$97:$E$696,"&lt;&gt;")=0,"",SUMIFS('Posiłki'!$G$97:$G$696,'Posiłki'!$A$97:$A$696,$A57))))</x:f>
      </x:c>
      <x:c r="G57" s="25" t="str">
        <x:f>IF($A57="","",IF(COUNTIFS('Posiłki'!$A$97:$A$696,$A57,'Posiłki'!$H$97:$H$696,"brak danych")&gt;0,"brak danych",IF(COUNTIFS('Posiłki'!$A$97:$A$696,$A57,'Posiłki'!$E$97:$E$696,"&lt;&gt;")=0,"",SUMIFS('Posiłki'!$H$97:$H$696,'Posiłki'!$A$97:$A$696,$A57))))</x:f>
      </x:c>
      <x:c r="H57" s="25" t="str">
        <x:f>IF($A57="","",IF(COUNTIFS('Posiłki'!$A$97:$A$696,$A57,'Posiłki'!$I$97:$I$696,"brak danych")&gt;0,"brak danych",IF(COUNTIFS('Posiłki'!$A$97:$A$696,$A57,'Posiłki'!$E$97:$E$696,"&lt;&gt;")=0,"",SUMIFS('Posiłki'!$I$97:$I$696,'Posiłki'!$A$97:$A$696,$A57))))</x:f>
      </x:c>
      <x:c r="I57" s="25" t="str">
        <x:f>IF($A57="","",IF(COUNTIFS('Posiłki'!$A$97:$A$696,$A57,'Posiłki'!$J$97:$J$696,"brak danych")&gt;0,"brak danych",IF(COUNTIFS('Posiłki'!$A$97:$A$696,$A57,'Posiłki'!$E$97:$E$696,"&lt;&gt;")=0,"",SUMIFS('Posiłki'!$J$97:$J$696,'Posiłki'!$A$97:$A$696,$A57))))</x:f>
      </x:c>
      <x:c r="J57" s="25" t="str">
        <x:f>IF($A57="","",IF(COUNTIFS('Posiłki'!$A$97:$A$696,$A57,'Posiłki'!$K$97:$K$696,"brak danych")&gt;0,"brak danych",IF(COUNTIFS('Posiłki'!$A$97:$A$696,$A57,'Posiłki'!$E$97:$E$696,"&lt;&gt;")=0,"",SUMIFS('Posiłki'!$K$97:$K$696,'Posiłki'!$A$97:$A$696,$A57))))</x:f>
      </x:c>
      <x:c r="K57" s="24" t="str">
        <x:f>IF($A57="","",IF(COUNTIFS('Posiłki'!$A$97:$A$696,$A57,'Posiłki'!$L$97:$L$696,"brak danych")&gt;0,"brak danych",IF(COUNTIFS('Posiłki'!$A$97:$A$696,$A57,'Posiłki'!$F$97:$F$696,"&lt;&gt;")=0,"",SUMIFS('Posiłki'!$L$97:$L$696,'Posiłki'!$A$97:$A$696,$A57))))</x:f>
      </x:c>
      <x:c r="L57" s="25" t="str">
        <x:f>IF($A57="","",IF(COUNTIFS('Posiłki'!$A$97:$A$696,$A57,'Posiłki'!$P$97:$P$696,"brak danych")&gt;0,"brak danych",IF(COUNTIFS('Posiłki'!$A$97:$A$696,$A57,'Posiłki'!$F$97:$F$696,"&lt;&gt;")=0,"",SUMIFS('Posiłki'!$P$97:$P$696,'Posiłki'!$A$97:$A$696,$A57))))</x:f>
      </x:c>
      <x:c r="M57" s="18"/>
    </x:row>
    <x:row r="58" ht="25" customHeight="1">
      <x:c r="A58" s="19" t="str">
        <x:f>IF(ISNUMBER($B$4),$B$4+46,"")</x:f>
      </x:c>
      <x:c r="B58" s="2" t="str">
        <x:f>IF(A58="","",CHOOSE(WEEKDAY(A58,2),"pon.","wt.","śr.","czw.","pt.","sob.","niedz."))</x:f>
      </x:c>
      <x:c r="C58" s="18"/>
      <x:c r="D58" s="18"/>
      <x:c r="E58" s="23" t="str">
        <x:f>IF(A58="","",A58-2+16/24)</x:f>
      </x:c>
      <x:c r="F58" s="24" t="str">
        <x:f>IF($A58="","",IF(COUNTIFS('Posiłki'!$A$97:$A$696,$A58,'Posiłki'!$G$97:$G$696,"brak danych")&gt;0,"brak danych",IF(COUNTIFS('Posiłki'!$A$97:$A$696,$A58,'Posiłki'!$E$97:$E$696,"&lt;&gt;")=0,"",SUMIFS('Posiłki'!$G$97:$G$696,'Posiłki'!$A$97:$A$696,$A58))))</x:f>
      </x:c>
      <x:c r="G58" s="25" t="str">
        <x:f>IF($A58="","",IF(COUNTIFS('Posiłki'!$A$97:$A$696,$A58,'Posiłki'!$H$97:$H$696,"brak danych")&gt;0,"brak danych",IF(COUNTIFS('Posiłki'!$A$97:$A$696,$A58,'Posiłki'!$E$97:$E$696,"&lt;&gt;")=0,"",SUMIFS('Posiłki'!$H$97:$H$696,'Posiłki'!$A$97:$A$696,$A58))))</x:f>
      </x:c>
      <x:c r="H58" s="25" t="str">
        <x:f>IF($A58="","",IF(COUNTIFS('Posiłki'!$A$97:$A$696,$A58,'Posiłki'!$I$97:$I$696,"brak danych")&gt;0,"brak danych",IF(COUNTIFS('Posiłki'!$A$97:$A$696,$A58,'Posiłki'!$E$97:$E$696,"&lt;&gt;")=0,"",SUMIFS('Posiłki'!$I$97:$I$696,'Posiłki'!$A$97:$A$696,$A58))))</x:f>
      </x:c>
      <x:c r="I58" s="25" t="str">
        <x:f>IF($A58="","",IF(COUNTIFS('Posiłki'!$A$97:$A$696,$A58,'Posiłki'!$J$97:$J$696,"brak danych")&gt;0,"brak danych",IF(COUNTIFS('Posiłki'!$A$97:$A$696,$A58,'Posiłki'!$E$97:$E$696,"&lt;&gt;")=0,"",SUMIFS('Posiłki'!$J$97:$J$696,'Posiłki'!$A$97:$A$696,$A58))))</x:f>
      </x:c>
      <x:c r="J58" s="25" t="str">
        <x:f>IF($A58="","",IF(COUNTIFS('Posiłki'!$A$97:$A$696,$A58,'Posiłki'!$K$97:$K$696,"brak danych")&gt;0,"brak danych",IF(COUNTIFS('Posiłki'!$A$97:$A$696,$A58,'Posiłki'!$E$97:$E$696,"&lt;&gt;")=0,"",SUMIFS('Posiłki'!$K$97:$K$696,'Posiłki'!$A$97:$A$696,$A58))))</x:f>
      </x:c>
      <x:c r="K58" s="24" t="str">
        <x:f>IF($A58="","",IF(COUNTIFS('Posiłki'!$A$97:$A$696,$A58,'Posiłki'!$L$97:$L$696,"brak danych")&gt;0,"brak danych",IF(COUNTIFS('Posiłki'!$A$97:$A$696,$A58,'Posiłki'!$F$97:$F$696,"&lt;&gt;")=0,"",SUMIFS('Posiłki'!$L$97:$L$696,'Posiłki'!$A$97:$A$696,$A58))))</x:f>
      </x:c>
      <x:c r="L58" s="25" t="str">
        <x:f>IF($A58="","",IF(COUNTIFS('Posiłki'!$A$97:$A$696,$A58,'Posiłki'!$P$97:$P$696,"brak danych")&gt;0,"brak danych",IF(COUNTIFS('Posiłki'!$A$97:$A$696,$A58,'Posiłki'!$F$97:$F$696,"&lt;&gt;")=0,"",SUMIFS('Posiłki'!$P$97:$P$696,'Posiłki'!$A$97:$A$696,$A58))))</x:f>
      </x:c>
      <x:c r="M58" s="18"/>
    </x:row>
    <x:row r="59" ht="25" customHeight="1">
      <x:c r="A59" s="19" t="str">
        <x:f>IF(ISNUMBER($B$4),$B$4+47,"")</x:f>
      </x:c>
      <x:c r="B59" s="2" t="str">
        <x:f>IF(A59="","",CHOOSE(WEEKDAY(A59,2),"pon.","wt.","śr.","czw.","pt.","sob.","niedz."))</x:f>
      </x:c>
      <x:c r="C59" s="18"/>
      <x:c r="D59" s="18"/>
      <x:c r="E59" s="23" t="str">
        <x:f>IF(A59="","",A59-2+16/24)</x:f>
      </x:c>
      <x:c r="F59" s="24" t="str">
        <x:f>IF($A59="","",IF(COUNTIFS('Posiłki'!$A$97:$A$696,$A59,'Posiłki'!$G$97:$G$696,"brak danych")&gt;0,"brak danych",IF(COUNTIFS('Posiłki'!$A$97:$A$696,$A59,'Posiłki'!$E$97:$E$696,"&lt;&gt;")=0,"",SUMIFS('Posiłki'!$G$97:$G$696,'Posiłki'!$A$97:$A$696,$A59))))</x:f>
      </x:c>
      <x:c r="G59" s="25" t="str">
        <x:f>IF($A59="","",IF(COUNTIFS('Posiłki'!$A$97:$A$696,$A59,'Posiłki'!$H$97:$H$696,"brak danych")&gt;0,"brak danych",IF(COUNTIFS('Posiłki'!$A$97:$A$696,$A59,'Posiłki'!$E$97:$E$696,"&lt;&gt;")=0,"",SUMIFS('Posiłki'!$H$97:$H$696,'Posiłki'!$A$97:$A$696,$A59))))</x:f>
      </x:c>
      <x:c r="H59" s="25" t="str">
        <x:f>IF($A59="","",IF(COUNTIFS('Posiłki'!$A$97:$A$696,$A59,'Posiłki'!$I$97:$I$696,"brak danych")&gt;0,"brak danych",IF(COUNTIFS('Posiłki'!$A$97:$A$696,$A59,'Posiłki'!$E$97:$E$696,"&lt;&gt;")=0,"",SUMIFS('Posiłki'!$I$97:$I$696,'Posiłki'!$A$97:$A$696,$A59))))</x:f>
      </x:c>
      <x:c r="I59" s="25" t="str">
        <x:f>IF($A59="","",IF(COUNTIFS('Posiłki'!$A$97:$A$696,$A59,'Posiłki'!$J$97:$J$696,"brak danych")&gt;0,"brak danych",IF(COUNTIFS('Posiłki'!$A$97:$A$696,$A59,'Posiłki'!$E$97:$E$696,"&lt;&gt;")=0,"",SUMIFS('Posiłki'!$J$97:$J$696,'Posiłki'!$A$97:$A$696,$A59))))</x:f>
      </x:c>
      <x:c r="J59" s="25" t="str">
        <x:f>IF($A59="","",IF(COUNTIFS('Posiłki'!$A$97:$A$696,$A59,'Posiłki'!$K$97:$K$696,"brak danych")&gt;0,"brak danych",IF(COUNTIFS('Posiłki'!$A$97:$A$696,$A59,'Posiłki'!$E$97:$E$696,"&lt;&gt;")=0,"",SUMIFS('Posiłki'!$K$97:$K$696,'Posiłki'!$A$97:$A$696,$A59))))</x:f>
      </x:c>
      <x:c r="K59" s="24" t="str">
        <x:f>IF($A59="","",IF(COUNTIFS('Posiłki'!$A$97:$A$696,$A59,'Posiłki'!$L$97:$L$696,"brak danych")&gt;0,"brak danych",IF(COUNTIFS('Posiłki'!$A$97:$A$696,$A59,'Posiłki'!$F$97:$F$696,"&lt;&gt;")=0,"",SUMIFS('Posiłki'!$L$97:$L$696,'Posiłki'!$A$97:$A$696,$A59))))</x:f>
      </x:c>
      <x:c r="L59" s="25" t="str">
        <x:f>IF($A59="","",IF(COUNTIFS('Posiłki'!$A$97:$A$696,$A59,'Posiłki'!$P$97:$P$696,"brak danych")&gt;0,"brak danych",IF(COUNTIFS('Posiłki'!$A$97:$A$696,$A59,'Posiłki'!$F$97:$F$696,"&lt;&gt;")=0,"",SUMIFS('Posiłki'!$P$97:$P$696,'Posiłki'!$A$97:$A$696,$A59))))</x:f>
      </x:c>
      <x:c r="M59" s="18"/>
    </x:row>
    <x:row r="60" ht="25" customHeight="1">
      <x:c r="A60" s="19" t="str">
        <x:f>IF(ISNUMBER($B$4),$B$4+48,"")</x:f>
      </x:c>
      <x:c r="B60" s="2" t="str">
        <x:f>IF(A60="","",CHOOSE(WEEKDAY(A60,2),"pon.","wt.","śr.","czw.","pt.","sob.","niedz."))</x:f>
      </x:c>
      <x:c r="C60" s="18"/>
      <x:c r="D60" s="18"/>
      <x:c r="E60" s="23" t="str">
        <x:f>IF(A60="","",A60-2+16/24)</x:f>
      </x:c>
      <x:c r="F60" s="24" t="str">
        <x:f>IF($A60="","",IF(COUNTIFS('Posiłki'!$A$97:$A$696,$A60,'Posiłki'!$G$97:$G$696,"brak danych")&gt;0,"brak danych",IF(COUNTIFS('Posiłki'!$A$97:$A$696,$A60,'Posiłki'!$E$97:$E$696,"&lt;&gt;")=0,"",SUMIFS('Posiłki'!$G$97:$G$696,'Posiłki'!$A$97:$A$696,$A60))))</x:f>
      </x:c>
      <x:c r="G60" s="25" t="str">
        <x:f>IF($A60="","",IF(COUNTIFS('Posiłki'!$A$97:$A$696,$A60,'Posiłki'!$H$97:$H$696,"brak danych")&gt;0,"brak danych",IF(COUNTIFS('Posiłki'!$A$97:$A$696,$A60,'Posiłki'!$E$97:$E$696,"&lt;&gt;")=0,"",SUMIFS('Posiłki'!$H$97:$H$696,'Posiłki'!$A$97:$A$696,$A60))))</x:f>
      </x:c>
      <x:c r="H60" s="25" t="str">
        <x:f>IF($A60="","",IF(COUNTIFS('Posiłki'!$A$97:$A$696,$A60,'Posiłki'!$I$97:$I$696,"brak danych")&gt;0,"brak danych",IF(COUNTIFS('Posiłki'!$A$97:$A$696,$A60,'Posiłki'!$E$97:$E$696,"&lt;&gt;")=0,"",SUMIFS('Posiłki'!$I$97:$I$696,'Posiłki'!$A$97:$A$696,$A60))))</x:f>
      </x:c>
      <x:c r="I60" s="25" t="str">
        <x:f>IF($A60="","",IF(COUNTIFS('Posiłki'!$A$97:$A$696,$A60,'Posiłki'!$J$97:$J$696,"brak danych")&gt;0,"brak danych",IF(COUNTIFS('Posiłki'!$A$97:$A$696,$A60,'Posiłki'!$E$97:$E$696,"&lt;&gt;")=0,"",SUMIFS('Posiłki'!$J$97:$J$696,'Posiłki'!$A$97:$A$696,$A60))))</x:f>
      </x:c>
      <x:c r="J60" s="25" t="str">
        <x:f>IF($A60="","",IF(COUNTIFS('Posiłki'!$A$97:$A$696,$A60,'Posiłki'!$K$97:$K$696,"brak danych")&gt;0,"brak danych",IF(COUNTIFS('Posiłki'!$A$97:$A$696,$A60,'Posiłki'!$E$97:$E$696,"&lt;&gt;")=0,"",SUMIFS('Posiłki'!$K$97:$K$696,'Posiłki'!$A$97:$A$696,$A60))))</x:f>
      </x:c>
      <x:c r="K60" s="24" t="str">
        <x:f>IF($A60="","",IF(COUNTIFS('Posiłki'!$A$97:$A$696,$A60,'Posiłki'!$L$97:$L$696,"brak danych")&gt;0,"brak danych",IF(COUNTIFS('Posiłki'!$A$97:$A$696,$A60,'Posiłki'!$F$97:$F$696,"&lt;&gt;")=0,"",SUMIFS('Posiłki'!$L$97:$L$696,'Posiłki'!$A$97:$A$696,$A60))))</x:f>
      </x:c>
      <x:c r="L60" s="25" t="str">
        <x:f>IF($A60="","",IF(COUNTIFS('Posiłki'!$A$97:$A$696,$A60,'Posiłki'!$P$97:$P$696,"brak danych")&gt;0,"brak danych",IF(COUNTIFS('Posiłki'!$A$97:$A$696,$A60,'Posiłki'!$F$97:$F$696,"&lt;&gt;")=0,"",SUMIFS('Posiłki'!$P$97:$P$696,'Posiłki'!$A$97:$A$696,$A60))))</x:f>
      </x:c>
      <x:c r="M60" s="18"/>
    </x:row>
    <x:row r="61" ht="25" customHeight="1">
      <x:c r="A61" s="19" t="str">
        <x:f>IF(ISNUMBER($B$4),$B$4+49,"")</x:f>
      </x:c>
      <x:c r="B61" s="2" t="str">
        <x:f>IF(A61="","",CHOOSE(WEEKDAY(A61,2),"pon.","wt.","śr.","czw.","pt.","sob.","niedz."))</x:f>
      </x:c>
      <x:c r="C61" s="18"/>
      <x:c r="D61" s="18"/>
      <x:c r="E61" s="23" t="str">
        <x:f>IF(A61="","",A61-2+16/24)</x:f>
      </x:c>
      <x:c r="F61" s="24" t="str">
        <x:f>IF($A61="","",IF(COUNTIFS('Posiłki'!$A$97:$A$696,$A61,'Posiłki'!$G$97:$G$696,"brak danych")&gt;0,"brak danych",IF(COUNTIFS('Posiłki'!$A$97:$A$696,$A61,'Posiłki'!$E$97:$E$696,"&lt;&gt;")=0,"",SUMIFS('Posiłki'!$G$97:$G$696,'Posiłki'!$A$97:$A$696,$A61))))</x:f>
      </x:c>
      <x:c r="G61" s="25" t="str">
        <x:f>IF($A61="","",IF(COUNTIFS('Posiłki'!$A$97:$A$696,$A61,'Posiłki'!$H$97:$H$696,"brak danych")&gt;0,"brak danych",IF(COUNTIFS('Posiłki'!$A$97:$A$696,$A61,'Posiłki'!$E$97:$E$696,"&lt;&gt;")=0,"",SUMIFS('Posiłki'!$H$97:$H$696,'Posiłki'!$A$97:$A$696,$A61))))</x:f>
      </x:c>
      <x:c r="H61" s="25" t="str">
        <x:f>IF($A61="","",IF(COUNTIFS('Posiłki'!$A$97:$A$696,$A61,'Posiłki'!$I$97:$I$696,"brak danych")&gt;0,"brak danych",IF(COUNTIFS('Posiłki'!$A$97:$A$696,$A61,'Posiłki'!$E$97:$E$696,"&lt;&gt;")=0,"",SUMIFS('Posiłki'!$I$97:$I$696,'Posiłki'!$A$97:$A$696,$A61))))</x:f>
      </x:c>
      <x:c r="I61" s="25" t="str">
        <x:f>IF($A61="","",IF(COUNTIFS('Posiłki'!$A$97:$A$696,$A61,'Posiłki'!$J$97:$J$696,"brak danych")&gt;0,"brak danych",IF(COUNTIFS('Posiłki'!$A$97:$A$696,$A61,'Posiłki'!$E$97:$E$696,"&lt;&gt;")=0,"",SUMIFS('Posiłki'!$J$97:$J$696,'Posiłki'!$A$97:$A$696,$A61))))</x:f>
      </x:c>
      <x:c r="J61" s="25" t="str">
        <x:f>IF($A61="","",IF(COUNTIFS('Posiłki'!$A$97:$A$696,$A61,'Posiłki'!$K$97:$K$696,"brak danych")&gt;0,"brak danych",IF(COUNTIFS('Posiłki'!$A$97:$A$696,$A61,'Posiłki'!$E$97:$E$696,"&lt;&gt;")=0,"",SUMIFS('Posiłki'!$K$97:$K$696,'Posiłki'!$A$97:$A$696,$A61))))</x:f>
      </x:c>
      <x:c r="K61" s="24" t="str">
        <x:f>IF($A61="","",IF(COUNTIFS('Posiłki'!$A$97:$A$696,$A61,'Posiłki'!$L$97:$L$696,"brak danych")&gt;0,"brak danych",IF(COUNTIFS('Posiłki'!$A$97:$A$696,$A61,'Posiłki'!$F$97:$F$696,"&lt;&gt;")=0,"",SUMIFS('Posiłki'!$L$97:$L$696,'Posiłki'!$A$97:$A$696,$A61))))</x:f>
      </x:c>
      <x:c r="L61" s="25" t="str">
        <x:f>IF($A61="","",IF(COUNTIFS('Posiłki'!$A$97:$A$696,$A61,'Posiłki'!$P$97:$P$696,"brak danych")&gt;0,"brak danych",IF(COUNTIFS('Posiłki'!$A$97:$A$696,$A61,'Posiłki'!$F$97:$F$696,"&lt;&gt;")=0,"",SUMIFS('Posiłki'!$P$97:$P$696,'Posiłki'!$A$97:$A$696,$A61))))</x:f>
      </x:c>
      <x:c r="M61" s="18"/>
    </x:row>
    <x:row r="62" ht="25" customHeight="1">
      <x:c r="A62" s="19" t="str">
        <x:f>IF(ISNUMBER($B$4),$B$4+50,"")</x:f>
      </x:c>
      <x:c r="B62" s="2" t="str">
        <x:f>IF(A62="","",CHOOSE(WEEKDAY(A62,2),"pon.","wt.","śr.","czw.","pt.","sob.","niedz."))</x:f>
      </x:c>
      <x:c r="C62" s="18"/>
      <x:c r="D62" s="18"/>
      <x:c r="E62" s="23" t="str">
        <x:f>IF(A62="","",A62-2+16/24)</x:f>
      </x:c>
      <x:c r="F62" s="24" t="str">
        <x:f>IF($A62="","",IF(COUNTIFS('Posiłki'!$A$97:$A$696,$A62,'Posiłki'!$G$97:$G$696,"brak danych")&gt;0,"brak danych",IF(COUNTIFS('Posiłki'!$A$97:$A$696,$A62,'Posiłki'!$E$97:$E$696,"&lt;&gt;")=0,"",SUMIFS('Posiłki'!$G$97:$G$696,'Posiłki'!$A$97:$A$696,$A62))))</x:f>
      </x:c>
      <x:c r="G62" s="25" t="str">
        <x:f>IF($A62="","",IF(COUNTIFS('Posiłki'!$A$97:$A$696,$A62,'Posiłki'!$H$97:$H$696,"brak danych")&gt;0,"brak danych",IF(COUNTIFS('Posiłki'!$A$97:$A$696,$A62,'Posiłki'!$E$97:$E$696,"&lt;&gt;")=0,"",SUMIFS('Posiłki'!$H$97:$H$696,'Posiłki'!$A$97:$A$696,$A62))))</x:f>
      </x:c>
      <x:c r="H62" s="25" t="str">
        <x:f>IF($A62="","",IF(COUNTIFS('Posiłki'!$A$97:$A$696,$A62,'Posiłki'!$I$97:$I$696,"brak danych")&gt;0,"brak danych",IF(COUNTIFS('Posiłki'!$A$97:$A$696,$A62,'Posiłki'!$E$97:$E$696,"&lt;&gt;")=0,"",SUMIFS('Posiłki'!$I$97:$I$696,'Posiłki'!$A$97:$A$696,$A62))))</x:f>
      </x:c>
      <x:c r="I62" s="25" t="str">
        <x:f>IF($A62="","",IF(COUNTIFS('Posiłki'!$A$97:$A$696,$A62,'Posiłki'!$J$97:$J$696,"brak danych")&gt;0,"brak danych",IF(COUNTIFS('Posiłki'!$A$97:$A$696,$A62,'Posiłki'!$E$97:$E$696,"&lt;&gt;")=0,"",SUMIFS('Posiłki'!$J$97:$J$696,'Posiłki'!$A$97:$A$696,$A62))))</x:f>
      </x:c>
      <x:c r="J62" s="25" t="str">
        <x:f>IF($A62="","",IF(COUNTIFS('Posiłki'!$A$97:$A$696,$A62,'Posiłki'!$K$97:$K$696,"brak danych")&gt;0,"brak danych",IF(COUNTIFS('Posiłki'!$A$97:$A$696,$A62,'Posiłki'!$E$97:$E$696,"&lt;&gt;")=0,"",SUMIFS('Posiłki'!$K$97:$K$696,'Posiłki'!$A$97:$A$696,$A62))))</x:f>
      </x:c>
      <x:c r="K62" s="24" t="str">
        <x:f>IF($A62="","",IF(COUNTIFS('Posiłki'!$A$97:$A$696,$A62,'Posiłki'!$L$97:$L$696,"brak danych")&gt;0,"brak danych",IF(COUNTIFS('Posiłki'!$A$97:$A$696,$A62,'Posiłki'!$F$97:$F$696,"&lt;&gt;")=0,"",SUMIFS('Posiłki'!$L$97:$L$696,'Posiłki'!$A$97:$A$696,$A62))))</x:f>
      </x:c>
      <x:c r="L62" s="25" t="str">
        <x:f>IF($A62="","",IF(COUNTIFS('Posiłki'!$A$97:$A$696,$A62,'Posiłki'!$P$97:$P$696,"brak danych")&gt;0,"brak danych",IF(COUNTIFS('Posiłki'!$A$97:$A$696,$A62,'Posiłki'!$F$97:$F$696,"&lt;&gt;")=0,"",SUMIFS('Posiłki'!$P$97:$P$696,'Posiłki'!$A$97:$A$696,$A62))))</x:f>
      </x:c>
      <x:c r="M62" s="18"/>
    </x:row>
    <x:row r="63" ht="25" customHeight="1">
      <x:c r="A63" s="19" t="str">
        <x:f>IF(ISNUMBER($B$4),$B$4+51,"")</x:f>
      </x:c>
      <x:c r="B63" s="2" t="str">
        <x:f>IF(A63="","",CHOOSE(WEEKDAY(A63,2),"pon.","wt.","śr.","czw.","pt.","sob.","niedz."))</x:f>
      </x:c>
      <x:c r="C63" s="18"/>
      <x:c r="D63" s="18"/>
      <x:c r="E63" s="23" t="str">
        <x:f>IF(A63="","",A63-2+16/24)</x:f>
      </x:c>
      <x:c r="F63" s="24" t="str">
        <x:f>IF($A63="","",IF(COUNTIFS('Posiłki'!$A$97:$A$696,$A63,'Posiłki'!$G$97:$G$696,"brak danych")&gt;0,"brak danych",IF(COUNTIFS('Posiłki'!$A$97:$A$696,$A63,'Posiłki'!$E$97:$E$696,"&lt;&gt;")=0,"",SUMIFS('Posiłki'!$G$97:$G$696,'Posiłki'!$A$97:$A$696,$A63))))</x:f>
      </x:c>
      <x:c r="G63" s="25" t="str">
        <x:f>IF($A63="","",IF(COUNTIFS('Posiłki'!$A$97:$A$696,$A63,'Posiłki'!$H$97:$H$696,"brak danych")&gt;0,"brak danych",IF(COUNTIFS('Posiłki'!$A$97:$A$696,$A63,'Posiłki'!$E$97:$E$696,"&lt;&gt;")=0,"",SUMIFS('Posiłki'!$H$97:$H$696,'Posiłki'!$A$97:$A$696,$A63))))</x:f>
      </x:c>
      <x:c r="H63" s="25" t="str">
        <x:f>IF($A63="","",IF(COUNTIFS('Posiłki'!$A$97:$A$696,$A63,'Posiłki'!$I$97:$I$696,"brak danych")&gt;0,"brak danych",IF(COUNTIFS('Posiłki'!$A$97:$A$696,$A63,'Posiłki'!$E$97:$E$696,"&lt;&gt;")=0,"",SUMIFS('Posiłki'!$I$97:$I$696,'Posiłki'!$A$97:$A$696,$A63))))</x:f>
      </x:c>
      <x:c r="I63" s="25" t="str">
        <x:f>IF($A63="","",IF(COUNTIFS('Posiłki'!$A$97:$A$696,$A63,'Posiłki'!$J$97:$J$696,"brak danych")&gt;0,"brak danych",IF(COUNTIFS('Posiłki'!$A$97:$A$696,$A63,'Posiłki'!$E$97:$E$696,"&lt;&gt;")=0,"",SUMIFS('Posiłki'!$J$97:$J$696,'Posiłki'!$A$97:$A$696,$A63))))</x:f>
      </x:c>
      <x:c r="J63" s="25" t="str">
        <x:f>IF($A63="","",IF(COUNTIFS('Posiłki'!$A$97:$A$696,$A63,'Posiłki'!$K$97:$K$696,"brak danych")&gt;0,"brak danych",IF(COUNTIFS('Posiłki'!$A$97:$A$696,$A63,'Posiłki'!$E$97:$E$696,"&lt;&gt;")=0,"",SUMIFS('Posiłki'!$K$97:$K$696,'Posiłki'!$A$97:$A$696,$A63))))</x:f>
      </x:c>
      <x:c r="K63" s="24" t="str">
        <x:f>IF($A63="","",IF(COUNTIFS('Posiłki'!$A$97:$A$696,$A63,'Posiłki'!$L$97:$L$696,"brak danych")&gt;0,"brak danych",IF(COUNTIFS('Posiłki'!$A$97:$A$696,$A63,'Posiłki'!$F$97:$F$696,"&lt;&gt;")=0,"",SUMIFS('Posiłki'!$L$97:$L$696,'Posiłki'!$A$97:$A$696,$A63))))</x:f>
      </x:c>
      <x:c r="L63" s="25" t="str">
        <x:f>IF($A63="","",IF(COUNTIFS('Posiłki'!$A$97:$A$696,$A63,'Posiłki'!$P$97:$P$696,"brak danych")&gt;0,"brak danych",IF(COUNTIFS('Posiłki'!$A$97:$A$696,$A63,'Posiłki'!$F$97:$F$696,"&lt;&gt;")=0,"",SUMIFS('Posiłki'!$P$97:$P$696,'Posiłki'!$A$97:$A$696,$A63))))</x:f>
      </x:c>
      <x:c r="M63" s="18"/>
    </x:row>
    <x:row r="64" ht="25" customHeight="1">
      <x:c r="A64" s="19" t="str">
        <x:f>IF(ISNUMBER($B$4),$B$4+52,"")</x:f>
      </x:c>
      <x:c r="B64" s="2" t="str">
        <x:f>IF(A64="","",CHOOSE(WEEKDAY(A64,2),"pon.","wt.","śr.","czw.","pt.","sob.","niedz."))</x:f>
      </x:c>
      <x:c r="C64" s="18"/>
      <x:c r="D64" s="18"/>
      <x:c r="E64" s="23" t="str">
        <x:f>IF(A64="","",A64-2+16/24)</x:f>
      </x:c>
      <x:c r="F64" s="24" t="str">
        <x:f>IF($A64="","",IF(COUNTIFS('Posiłki'!$A$97:$A$696,$A64,'Posiłki'!$G$97:$G$696,"brak danych")&gt;0,"brak danych",IF(COUNTIFS('Posiłki'!$A$97:$A$696,$A64,'Posiłki'!$E$97:$E$696,"&lt;&gt;")=0,"",SUMIFS('Posiłki'!$G$97:$G$696,'Posiłki'!$A$97:$A$696,$A64))))</x:f>
      </x:c>
      <x:c r="G64" s="25" t="str">
        <x:f>IF($A64="","",IF(COUNTIFS('Posiłki'!$A$97:$A$696,$A64,'Posiłki'!$H$97:$H$696,"brak danych")&gt;0,"brak danych",IF(COUNTIFS('Posiłki'!$A$97:$A$696,$A64,'Posiłki'!$E$97:$E$696,"&lt;&gt;")=0,"",SUMIFS('Posiłki'!$H$97:$H$696,'Posiłki'!$A$97:$A$696,$A64))))</x:f>
      </x:c>
      <x:c r="H64" s="25" t="str">
        <x:f>IF($A64="","",IF(COUNTIFS('Posiłki'!$A$97:$A$696,$A64,'Posiłki'!$I$97:$I$696,"brak danych")&gt;0,"brak danych",IF(COUNTIFS('Posiłki'!$A$97:$A$696,$A64,'Posiłki'!$E$97:$E$696,"&lt;&gt;")=0,"",SUMIFS('Posiłki'!$I$97:$I$696,'Posiłki'!$A$97:$A$696,$A64))))</x:f>
      </x:c>
      <x:c r="I64" s="25" t="str">
        <x:f>IF($A64="","",IF(COUNTIFS('Posiłki'!$A$97:$A$696,$A64,'Posiłki'!$J$97:$J$696,"brak danych")&gt;0,"brak danych",IF(COUNTIFS('Posiłki'!$A$97:$A$696,$A64,'Posiłki'!$E$97:$E$696,"&lt;&gt;")=0,"",SUMIFS('Posiłki'!$J$97:$J$696,'Posiłki'!$A$97:$A$696,$A64))))</x:f>
      </x:c>
      <x:c r="J64" s="25" t="str">
        <x:f>IF($A64="","",IF(COUNTIFS('Posiłki'!$A$97:$A$696,$A64,'Posiłki'!$K$97:$K$696,"brak danych")&gt;0,"brak danych",IF(COUNTIFS('Posiłki'!$A$97:$A$696,$A64,'Posiłki'!$E$97:$E$696,"&lt;&gt;")=0,"",SUMIFS('Posiłki'!$K$97:$K$696,'Posiłki'!$A$97:$A$696,$A64))))</x:f>
      </x:c>
      <x:c r="K64" s="24" t="str">
        <x:f>IF($A64="","",IF(COUNTIFS('Posiłki'!$A$97:$A$696,$A64,'Posiłki'!$L$97:$L$696,"brak danych")&gt;0,"brak danych",IF(COUNTIFS('Posiłki'!$A$97:$A$696,$A64,'Posiłki'!$F$97:$F$696,"&lt;&gt;")=0,"",SUMIFS('Posiłki'!$L$97:$L$696,'Posiłki'!$A$97:$A$696,$A64))))</x:f>
      </x:c>
      <x:c r="L64" s="25" t="str">
        <x:f>IF($A64="","",IF(COUNTIFS('Posiłki'!$A$97:$A$696,$A64,'Posiłki'!$P$97:$P$696,"brak danych")&gt;0,"brak danych",IF(COUNTIFS('Posiłki'!$A$97:$A$696,$A64,'Posiłki'!$F$97:$F$696,"&lt;&gt;")=0,"",SUMIFS('Posiłki'!$P$97:$P$696,'Posiłki'!$A$97:$A$696,$A64))))</x:f>
      </x:c>
      <x:c r="M64" s="18"/>
    </x:row>
    <x:row r="65" ht="25" customHeight="1">
      <x:c r="A65" s="19" t="str">
        <x:f>IF(ISNUMBER($B$4),$B$4+53,"")</x:f>
      </x:c>
      <x:c r="B65" s="2" t="str">
        <x:f>IF(A65="","",CHOOSE(WEEKDAY(A65,2),"pon.","wt.","śr.","czw.","pt.","sob.","niedz."))</x:f>
      </x:c>
      <x:c r="C65" s="18"/>
      <x:c r="D65" s="18"/>
      <x:c r="E65" s="23" t="str">
        <x:f>IF(A65="","",A65-2+16/24)</x:f>
      </x:c>
      <x:c r="F65" s="24" t="str">
        <x:f>IF($A65="","",IF(COUNTIFS('Posiłki'!$A$97:$A$696,$A65,'Posiłki'!$G$97:$G$696,"brak danych")&gt;0,"brak danych",IF(COUNTIFS('Posiłki'!$A$97:$A$696,$A65,'Posiłki'!$E$97:$E$696,"&lt;&gt;")=0,"",SUMIFS('Posiłki'!$G$97:$G$696,'Posiłki'!$A$97:$A$696,$A65))))</x:f>
      </x:c>
      <x:c r="G65" s="25" t="str">
        <x:f>IF($A65="","",IF(COUNTIFS('Posiłki'!$A$97:$A$696,$A65,'Posiłki'!$H$97:$H$696,"brak danych")&gt;0,"brak danych",IF(COUNTIFS('Posiłki'!$A$97:$A$696,$A65,'Posiłki'!$E$97:$E$696,"&lt;&gt;")=0,"",SUMIFS('Posiłki'!$H$97:$H$696,'Posiłki'!$A$97:$A$696,$A65))))</x:f>
      </x:c>
      <x:c r="H65" s="25" t="str">
        <x:f>IF($A65="","",IF(COUNTIFS('Posiłki'!$A$97:$A$696,$A65,'Posiłki'!$I$97:$I$696,"brak danych")&gt;0,"brak danych",IF(COUNTIFS('Posiłki'!$A$97:$A$696,$A65,'Posiłki'!$E$97:$E$696,"&lt;&gt;")=0,"",SUMIFS('Posiłki'!$I$97:$I$696,'Posiłki'!$A$97:$A$696,$A65))))</x:f>
      </x:c>
      <x:c r="I65" s="25" t="str">
        <x:f>IF($A65="","",IF(COUNTIFS('Posiłki'!$A$97:$A$696,$A65,'Posiłki'!$J$97:$J$696,"brak danych")&gt;0,"brak danych",IF(COUNTIFS('Posiłki'!$A$97:$A$696,$A65,'Posiłki'!$E$97:$E$696,"&lt;&gt;")=0,"",SUMIFS('Posiłki'!$J$97:$J$696,'Posiłki'!$A$97:$A$696,$A65))))</x:f>
      </x:c>
      <x:c r="J65" s="25" t="str">
        <x:f>IF($A65="","",IF(COUNTIFS('Posiłki'!$A$97:$A$696,$A65,'Posiłki'!$K$97:$K$696,"brak danych")&gt;0,"brak danych",IF(COUNTIFS('Posiłki'!$A$97:$A$696,$A65,'Posiłki'!$E$97:$E$696,"&lt;&gt;")=0,"",SUMIFS('Posiłki'!$K$97:$K$696,'Posiłki'!$A$97:$A$696,$A65))))</x:f>
      </x:c>
      <x:c r="K65" s="24" t="str">
        <x:f>IF($A65="","",IF(COUNTIFS('Posiłki'!$A$97:$A$696,$A65,'Posiłki'!$L$97:$L$696,"brak danych")&gt;0,"brak danych",IF(COUNTIFS('Posiłki'!$A$97:$A$696,$A65,'Posiłki'!$F$97:$F$696,"&lt;&gt;")=0,"",SUMIFS('Posiłki'!$L$97:$L$696,'Posiłki'!$A$97:$A$696,$A65))))</x:f>
      </x:c>
      <x:c r="L65" s="25" t="str">
        <x:f>IF($A65="","",IF(COUNTIFS('Posiłki'!$A$97:$A$696,$A65,'Posiłki'!$P$97:$P$696,"brak danych")&gt;0,"brak danych",IF(COUNTIFS('Posiłki'!$A$97:$A$696,$A65,'Posiłki'!$F$97:$F$696,"&lt;&gt;")=0,"",SUMIFS('Posiłki'!$P$97:$P$696,'Posiłki'!$A$97:$A$696,$A65))))</x:f>
      </x:c>
      <x:c r="M65" s="18"/>
    </x:row>
    <x:row r="66" ht="25" customHeight="1">
      <x:c r="A66" s="19" t="str">
        <x:f>IF(ISNUMBER($B$4),$B$4+54,"")</x:f>
      </x:c>
      <x:c r="B66" s="2" t="str">
        <x:f>IF(A66="","",CHOOSE(WEEKDAY(A66,2),"pon.","wt.","śr.","czw.","pt.","sob.","niedz."))</x:f>
      </x:c>
      <x:c r="C66" s="18"/>
      <x:c r="D66" s="18"/>
      <x:c r="E66" s="23" t="str">
        <x:f>IF(A66="","",A66-2+16/24)</x:f>
      </x:c>
      <x:c r="F66" s="24" t="str">
        <x:f>IF($A66="","",IF(COUNTIFS('Posiłki'!$A$97:$A$696,$A66,'Posiłki'!$G$97:$G$696,"brak danych")&gt;0,"brak danych",IF(COUNTIFS('Posiłki'!$A$97:$A$696,$A66,'Posiłki'!$E$97:$E$696,"&lt;&gt;")=0,"",SUMIFS('Posiłki'!$G$97:$G$696,'Posiłki'!$A$97:$A$696,$A66))))</x:f>
      </x:c>
      <x:c r="G66" s="25" t="str">
        <x:f>IF($A66="","",IF(COUNTIFS('Posiłki'!$A$97:$A$696,$A66,'Posiłki'!$H$97:$H$696,"brak danych")&gt;0,"brak danych",IF(COUNTIFS('Posiłki'!$A$97:$A$696,$A66,'Posiłki'!$E$97:$E$696,"&lt;&gt;")=0,"",SUMIFS('Posiłki'!$H$97:$H$696,'Posiłki'!$A$97:$A$696,$A66))))</x:f>
      </x:c>
      <x:c r="H66" s="25" t="str">
        <x:f>IF($A66="","",IF(COUNTIFS('Posiłki'!$A$97:$A$696,$A66,'Posiłki'!$I$97:$I$696,"brak danych")&gt;0,"brak danych",IF(COUNTIFS('Posiłki'!$A$97:$A$696,$A66,'Posiłki'!$E$97:$E$696,"&lt;&gt;")=0,"",SUMIFS('Posiłki'!$I$97:$I$696,'Posiłki'!$A$97:$A$696,$A66))))</x:f>
      </x:c>
      <x:c r="I66" s="25" t="str">
        <x:f>IF($A66="","",IF(COUNTIFS('Posiłki'!$A$97:$A$696,$A66,'Posiłki'!$J$97:$J$696,"brak danych")&gt;0,"brak danych",IF(COUNTIFS('Posiłki'!$A$97:$A$696,$A66,'Posiłki'!$E$97:$E$696,"&lt;&gt;")=0,"",SUMIFS('Posiłki'!$J$97:$J$696,'Posiłki'!$A$97:$A$696,$A66))))</x:f>
      </x:c>
      <x:c r="J66" s="25" t="str">
        <x:f>IF($A66="","",IF(COUNTIFS('Posiłki'!$A$97:$A$696,$A66,'Posiłki'!$K$97:$K$696,"brak danych")&gt;0,"brak danych",IF(COUNTIFS('Posiłki'!$A$97:$A$696,$A66,'Posiłki'!$E$97:$E$696,"&lt;&gt;")=0,"",SUMIFS('Posiłki'!$K$97:$K$696,'Posiłki'!$A$97:$A$696,$A66))))</x:f>
      </x:c>
      <x:c r="K66" s="24" t="str">
        <x:f>IF($A66="","",IF(COUNTIFS('Posiłki'!$A$97:$A$696,$A66,'Posiłki'!$L$97:$L$696,"brak danych")&gt;0,"brak danych",IF(COUNTIFS('Posiłki'!$A$97:$A$696,$A66,'Posiłki'!$F$97:$F$696,"&lt;&gt;")=0,"",SUMIFS('Posiłki'!$L$97:$L$696,'Posiłki'!$A$97:$A$696,$A66))))</x:f>
      </x:c>
      <x:c r="L66" s="25" t="str">
        <x:f>IF($A66="","",IF(COUNTIFS('Posiłki'!$A$97:$A$696,$A66,'Posiłki'!$P$97:$P$696,"brak danych")&gt;0,"brak danych",IF(COUNTIFS('Posiłki'!$A$97:$A$696,$A66,'Posiłki'!$F$97:$F$696,"&lt;&gt;")=0,"",SUMIFS('Posiłki'!$P$97:$P$696,'Posiłki'!$A$97:$A$696,$A66))))</x:f>
      </x:c>
      <x:c r="M66" s="18"/>
    </x:row>
    <x:row r="67" ht="25" customHeight="1">
      <x:c r="A67" s="19" t="str">
        <x:f>IF(ISNUMBER($B$4),$B$4+55,"")</x:f>
      </x:c>
      <x:c r="B67" s="2" t="str">
        <x:f>IF(A67="","",CHOOSE(WEEKDAY(A67,2),"pon.","wt.","śr.","czw.","pt.","sob.","niedz."))</x:f>
      </x:c>
      <x:c r="C67" s="18"/>
      <x:c r="D67" s="18"/>
      <x:c r="E67" s="23" t="str">
        <x:f>IF(A67="","",A67-2+16/24)</x:f>
      </x:c>
      <x:c r="F67" s="24" t="str">
        <x:f>IF($A67="","",IF(COUNTIFS('Posiłki'!$A$97:$A$696,$A67,'Posiłki'!$G$97:$G$696,"brak danych")&gt;0,"brak danych",IF(COUNTIFS('Posiłki'!$A$97:$A$696,$A67,'Posiłki'!$E$97:$E$696,"&lt;&gt;")=0,"",SUMIFS('Posiłki'!$G$97:$G$696,'Posiłki'!$A$97:$A$696,$A67))))</x:f>
      </x:c>
      <x:c r="G67" s="25" t="str">
        <x:f>IF($A67="","",IF(COUNTIFS('Posiłki'!$A$97:$A$696,$A67,'Posiłki'!$H$97:$H$696,"brak danych")&gt;0,"brak danych",IF(COUNTIFS('Posiłki'!$A$97:$A$696,$A67,'Posiłki'!$E$97:$E$696,"&lt;&gt;")=0,"",SUMIFS('Posiłki'!$H$97:$H$696,'Posiłki'!$A$97:$A$696,$A67))))</x:f>
      </x:c>
      <x:c r="H67" s="25" t="str">
        <x:f>IF($A67="","",IF(COUNTIFS('Posiłki'!$A$97:$A$696,$A67,'Posiłki'!$I$97:$I$696,"brak danych")&gt;0,"brak danych",IF(COUNTIFS('Posiłki'!$A$97:$A$696,$A67,'Posiłki'!$E$97:$E$696,"&lt;&gt;")=0,"",SUMIFS('Posiłki'!$I$97:$I$696,'Posiłki'!$A$97:$A$696,$A67))))</x:f>
      </x:c>
      <x:c r="I67" s="25" t="str">
        <x:f>IF($A67="","",IF(COUNTIFS('Posiłki'!$A$97:$A$696,$A67,'Posiłki'!$J$97:$J$696,"brak danych")&gt;0,"brak danych",IF(COUNTIFS('Posiłki'!$A$97:$A$696,$A67,'Posiłki'!$E$97:$E$696,"&lt;&gt;")=0,"",SUMIFS('Posiłki'!$J$97:$J$696,'Posiłki'!$A$97:$A$696,$A67))))</x:f>
      </x:c>
      <x:c r="J67" s="25" t="str">
        <x:f>IF($A67="","",IF(COUNTIFS('Posiłki'!$A$97:$A$696,$A67,'Posiłki'!$K$97:$K$696,"brak danych")&gt;0,"brak danych",IF(COUNTIFS('Posiłki'!$A$97:$A$696,$A67,'Posiłki'!$E$97:$E$696,"&lt;&gt;")=0,"",SUMIFS('Posiłki'!$K$97:$K$696,'Posiłki'!$A$97:$A$696,$A67))))</x:f>
      </x:c>
      <x:c r="K67" s="24" t="str">
        <x:f>IF($A67="","",IF(COUNTIFS('Posiłki'!$A$97:$A$696,$A67,'Posiłki'!$L$97:$L$696,"brak danych")&gt;0,"brak danych",IF(COUNTIFS('Posiłki'!$A$97:$A$696,$A67,'Posiłki'!$F$97:$F$696,"&lt;&gt;")=0,"",SUMIFS('Posiłki'!$L$97:$L$696,'Posiłki'!$A$97:$A$696,$A67))))</x:f>
      </x:c>
      <x:c r="L67" s="25" t="str">
        <x:f>IF($A67="","",IF(COUNTIFS('Posiłki'!$A$97:$A$696,$A67,'Posiłki'!$P$97:$P$696,"brak danych")&gt;0,"brak danych",IF(COUNTIFS('Posiłki'!$A$97:$A$696,$A67,'Posiłki'!$F$97:$F$696,"&lt;&gt;")=0,"",SUMIFS('Posiłki'!$P$97:$P$696,'Posiłki'!$A$97:$A$696,$A67))))</x:f>
      </x:c>
      <x:c r="M67" s="18"/>
    </x:row>
    <x:row r="68" ht="25" customHeight="1">
      <x:c r="A68" s="19" t="str">
        <x:f>IF(ISNUMBER($B$4),$B$4+56,"")</x:f>
      </x:c>
      <x:c r="B68" s="2" t="str">
        <x:f>IF(A68="","",CHOOSE(WEEKDAY(A68,2),"pon.","wt.","śr.","czw.","pt.","sob.","niedz."))</x:f>
      </x:c>
      <x:c r="C68" s="18"/>
      <x:c r="D68" s="18"/>
      <x:c r="E68" s="23" t="str">
        <x:f>IF(A68="","",A68-2+16/24)</x:f>
      </x:c>
      <x:c r="F68" s="24" t="str">
        <x:f>IF($A68="","",IF(COUNTIFS('Posiłki'!$A$97:$A$696,$A68,'Posiłki'!$G$97:$G$696,"brak danych")&gt;0,"brak danych",IF(COUNTIFS('Posiłki'!$A$97:$A$696,$A68,'Posiłki'!$E$97:$E$696,"&lt;&gt;")=0,"",SUMIFS('Posiłki'!$G$97:$G$696,'Posiłki'!$A$97:$A$696,$A68))))</x:f>
      </x:c>
      <x:c r="G68" s="25" t="str">
        <x:f>IF($A68="","",IF(COUNTIFS('Posiłki'!$A$97:$A$696,$A68,'Posiłki'!$H$97:$H$696,"brak danych")&gt;0,"brak danych",IF(COUNTIFS('Posiłki'!$A$97:$A$696,$A68,'Posiłki'!$E$97:$E$696,"&lt;&gt;")=0,"",SUMIFS('Posiłki'!$H$97:$H$696,'Posiłki'!$A$97:$A$696,$A68))))</x:f>
      </x:c>
      <x:c r="H68" s="25" t="str">
        <x:f>IF($A68="","",IF(COUNTIFS('Posiłki'!$A$97:$A$696,$A68,'Posiłki'!$I$97:$I$696,"brak danych")&gt;0,"brak danych",IF(COUNTIFS('Posiłki'!$A$97:$A$696,$A68,'Posiłki'!$E$97:$E$696,"&lt;&gt;")=0,"",SUMIFS('Posiłki'!$I$97:$I$696,'Posiłki'!$A$97:$A$696,$A68))))</x:f>
      </x:c>
      <x:c r="I68" s="25" t="str">
        <x:f>IF($A68="","",IF(COUNTIFS('Posiłki'!$A$97:$A$696,$A68,'Posiłki'!$J$97:$J$696,"brak danych")&gt;0,"brak danych",IF(COUNTIFS('Posiłki'!$A$97:$A$696,$A68,'Posiłki'!$E$97:$E$696,"&lt;&gt;")=0,"",SUMIFS('Posiłki'!$J$97:$J$696,'Posiłki'!$A$97:$A$696,$A68))))</x:f>
      </x:c>
      <x:c r="J68" s="25" t="str">
        <x:f>IF($A68="","",IF(COUNTIFS('Posiłki'!$A$97:$A$696,$A68,'Posiłki'!$K$97:$K$696,"brak danych")&gt;0,"brak danych",IF(COUNTIFS('Posiłki'!$A$97:$A$696,$A68,'Posiłki'!$E$97:$E$696,"&lt;&gt;")=0,"",SUMIFS('Posiłki'!$K$97:$K$696,'Posiłki'!$A$97:$A$696,$A68))))</x:f>
      </x:c>
      <x:c r="K68" s="24" t="str">
        <x:f>IF($A68="","",IF(COUNTIFS('Posiłki'!$A$97:$A$696,$A68,'Posiłki'!$L$97:$L$696,"brak danych")&gt;0,"brak danych",IF(COUNTIFS('Posiłki'!$A$97:$A$696,$A68,'Posiłki'!$F$97:$F$696,"&lt;&gt;")=0,"",SUMIFS('Posiłki'!$L$97:$L$696,'Posiłki'!$A$97:$A$696,$A68))))</x:f>
      </x:c>
      <x:c r="L68" s="25" t="str">
        <x:f>IF($A68="","",IF(COUNTIFS('Posiłki'!$A$97:$A$696,$A68,'Posiłki'!$P$97:$P$696,"brak danych")&gt;0,"brak danych",IF(COUNTIFS('Posiłki'!$A$97:$A$696,$A68,'Posiłki'!$F$97:$F$696,"&lt;&gt;")=0,"",SUMIFS('Posiłki'!$P$97:$P$696,'Posiłki'!$A$97:$A$696,$A68))))</x:f>
      </x:c>
      <x:c r="M68" s="18"/>
    </x:row>
    <x:row r="69" ht="25" customHeight="1">
      <x:c r="A69" s="19" t="str">
        <x:f>IF(ISNUMBER($B$4),$B$4+57,"")</x:f>
      </x:c>
      <x:c r="B69" s="2" t="str">
        <x:f>IF(A69="","",CHOOSE(WEEKDAY(A69,2),"pon.","wt.","śr.","czw.","pt.","sob.","niedz."))</x:f>
      </x:c>
      <x:c r="C69" s="18"/>
      <x:c r="D69" s="18"/>
      <x:c r="E69" s="23" t="str">
        <x:f>IF(A69="","",A69-2+16/24)</x:f>
      </x:c>
      <x:c r="F69" s="24" t="str">
        <x:f>IF($A69="","",IF(COUNTIFS('Posiłki'!$A$97:$A$696,$A69,'Posiłki'!$G$97:$G$696,"brak danych")&gt;0,"brak danych",IF(COUNTIFS('Posiłki'!$A$97:$A$696,$A69,'Posiłki'!$E$97:$E$696,"&lt;&gt;")=0,"",SUMIFS('Posiłki'!$G$97:$G$696,'Posiłki'!$A$97:$A$696,$A69))))</x:f>
      </x:c>
      <x:c r="G69" s="25" t="str">
        <x:f>IF($A69="","",IF(COUNTIFS('Posiłki'!$A$97:$A$696,$A69,'Posiłki'!$H$97:$H$696,"brak danych")&gt;0,"brak danych",IF(COUNTIFS('Posiłki'!$A$97:$A$696,$A69,'Posiłki'!$E$97:$E$696,"&lt;&gt;")=0,"",SUMIFS('Posiłki'!$H$97:$H$696,'Posiłki'!$A$97:$A$696,$A69))))</x:f>
      </x:c>
      <x:c r="H69" s="25" t="str">
        <x:f>IF($A69="","",IF(COUNTIFS('Posiłki'!$A$97:$A$696,$A69,'Posiłki'!$I$97:$I$696,"brak danych")&gt;0,"brak danych",IF(COUNTIFS('Posiłki'!$A$97:$A$696,$A69,'Posiłki'!$E$97:$E$696,"&lt;&gt;")=0,"",SUMIFS('Posiłki'!$I$97:$I$696,'Posiłki'!$A$97:$A$696,$A69))))</x:f>
      </x:c>
      <x:c r="I69" s="25" t="str">
        <x:f>IF($A69="","",IF(COUNTIFS('Posiłki'!$A$97:$A$696,$A69,'Posiłki'!$J$97:$J$696,"brak danych")&gt;0,"brak danych",IF(COUNTIFS('Posiłki'!$A$97:$A$696,$A69,'Posiłki'!$E$97:$E$696,"&lt;&gt;")=0,"",SUMIFS('Posiłki'!$J$97:$J$696,'Posiłki'!$A$97:$A$696,$A69))))</x:f>
      </x:c>
      <x:c r="J69" s="25" t="str">
        <x:f>IF($A69="","",IF(COUNTIFS('Posiłki'!$A$97:$A$696,$A69,'Posiłki'!$K$97:$K$696,"brak danych")&gt;0,"brak danych",IF(COUNTIFS('Posiłki'!$A$97:$A$696,$A69,'Posiłki'!$E$97:$E$696,"&lt;&gt;")=0,"",SUMIFS('Posiłki'!$K$97:$K$696,'Posiłki'!$A$97:$A$696,$A69))))</x:f>
      </x:c>
      <x:c r="K69" s="24" t="str">
        <x:f>IF($A69="","",IF(COUNTIFS('Posiłki'!$A$97:$A$696,$A69,'Posiłki'!$L$97:$L$696,"brak danych")&gt;0,"brak danych",IF(COUNTIFS('Posiłki'!$A$97:$A$696,$A69,'Posiłki'!$F$97:$F$696,"&lt;&gt;")=0,"",SUMIFS('Posiłki'!$L$97:$L$696,'Posiłki'!$A$97:$A$696,$A69))))</x:f>
      </x:c>
      <x:c r="L69" s="25" t="str">
        <x:f>IF($A69="","",IF(COUNTIFS('Posiłki'!$A$97:$A$696,$A69,'Posiłki'!$P$97:$P$696,"brak danych")&gt;0,"brak danych",IF(COUNTIFS('Posiłki'!$A$97:$A$696,$A69,'Posiłki'!$F$97:$F$696,"&lt;&gt;")=0,"",SUMIFS('Posiłki'!$P$97:$P$696,'Posiłki'!$A$97:$A$696,$A69))))</x:f>
      </x:c>
      <x:c r="M69" s="18"/>
    </x:row>
    <x:row r="70" ht="25" customHeight="1">
      <x:c r="A70" s="19" t="str">
        <x:f>IF(ISNUMBER($B$4),$B$4+58,"")</x:f>
      </x:c>
      <x:c r="B70" s="2" t="str">
        <x:f>IF(A70="","",CHOOSE(WEEKDAY(A70,2),"pon.","wt.","śr.","czw.","pt.","sob.","niedz."))</x:f>
      </x:c>
      <x:c r="C70" s="18"/>
      <x:c r="D70" s="18"/>
      <x:c r="E70" s="23" t="str">
        <x:f>IF(A70="","",A70-2+16/24)</x:f>
      </x:c>
      <x:c r="F70" s="24" t="str">
        <x:f>IF($A70="","",IF(COUNTIFS('Posiłki'!$A$97:$A$696,$A70,'Posiłki'!$G$97:$G$696,"brak danych")&gt;0,"brak danych",IF(COUNTIFS('Posiłki'!$A$97:$A$696,$A70,'Posiłki'!$E$97:$E$696,"&lt;&gt;")=0,"",SUMIFS('Posiłki'!$G$97:$G$696,'Posiłki'!$A$97:$A$696,$A70))))</x:f>
      </x:c>
      <x:c r="G70" s="25" t="str">
        <x:f>IF($A70="","",IF(COUNTIFS('Posiłki'!$A$97:$A$696,$A70,'Posiłki'!$H$97:$H$696,"brak danych")&gt;0,"brak danych",IF(COUNTIFS('Posiłki'!$A$97:$A$696,$A70,'Posiłki'!$E$97:$E$696,"&lt;&gt;")=0,"",SUMIFS('Posiłki'!$H$97:$H$696,'Posiłki'!$A$97:$A$696,$A70))))</x:f>
      </x:c>
      <x:c r="H70" s="25" t="str">
        <x:f>IF($A70="","",IF(COUNTIFS('Posiłki'!$A$97:$A$696,$A70,'Posiłki'!$I$97:$I$696,"brak danych")&gt;0,"brak danych",IF(COUNTIFS('Posiłki'!$A$97:$A$696,$A70,'Posiłki'!$E$97:$E$696,"&lt;&gt;")=0,"",SUMIFS('Posiłki'!$I$97:$I$696,'Posiłki'!$A$97:$A$696,$A70))))</x:f>
      </x:c>
      <x:c r="I70" s="25" t="str">
        <x:f>IF($A70="","",IF(COUNTIFS('Posiłki'!$A$97:$A$696,$A70,'Posiłki'!$J$97:$J$696,"brak danych")&gt;0,"brak danych",IF(COUNTIFS('Posiłki'!$A$97:$A$696,$A70,'Posiłki'!$E$97:$E$696,"&lt;&gt;")=0,"",SUMIFS('Posiłki'!$J$97:$J$696,'Posiłki'!$A$97:$A$696,$A70))))</x:f>
      </x:c>
      <x:c r="J70" s="25" t="str">
        <x:f>IF($A70="","",IF(COUNTIFS('Posiłki'!$A$97:$A$696,$A70,'Posiłki'!$K$97:$K$696,"brak danych")&gt;0,"brak danych",IF(COUNTIFS('Posiłki'!$A$97:$A$696,$A70,'Posiłki'!$E$97:$E$696,"&lt;&gt;")=0,"",SUMIFS('Posiłki'!$K$97:$K$696,'Posiłki'!$A$97:$A$696,$A70))))</x:f>
      </x:c>
      <x:c r="K70" s="24" t="str">
        <x:f>IF($A70="","",IF(COUNTIFS('Posiłki'!$A$97:$A$696,$A70,'Posiłki'!$L$97:$L$696,"brak danych")&gt;0,"brak danych",IF(COUNTIFS('Posiłki'!$A$97:$A$696,$A70,'Posiłki'!$F$97:$F$696,"&lt;&gt;")=0,"",SUMIFS('Posiłki'!$L$97:$L$696,'Posiłki'!$A$97:$A$696,$A70))))</x:f>
      </x:c>
      <x:c r="L70" s="25" t="str">
        <x:f>IF($A70="","",IF(COUNTIFS('Posiłki'!$A$97:$A$696,$A70,'Posiłki'!$P$97:$P$696,"brak danych")&gt;0,"brak danych",IF(COUNTIFS('Posiłki'!$A$97:$A$696,$A70,'Posiłki'!$F$97:$F$696,"&lt;&gt;")=0,"",SUMIFS('Posiłki'!$P$97:$P$696,'Posiłki'!$A$97:$A$696,$A70))))</x:f>
      </x:c>
      <x:c r="M70" s="18"/>
    </x:row>
    <x:row r="71" ht="25" customHeight="1">
      <x:c r="A71" s="19" t="str">
        <x:f>IF(ISNUMBER($B$4),$B$4+59,"")</x:f>
      </x:c>
      <x:c r="B71" s="2" t="str">
        <x:f>IF(A71="","",CHOOSE(WEEKDAY(A71,2),"pon.","wt.","śr.","czw.","pt.","sob.","niedz."))</x:f>
      </x:c>
      <x:c r="C71" s="18"/>
      <x:c r="D71" s="18"/>
      <x:c r="E71" s="23" t="str">
        <x:f>IF(A71="","",A71-2+16/24)</x:f>
      </x:c>
      <x:c r="F71" s="24" t="str">
        <x:f>IF($A71="","",IF(COUNTIFS('Posiłki'!$A$97:$A$696,$A71,'Posiłki'!$G$97:$G$696,"brak danych")&gt;0,"brak danych",IF(COUNTIFS('Posiłki'!$A$97:$A$696,$A71,'Posiłki'!$E$97:$E$696,"&lt;&gt;")=0,"",SUMIFS('Posiłki'!$G$97:$G$696,'Posiłki'!$A$97:$A$696,$A71))))</x:f>
      </x:c>
      <x:c r="G71" s="25" t="str">
        <x:f>IF($A71="","",IF(COUNTIFS('Posiłki'!$A$97:$A$696,$A71,'Posiłki'!$H$97:$H$696,"brak danych")&gt;0,"brak danych",IF(COUNTIFS('Posiłki'!$A$97:$A$696,$A71,'Posiłki'!$E$97:$E$696,"&lt;&gt;")=0,"",SUMIFS('Posiłki'!$H$97:$H$696,'Posiłki'!$A$97:$A$696,$A71))))</x:f>
      </x:c>
      <x:c r="H71" s="25" t="str">
        <x:f>IF($A71="","",IF(COUNTIFS('Posiłki'!$A$97:$A$696,$A71,'Posiłki'!$I$97:$I$696,"brak danych")&gt;0,"brak danych",IF(COUNTIFS('Posiłki'!$A$97:$A$696,$A71,'Posiłki'!$E$97:$E$696,"&lt;&gt;")=0,"",SUMIFS('Posiłki'!$I$97:$I$696,'Posiłki'!$A$97:$A$696,$A71))))</x:f>
      </x:c>
      <x:c r="I71" s="25" t="str">
        <x:f>IF($A71="","",IF(COUNTIFS('Posiłki'!$A$97:$A$696,$A71,'Posiłki'!$J$97:$J$696,"brak danych")&gt;0,"brak danych",IF(COUNTIFS('Posiłki'!$A$97:$A$696,$A71,'Posiłki'!$E$97:$E$696,"&lt;&gt;")=0,"",SUMIFS('Posiłki'!$J$97:$J$696,'Posiłki'!$A$97:$A$696,$A71))))</x:f>
      </x:c>
      <x:c r="J71" s="25" t="str">
        <x:f>IF($A71="","",IF(COUNTIFS('Posiłki'!$A$97:$A$696,$A71,'Posiłki'!$K$97:$K$696,"brak danych")&gt;0,"brak danych",IF(COUNTIFS('Posiłki'!$A$97:$A$696,$A71,'Posiłki'!$E$97:$E$696,"&lt;&gt;")=0,"",SUMIFS('Posiłki'!$K$97:$K$696,'Posiłki'!$A$97:$A$696,$A71))))</x:f>
      </x:c>
      <x:c r="K71" s="24" t="str">
        <x:f>IF($A71="","",IF(COUNTIFS('Posiłki'!$A$97:$A$696,$A71,'Posiłki'!$L$97:$L$696,"brak danych")&gt;0,"brak danych",IF(COUNTIFS('Posiłki'!$A$97:$A$696,$A71,'Posiłki'!$F$97:$F$696,"&lt;&gt;")=0,"",SUMIFS('Posiłki'!$L$97:$L$696,'Posiłki'!$A$97:$A$696,$A71))))</x:f>
      </x:c>
      <x:c r="L71" s="25" t="str">
        <x:f>IF($A71="","",IF(COUNTIFS('Posiłki'!$A$97:$A$696,$A71,'Posiłki'!$P$97:$P$696,"brak danych")&gt;0,"brak danych",IF(COUNTIFS('Posiłki'!$A$97:$A$696,$A71,'Posiłki'!$F$97:$F$696,"&lt;&gt;")=0,"",SUMIFS('Posiłki'!$P$97:$P$696,'Posiłki'!$A$97:$A$696,$A71))))</x:f>
      </x:c>
      <x:c r="M71" s="18"/>
    </x:row>
    <x:row r="72" ht="25" customHeight="1">
      <x:c r="A72" s="19" t="str">
        <x:f>IF(ISNUMBER($B$4),$B$4+60,"")</x:f>
      </x:c>
      <x:c r="B72" s="2" t="str">
        <x:f>IF(A72="","",CHOOSE(WEEKDAY(A72,2),"pon.","wt.","śr.","czw.","pt.","sob.","niedz."))</x:f>
      </x:c>
      <x:c r="C72" s="18"/>
      <x:c r="D72" s="18"/>
      <x:c r="E72" s="23" t="str">
        <x:f>IF(A72="","",A72-2+16/24)</x:f>
      </x:c>
      <x:c r="F72" s="24" t="str">
        <x:f>IF($A72="","",IF(COUNTIFS('Posiłki'!$A$97:$A$696,$A72,'Posiłki'!$G$97:$G$696,"brak danych")&gt;0,"brak danych",IF(COUNTIFS('Posiłki'!$A$97:$A$696,$A72,'Posiłki'!$E$97:$E$696,"&lt;&gt;")=0,"",SUMIFS('Posiłki'!$G$97:$G$696,'Posiłki'!$A$97:$A$696,$A72))))</x:f>
      </x:c>
      <x:c r="G72" s="25" t="str">
        <x:f>IF($A72="","",IF(COUNTIFS('Posiłki'!$A$97:$A$696,$A72,'Posiłki'!$H$97:$H$696,"brak danych")&gt;0,"brak danych",IF(COUNTIFS('Posiłki'!$A$97:$A$696,$A72,'Posiłki'!$E$97:$E$696,"&lt;&gt;")=0,"",SUMIFS('Posiłki'!$H$97:$H$696,'Posiłki'!$A$97:$A$696,$A72))))</x:f>
      </x:c>
      <x:c r="H72" s="25" t="str">
        <x:f>IF($A72="","",IF(COUNTIFS('Posiłki'!$A$97:$A$696,$A72,'Posiłki'!$I$97:$I$696,"brak danych")&gt;0,"brak danych",IF(COUNTIFS('Posiłki'!$A$97:$A$696,$A72,'Posiłki'!$E$97:$E$696,"&lt;&gt;")=0,"",SUMIFS('Posiłki'!$I$97:$I$696,'Posiłki'!$A$97:$A$696,$A72))))</x:f>
      </x:c>
      <x:c r="I72" s="25" t="str">
        <x:f>IF($A72="","",IF(COUNTIFS('Posiłki'!$A$97:$A$696,$A72,'Posiłki'!$J$97:$J$696,"brak danych")&gt;0,"brak danych",IF(COUNTIFS('Posiłki'!$A$97:$A$696,$A72,'Posiłki'!$E$97:$E$696,"&lt;&gt;")=0,"",SUMIFS('Posiłki'!$J$97:$J$696,'Posiłki'!$A$97:$A$696,$A72))))</x:f>
      </x:c>
      <x:c r="J72" s="25" t="str">
        <x:f>IF($A72="","",IF(COUNTIFS('Posiłki'!$A$97:$A$696,$A72,'Posiłki'!$K$97:$K$696,"brak danych")&gt;0,"brak danych",IF(COUNTIFS('Posiłki'!$A$97:$A$696,$A72,'Posiłki'!$E$97:$E$696,"&lt;&gt;")=0,"",SUMIFS('Posiłki'!$K$97:$K$696,'Posiłki'!$A$97:$A$696,$A72))))</x:f>
      </x:c>
      <x:c r="K72" s="24" t="str">
        <x:f>IF($A72="","",IF(COUNTIFS('Posiłki'!$A$97:$A$696,$A72,'Posiłki'!$L$97:$L$696,"brak danych")&gt;0,"brak danych",IF(COUNTIFS('Posiłki'!$A$97:$A$696,$A72,'Posiłki'!$F$97:$F$696,"&lt;&gt;")=0,"",SUMIFS('Posiłki'!$L$97:$L$696,'Posiłki'!$A$97:$A$696,$A72))))</x:f>
      </x:c>
      <x:c r="L72" s="25" t="str">
        <x:f>IF($A72="","",IF(COUNTIFS('Posiłki'!$A$97:$A$696,$A72,'Posiłki'!$P$97:$P$696,"brak danych")&gt;0,"brak danych",IF(COUNTIFS('Posiłki'!$A$97:$A$696,$A72,'Posiłki'!$F$97:$F$696,"&lt;&gt;")=0,"",SUMIFS('Posiłki'!$P$97:$P$696,'Posiłki'!$A$97:$A$696,$A72))))</x:f>
      </x:c>
      <x:c r="M72" s="18"/>
    </x:row>
    <x:row r="73" ht="25" customHeight="1">
      <x:c r="A73" s="19" t="str">
        <x:f>IF(ISNUMBER($B$4),$B$4+61,"")</x:f>
      </x:c>
      <x:c r="B73" s="2" t="str">
        <x:f>IF(A73="","",CHOOSE(WEEKDAY(A73,2),"pon.","wt.","śr.","czw.","pt.","sob.","niedz."))</x:f>
      </x:c>
      <x:c r="C73" s="18"/>
      <x:c r="D73" s="18"/>
      <x:c r="E73" s="23" t="str">
        <x:f>IF(A73="","",A73-2+16/24)</x:f>
      </x:c>
      <x:c r="F73" s="24" t="str">
        <x:f>IF($A73="","",IF(COUNTIFS('Posiłki'!$A$97:$A$696,$A73,'Posiłki'!$G$97:$G$696,"brak danych")&gt;0,"brak danych",IF(COUNTIFS('Posiłki'!$A$97:$A$696,$A73,'Posiłki'!$E$97:$E$696,"&lt;&gt;")=0,"",SUMIFS('Posiłki'!$G$97:$G$696,'Posiłki'!$A$97:$A$696,$A73))))</x:f>
      </x:c>
      <x:c r="G73" s="25" t="str">
        <x:f>IF($A73="","",IF(COUNTIFS('Posiłki'!$A$97:$A$696,$A73,'Posiłki'!$H$97:$H$696,"brak danych")&gt;0,"brak danych",IF(COUNTIFS('Posiłki'!$A$97:$A$696,$A73,'Posiłki'!$E$97:$E$696,"&lt;&gt;")=0,"",SUMIFS('Posiłki'!$H$97:$H$696,'Posiłki'!$A$97:$A$696,$A73))))</x:f>
      </x:c>
      <x:c r="H73" s="25" t="str">
        <x:f>IF($A73="","",IF(COUNTIFS('Posiłki'!$A$97:$A$696,$A73,'Posiłki'!$I$97:$I$696,"brak danych")&gt;0,"brak danych",IF(COUNTIFS('Posiłki'!$A$97:$A$696,$A73,'Posiłki'!$E$97:$E$696,"&lt;&gt;")=0,"",SUMIFS('Posiłki'!$I$97:$I$696,'Posiłki'!$A$97:$A$696,$A73))))</x:f>
      </x:c>
      <x:c r="I73" s="25" t="str">
        <x:f>IF($A73="","",IF(COUNTIFS('Posiłki'!$A$97:$A$696,$A73,'Posiłki'!$J$97:$J$696,"brak danych")&gt;0,"brak danych",IF(COUNTIFS('Posiłki'!$A$97:$A$696,$A73,'Posiłki'!$E$97:$E$696,"&lt;&gt;")=0,"",SUMIFS('Posiłki'!$J$97:$J$696,'Posiłki'!$A$97:$A$696,$A73))))</x:f>
      </x:c>
      <x:c r="J73" s="25" t="str">
        <x:f>IF($A73="","",IF(COUNTIFS('Posiłki'!$A$97:$A$696,$A73,'Posiłki'!$K$97:$K$696,"brak danych")&gt;0,"brak danych",IF(COUNTIFS('Posiłki'!$A$97:$A$696,$A73,'Posiłki'!$E$97:$E$696,"&lt;&gt;")=0,"",SUMIFS('Posiłki'!$K$97:$K$696,'Posiłki'!$A$97:$A$696,$A73))))</x:f>
      </x:c>
      <x:c r="K73" s="24" t="str">
        <x:f>IF($A73="","",IF(COUNTIFS('Posiłki'!$A$97:$A$696,$A73,'Posiłki'!$L$97:$L$696,"brak danych")&gt;0,"brak danych",IF(COUNTIFS('Posiłki'!$A$97:$A$696,$A73,'Posiłki'!$F$97:$F$696,"&lt;&gt;")=0,"",SUMIFS('Posiłki'!$L$97:$L$696,'Posiłki'!$A$97:$A$696,$A73))))</x:f>
      </x:c>
      <x:c r="L73" s="25" t="str">
        <x:f>IF($A73="","",IF(COUNTIFS('Posiłki'!$A$97:$A$696,$A73,'Posiłki'!$P$97:$P$696,"brak danych")&gt;0,"brak danych",IF(COUNTIFS('Posiłki'!$A$97:$A$696,$A73,'Posiłki'!$F$97:$F$696,"&lt;&gt;")=0,"",SUMIFS('Posiłki'!$P$97:$P$696,'Posiłki'!$A$97:$A$696,$A73))))</x:f>
      </x:c>
      <x:c r="M73" s="18"/>
    </x:row>
    <x:row r="74" ht="25" customHeight="1">
      <x:c r="A74" s="19" t="str">
        <x:f>IF(ISNUMBER($B$4),$B$4+62,"")</x:f>
      </x:c>
      <x:c r="B74" s="2" t="str">
        <x:f>IF(A74="","",CHOOSE(WEEKDAY(A74,2),"pon.","wt.","śr.","czw.","pt.","sob.","niedz."))</x:f>
      </x:c>
      <x:c r="C74" s="18"/>
      <x:c r="D74" s="18"/>
      <x:c r="E74" s="23" t="str">
        <x:f>IF(A74="","",A74-2+16/24)</x:f>
      </x:c>
      <x:c r="F74" s="24" t="str">
        <x:f>IF($A74="","",IF(COUNTIFS('Posiłki'!$A$97:$A$696,$A74,'Posiłki'!$G$97:$G$696,"brak danych")&gt;0,"brak danych",IF(COUNTIFS('Posiłki'!$A$97:$A$696,$A74,'Posiłki'!$E$97:$E$696,"&lt;&gt;")=0,"",SUMIFS('Posiłki'!$G$97:$G$696,'Posiłki'!$A$97:$A$696,$A74))))</x:f>
      </x:c>
      <x:c r="G74" s="25" t="str">
        <x:f>IF($A74="","",IF(COUNTIFS('Posiłki'!$A$97:$A$696,$A74,'Posiłki'!$H$97:$H$696,"brak danych")&gt;0,"brak danych",IF(COUNTIFS('Posiłki'!$A$97:$A$696,$A74,'Posiłki'!$E$97:$E$696,"&lt;&gt;")=0,"",SUMIFS('Posiłki'!$H$97:$H$696,'Posiłki'!$A$97:$A$696,$A74))))</x:f>
      </x:c>
      <x:c r="H74" s="25" t="str">
        <x:f>IF($A74="","",IF(COUNTIFS('Posiłki'!$A$97:$A$696,$A74,'Posiłki'!$I$97:$I$696,"brak danych")&gt;0,"brak danych",IF(COUNTIFS('Posiłki'!$A$97:$A$696,$A74,'Posiłki'!$E$97:$E$696,"&lt;&gt;")=0,"",SUMIFS('Posiłki'!$I$97:$I$696,'Posiłki'!$A$97:$A$696,$A74))))</x:f>
      </x:c>
      <x:c r="I74" s="25" t="str">
        <x:f>IF($A74="","",IF(COUNTIFS('Posiłki'!$A$97:$A$696,$A74,'Posiłki'!$J$97:$J$696,"brak danych")&gt;0,"brak danych",IF(COUNTIFS('Posiłki'!$A$97:$A$696,$A74,'Posiłki'!$E$97:$E$696,"&lt;&gt;")=0,"",SUMIFS('Posiłki'!$J$97:$J$696,'Posiłki'!$A$97:$A$696,$A74))))</x:f>
      </x:c>
      <x:c r="J74" s="25" t="str">
        <x:f>IF($A74="","",IF(COUNTIFS('Posiłki'!$A$97:$A$696,$A74,'Posiłki'!$K$97:$K$696,"brak danych")&gt;0,"brak danych",IF(COUNTIFS('Posiłki'!$A$97:$A$696,$A74,'Posiłki'!$E$97:$E$696,"&lt;&gt;")=0,"",SUMIFS('Posiłki'!$K$97:$K$696,'Posiłki'!$A$97:$A$696,$A74))))</x:f>
      </x:c>
      <x:c r="K74" s="24" t="str">
        <x:f>IF($A74="","",IF(COUNTIFS('Posiłki'!$A$97:$A$696,$A74,'Posiłki'!$L$97:$L$696,"brak danych")&gt;0,"brak danych",IF(COUNTIFS('Posiłki'!$A$97:$A$696,$A74,'Posiłki'!$F$97:$F$696,"&lt;&gt;")=0,"",SUMIFS('Posiłki'!$L$97:$L$696,'Posiłki'!$A$97:$A$696,$A74))))</x:f>
      </x:c>
      <x:c r="L74" s="25" t="str">
        <x:f>IF($A74="","",IF(COUNTIFS('Posiłki'!$A$97:$A$696,$A74,'Posiłki'!$P$97:$P$696,"brak danych")&gt;0,"brak danych",IF(COUNTIFS('Posiłki'!$A$97:$A$696,$A74,'Posiłki'!$F$97:$F$696,"&lt;&gt;")=0,"",SUMIFS('Posiłki'!$P$97:$P$696,'Posiłki'!$A$97:$A$696,$A74))))</x:f>
      </x:c>
      <x:c r="M74" s="18"/>
    </x:row>
    <x:row r="75" ht="25" customHeight="1">
      <x:c r="A75" s="19" t="str">
        <x:f>IF(ISNUMBER($B$4),$B$4+63,"")</x:f>
      </x:c>
      <x:c r="B75" s="2" t="str">
        <x:f>IF(A75="","",CHOOSE(WEEKDAY(A75,2),"pon.","wt.","śr.","czw.","pt.","sob.","niedz."))</x:f>
      </x:c>
      <x:c r="C75" s="18"/>
      <x:c r="D75" s="18"/>
      <x:c r="E75" s="23" t="str">
        <x:f>IF(A75="","",A75-2+16/24)</x:f>
      </x:c>
      <x:c r="F75" s="24" t="str">
        <x:f>IF($A75="","",IF(COUNTIFS('Posiłki'!$A$97:$A$696,$A75,'Posiłki'!$G$97:$G$696,"brak danych")&gt;0,"brak danych",IF(COUNTIFS('Posiłki'!$A$97:$A$696,$A75,'Posiłki'!$E$97:$E$696,"&lt;&gt;")=0,"",SUMIFS('Posiłki'!$G$97:$G$696,'Posiłki'!$A$97:$A$696,$A75))))</x:f>
      </x:c>
      <x:c r="G75" s="25" t="str">
        <x:f>IF($A75="","",IF(COUNTIFS('Posiłki'!$A$97:$A$696,$A75,'Posiłki'!$H$97:$H$696,"brak danych")&gt;0,"brak danych",IF(COUNTIFS('Posiłki'!$A$97:$A$696,$A75,'Posiłki'!$E$97:$E$696,"&lt;&gt;")=0,"",SUMIFS('Posiłki'!$H$97:$H$696,'Posiłki'!$A$97:$A$696,$A75))))</x:f>
      </x:c>
      <x:c r="H75" s="25" t="str">
        <x:f>IF($A75="","",IF(COUNTIFS('Posiłki'!$A$97:$A$696,$A75,'Posiłki'!$I$97:$I$696,"brak danych")&gt;0,"brak danych",IF(COUNTIFS('Posiłki'!$A$97:$A$696,$A75,'Posiłki'!$E$97:$E$696,"&lt;&gt;")=0,"",SUMIFS('Posiłki'!$I$97:$I$696,'Posiłki'!$A$97:$A$696,$A75))))</x:f>
      </x:c>
      <x:c r="I75" s="25" t="str">
        <x:f>IF($A75="","",IF(COUNTIFS('Posiłki'!$A$97:$A$696,$A75,'Posiłki'!$J$97:$J$696,"brak danych")&gt;0,"brak danych",IF(COUNTIFS('Posiłki'!$A$97:$A$696,$A75,'Posiłki'!$E$97:$E$696,"&lt;&gt;")=0,"",SUMIFS('Posiłki'!$J$97:$J$696,'Posiłki'!$A$97:$A$696,$A75))))</x:f>
      </x:c>
      <x:c r="J75" s="25" t="str">
        <x:f>IF($A75="","",IF(COUNTIFS('Posiłki'!$A$97:$A$696,$A75,'Posiłki'!$K$97:$K$696,"brak danych")&gt;0,"brak danych",IF(COUNTIFS('Posiłki'!$A$97:$A$696,$A75,'Posiłki'!$E$97:$E$696,"&lt;&gt;")=0,"",SUMIFS('Posiłki'!$K$97:$K$696,'Posiłki'!$A$97:$A$696,$A75))))</x:f>
      </x:c>
      <x:c r="K75" s="24" t="str">
        <x:f>IF($A75="","",IF(COUNTIFS('Posiłki'!$A$97:$A$696,$A75,'Posiłki'!$L$97:$L$696,"brak danych")&gt;0,"brak danych",IF(COUNTIFS('Posiłki'!$A$97:$A$696,$A75,'Posiłki'!$F$97:$F$696,"&lt;&gt;")=0,"",SUMIFS('Posiłki'!$L$97:$L$696,'Posiłki'!$A$97:$A$696,$A75))))</x:f>
      </x:c>
      <x:c r="L75" s="25" t="str">
        <x:f>IF($A75="","",IF(COUNTIFS('Posiłki'!$A$97:$A$696,$A75,'Posiłki'!$P$97:$P$696,"brak danych")&gt;0,"brak danych",IF(COUNTIFS('Posiłki'!$A$97:$A$696,$A75,'Posiłki'!$F$97:$F$696,"&lt;&gt;")=0,"",SUMIFS('Posiłki'!$P$97:$P$696,'Posiłki'!$A$97:$A$696,$A75))))</x:f>
      </x:c>
      <x:c r="M75" s="18"/>
    </x:row>
    <x:row r="76" ht="25" customHeight="1">
      <x:c r="A76" s="19" t="str">
        <x:f>IF(ISNUMBER($B$4),$B$4+64,"")</x:f>
      </x:c>
      <x:c r="B76" s="2" t="str">
        <x:f>IF(A76="","",CHOOSE(WEEKDAY(A76,2),"pon.","wt.","śr.","czw.","pt.","sob.","niedz."))</x:f>
      </x:c>
      <x:c r="C76" s="18"/>
      <x:c r="D76" s="18"/>
      <x:c r="E76" s="23" t="str">
        <x:f>IF(A76="","",A76-2+16/24)</x:f>
      </x:c>
      <x:c r="F76" s="24" t="str">
        <x:f>IF($A76="","",IF(COUNTIFS('Posiłki'!$A$97:$A$696,$A76,'Posiłki'!$G$97:$G$696,"brak danych")&gt;0,"brak danych",IF(COUNTIFS('Posiłki'!$A$97:$A$696,$A76,'Posiłki'!$E$97:$E$696,"&lt;&gt;")=0,"",SUMIFS('Posiłki'!$G$97:$G$696,'Posiłki'!$A$97:$A$696,$A76))))</x:f>
      </x:c>
      <x:c r="G76" s="25" t="str">
        <x:f>IF($A76="","",IF(COUNTIFS('Posiłki'!$A$97:$A$696,$A76,'Posiłki'!$H$97:$H$696,"brak danych")&gt;0,"brak danych",IF(COUNTIFS('Posiłki'!$A$97:$A$696,$A76,'Posiłki'!$E$97:$E$696,"&lt;&gt;")=0,"",SUMIFS('Posiłki'!$H$97:$H$696,'Posiłki'!$A$97:$A$696,$A76))))</x:f>
      </x:c>
      <x:c r="H76" s="25" t="str">
        <x:f>IF($A76="","",IF(COUNTIFS('Posiłki'!$A$97:$A$696,$A76,'Posiłki'!$I$97:$I$696,"brak danych")&gt;0,"brak danych",IF(COUNTIFS('Posiłki'!$A$97:$A$696,$A76,'Posiłki'!$E$97:$E$696,"&lt;&gt;")=0,"",SUMIFS('Posiłki'!$I$97:$I$696,'Posiłki'!$A$97:$A$696,$A76))))</x:f>
      </x:c>
      <x:c r="I76" s="25" t="str">
        <x:f>IF($A76="","",IF(COUNTIFS('Posiłki'!$A$97:$A$696,$A76,'Posiłki'!$J$97:$J$696,"brak danych")&gt;0,"brak danych",IF(COUNTIFS('Posiłki'!$A$97:$A$696,$A76,'Posiłki'!$E$97:$E$696,"&lt;&gt;")=0,"",SUMIFS('Posiłki'!$J$97:$J$696,'Posiłki'!$A$97:$A$696,$A76))))</x:f>
      </x:c>
      <x:c r="J76" s="25" t="str">
        <x:f>IF($A76="","",IF(COUNTIFS('Posiłki'!$A$97:$A$696,$A76,'Posiłki'!$K$97:$K$696,"brak danych")&gt;0,"brak danych",IF(COUNTIFS('Posiłki'!$A$97:$A$696,$A76,'Posiłki'!$E$97:$E$696,"&lt;&gt;")=0,"",SUMIFS('Posiłki'!$K$97:$K$696,'Posiłki'!$A$97:$A$696,$A76))))</x:f>
      </x:c>
      <x:c r="K76" s="24" t="str">
        <x:f>IF($A76="","",IF(COUNTIFS('Posiłki'!$A$97:$A$696,$A76,'Posiłki'!$L$97:$L$696,"brak danych")&gt;0,"brak danych",IF(COUNTIFS('Posiłki'!$A$97:$A$696,$A76,'Posiłki'!$F$97:$F$696,"&lt;&gt;")=0,"",SUMIFS('Posiłki'!$L$97:$L$696,'Posiłki'!$A$97:$A$696,$A76))))</x:f>
      </x:c>
      <x:c r="L76" s="25" t="str">
        <x:f>IF($A76="","",IF(COUNTIFS('Posiłki'!$A$97:$A$696,$A76,'Posiłki'!$P$97:$P$696,"brak danych")&gt;0,"brak danych",IF(COUNTIFS('Posiłki'!$A$97:$A$696,$A76,'Posiłki'!$F$97:$F$696,"&lt;&gt;")=0,"",SUMIFS('Posiłki'!$P$97:$P$696,'Posiłki'!$A$97:$A$696,$A76))))</x:f>
      </x:c>
      <x:c r="M76" s="18"/>
    </x:row>
    <x:row r="77" ht="25" customHeight="1">
      <x:c r="A77" s="19" t="str">
        <x:f>IF(ISNUMBER($B$4),$B$4+65,"")</x:f>
      </x:c>
      <x:c r="B77" s="2" t="str">
        <x:f>IF(A77="","",CHOOSE(WEEKDAY(A77,2),"pon.","wt.","śr.","czw.","pt.","sob.","niedz."))</x:f>
      </x:c>
      <x:c r="C77" s="18"/>
      <x:c r="D77" s="18"/>
      <x:c r="E77" s="23" t="str">
        <x:f>IF(A77="","",A77-2+16/24)</x:f>
      </x:c>
      <x:c r="F77" s="24" t="str">
        <x:f>IF($A77="","",IF(COUNTIFS('Posiłki'!$A$97:$A$696,$A77,'Posiłki'!$G$97:$G$696,"brak danych")&gt;0,"brak danych",IF(COUNTIFS('Posiłki'!$A$97:$A$696,$A77,'Posiłki'!$E$97:$E$696,"&lt;&gt;")=0,"",SUMIFS('Posiłki'!$G$97:$G$696,'Posiłki'!$A$97:$A$696,$A77))))</x:f>
      </x:c>
      <x:c r="G77" s="25" t="str">
        <x:f>IF($A77="","",IF(COUNTIFS('Posiłki'!$A$97:$A$696,$A77,'Posiłki'!$H$97:$H$696,"brak danych")&gt;0,"brak danych",IF(COUNTIFS('Posiłki'!$A$97:$A$696,$A77,'Posiłki'!$E$97:$E$696,"&lt;&gt;")=0,"",SUMIFS('Posiłki'!$H$97:$H$696,'Posiłki'!$A$97:$A$696,$A77))))</x:f>
      </x:c>
      <x:c r="H77" s="25" t="str">
        <x:f>IF($A77="","",IF(COUNTIFS('Posiłki'!$A$97:$A$696,$A77,'Posiłki'!$I$97:$I$696,"brak danych")&gt;0,"brak danych",IF(COUNTIFS('Posiłki'!$A$97:$A$696,$A77,'Posiłki'!$E$97:$E$696,"&lt;&gt;")=0,"",SUMIFS('Posiłki'!$I$97:$I$696,'Posiłki'!$A$97:$A$696,$A77))))</x:f>
      </x:c>
      <x:c r="I77" s="25" t="str">
        <x:f>IF($A77="","",IF(COUNTIFS('Posiłki'!$A$97:$A$696,$A77,'Posiłki'!$J$97:$J$696,"brak danych")&gt;0,"brak danych",IF(COUNTIFS('Posiłki'!$A$97:$A$696,$A77,'Posiłki'!$E$97:$E$696,"&lt;&gt;")=0,"",SUMIFS('Posiłki'!$J$97:$J$696,'Posiłki'!$A$97:$A$696,$A77))))</x:f>
      </x:c>
      <x:c r="J77" s="25" t="str">
        <x:f>IF($A77="","",IF(COUNTIFS('Posiłki'!$A$97:$A$696,$A77,'Posiłki'!$K$97:$K$696,"brak danych")&gt;0,"brak danych",IF(COUNTIFS('Posiłki'!$A$97:$A$696,$A77,'Posiłki'!$E$97:$E$696,"&lt;&gt;")=0,"",SUMIFS('Posiłki'!$K$97:$K$696,'Posiłki'!$A$97:$A$696,$A77))))</x:f>
      </x:c>
      <x:c r="K77" s="24" t="str">
        <x:f>IF($A77="","",IF(COUNTIFS('Posiłki'!$A$97:$A$696,$A77,'Posiłki'!$L$97:$L$696,"brak danych")&gt;0,"brak danych",IF(COUNTIFS('Posiłki'!$A$97:$A$696,$A77,'Posiłki'!$F$97:$F$696,"&lt;&gt;")=0,"",SUMIFS('Posiłki'!$L$97:$L$696,'Posiłki'!$A$97:$A$696,$A77))))</x:f>
      </x:c>
      <x:c r="L77" s="25" t="str">
        <x:f>IF($A77="","",IF(COUNTIFS('Posiłki'!$A$97:$A$696,$A77,'Posiłki'!$P$97:$P$696,"brak danych")&gt;0,"brak danych",IF(COUNTIFS('Posiłki'!$A$97:$A$696,$A77,'Posiłki'!$F$97:$F$696,"&lt;&gt;")=0,"",SUMIFS('Posiłki'!$P$97:$P$696,'Posiłki'!$A$97:$A$696,$A77))))</x:f>
      </x:c>
      <x:c r="M77" s="18"/>
    </x:row>
    <x:row r="78" ht="25" customHeight="1">
      <x:c r="A78" s="19" t="str">
        <x:f>IF(ISNUMBER($B$4),$B$4+66,"")</x:f>
      </x:c>
      <x:c r="B78" s="2" t="str">
        <x:f>IF(A78="","",CHOOSE(WEEKDAY(A78,2),"pon.","wt.","śr.","czw.","pt.","sob.","niedz."))</x:f>
      </x:c>
      <x:c r="C78" s="18"/>
      <x:c r="D78" s="18"/>
      <x:c r="E78" s="23" t="str">
        <x:f>IF(A78="","",A78-2+16/24)</x:f>
      </x:c>
      <x:c r="F78" s="24" t="str">
        <x:f>IF($A78="","",IF(COUNTIFS('Posiłki'!$A$97:$A$696,$A78,'Posiłki'!$G$97:$G$696,"brak danych")&gt;0,"brak danych",IF(COUNTIFS('Posiłki'!$A$97:$A$696,$A78,'Posiłki'!$E$97:$E$696,"&lt;&gt;")=0,"",SUMIFS('Posiłki'!$G$97:$G$696,'Posiłki'!$A$97:$A$696,$A78))))</x:f>
      </x:c>
      <x:c r="G78" s="25" t="str">
        <x:f>IF($A78="","",IF(COUNTIFS('Posiłki'!$A$97:$A$696,$A78,'Posiłki'!$H$97:$H$696,"brak danych")&gt;0,"brak danych",IF(COUNTIFS('Posiłki'!$A$97:$A$696,$A78,'Posiłki'!$E$97:$E$696,"&lt;&gt;")=0,"",SUMIFS('Posiłki'!$H$97:$H$696,'Posiłki'!$A$97:$A$696,$A78))))</x:f>
      </x:c>
      <x:c r="H78" s="25" t="str">
        <x:f>IF($A78="","",IF(COUNTIFS('Posiłki'!$A$97:$A$696,$A78,'Posiłki'!$I$97:$I$696,"brak danych")&gt;0,"brak danych",IF(COUNTIFS('Posiłki'!$A$97:$A$696,$A78,'Posiłki'!$E$97:$E$696,"&lt;&gt;")=0,"",SUMIFS('Posiłki'!$I$97:$I$696,'Posiłki'!$A$97:$A$696,$A78))))</x:f>
      </x:c>
      <x:c r="I78" s="25" t="str">
        <x:f>IF($A78="","",IF(COUNTIFS('Posiłki'!$A$97:$A$696,$A78,'Posiłki'!$J$97:$J$696,"brak danych")&gt;0,"brak danych",IF(COUNTIFS('Posiłki'!$A$97:$A$696,$A78,'Posiłki'!$E$97:$E$696,"&lt;&gt;")=0,"",SUMIFS('Posiłki'!$J$97:$J$696,'Posiłki'!$A$97:$A$696,$A78))))</x:f>
      </x:c>
      <x:c r="J78" s="25" t="str">
        <x:f>IF($A78="","",IF(COUNTIFS('Posiłki'!$A$97:$A$696,$A78,'Posiłki'!$K$97:$K$696,"brak danych")&gt;0,"brak danych",IF(COUNTIFS('Posiłki'!$A$97:$A$696,$A78,'Posiłki'!$E$97:$E$696,"&lt;&gt;")=0,"",SUMIFS('Posiłki'!$K$97:$K$696,'Posiłki'!$A$97:$A$696,$A78))))</x:f>
      </x:c>
      <x:c r="K78" s="24" t="str">
        <x:f>IF($A78="","",IF(COUNTIFS('Posiłki'!$A$97:$A$696,$A78,'Posiłki'!$L$97:$L$696,"brak danych")&gt;0,"brak danych",IF(COUNTIFS('Posiłki'!$A$97:$A$696,$A78,'Posiłki'!$F$97:$F$696,"&lt;&gt;")=0,"",SUMIFS('Posiłki'!$L$97:$L$696,'Posiłki'!$A$97:$A$696,$A78))))</x:f>
      </x:c>
      <x:c r="L78" s="25" t="str">
        <x:f>IF($A78="","",IF(COUNTIFS('Posiłki'!$A$97:$A$696,$A78,'Posiłki'!$P$97:$P$696,"brak danych")&gt;0,"brak danych",IF(COUNTIFS('Posiłki'!$A$97:$A$696,$A78,'Posiłki'!$F$97:$F$696,"&lt;&gt;")=0,"",SUMIFS('Posiłki'!$P$97:$P$696,'Posiłki'!$A$97:$A$696,$A78))))</x:f>
      </x:c>
      <x:c r="M78" s="18"/>
    </x:row>
    <x:row r="79" ht="25" customHeight="1">
      <x:c r="A79" s="19" t="str">
        <x:f>IF(ISNUMBER($B$4),$B$4+67,"")</x:f>
      </x:c>
      <x:c r="B79" s="2" t="str">
        <x:f>IF(A79="","",CHOOSE(WEEKDAY(A79,2),"pon.","wt.","śr.","czw.","pt.","sob.","niedz."))</x:f>
      </x:c>
      <x:c r="C79" s="18"/>
      <x:c r="D79" s="18"/>
      <x:c r="E79" s="23" t="str">
        <x:f>IF(A79="","",A79-2+16/24)</x:f>
      </x:c>
      <x:c r="F79" s="24" t="str">
        <x:f>IF($A79="","",IF(COUNTIFS('Posiłki'!$A$97:$A$696,$A79,'Posiłki'!$G$97:$G$696,"brak danych")&gt;0,"brak danych",IF(COUNTIFS('Posiłki'!$A$97:$A$696,$A79,'Posiłki'!$E$97:$E$696,"&lt;&gt;")=0,"",SUMIFS('Posiłki'!$G$97:$G$696,'Posiłki'!$A$97:$A$696,$A79))))</x:f>
      </x:c>
      <x:c r="G79" s="25" t="str">
        <x:f>IF($A79="","",IF(COUNTIFS('Posiłki'!$A$97:$A$696,$A79,'Posiłki'!$H$97:$H$696,"brak danych")&gt;0,"brak danych",IF(COUNTIFS('Posiłki'!$A$97:$A$696,$A79,'Posiłki'!$E$97:$E$696,"&lt;&gt;")=0,"",SUMIFS('Posiłki'!$H$97:$H$696,'Posiłki'!$A$97:$A$696,$A79))))</x:f>
      </x:c>
      <x:c r="H79" s="25" t="str">
        <x:f>IF($A79="","",IF(COUNTIFS('Posiłki'!$A$97:$A$696,$A79,'Posiłki'!$I$97:$I$696,"brak danych")&gt;0,"brak danych",IF(COUNTIFS('Posiłki'!$A$97:$A$696,$A79,'Posiłki'!$E$97:$E$696,"&lt;&gt;")=0,"",SUMIFS('Posiłki'!$I$97:$I$696,'Posiłki'!$A$97:$A$696,$A79))))</x:f>
      </x:c>
      <x:c r="I79" s="25" t="str">
        <x:f>IF($A79="","",IF(COUNTIFS('Posiłki'!$A$97:$A$696,$A79,'Posiłki'!$J$97:$J$696,"brak danych")&gt;0,"brak danych",IF(COUNTIFS('Posiłki'!$A$97:$A$696,$A79,'Posiłki'!$E$97:$E$696,"&lt;&gt;")=0,"",SUMIFS('Posiłki'!$J$97:$J$696,'Posiłki'!$A$97:$A$696,$A79))))</x:f>
      </x:c>
      <x:c r="J79" s="25" t="str">
        <x:f>IF($A79="","",IF(COUNTIFS('Posiłki'!$A$97:$A$696,$A79,'Posiłki'!$K$97:$K$696,"brak danych")&gt;0,"brak danych",IF(COUNTIFS('Posiłki'!$A$97:$A$696,$A79,'Posiłki'!$E$97:$E$696,"&lt;&gt;")=0,"",SUMIFS('Posiłki'!$K$97:$K$696,'Posiłki'!$A$97:$A$696,$A79))))</x:f>
      </x:c>
      <x:c r="K79" s="24" t="str">
        <x:f>IF($A79="","",IF(COUNTIFS('Posiłki'!$A$97:$A$696,$A79,'Posiłki'!$L$97:$L$696,"brak danych")&gt;0,"brak danych",IF(COUNTIFS('Posiłki'!$A$97:$A$696,$A79,'Posiłki'!$F$97:$F$696,"&lt;&gt;")=0,"",SUMIFS('Posiłki'!$L$97:$L$696,'Posiłki'!$A$97:$A$696,$A79))))</x:f>
      </x:c>
      <x:c r="L79" s="25" t="str">
        <x:f>IF($A79="","",IF(COUNTIFS('Posiłki'!$A$97:$A$696,$A79,'Posiłki'!$P$97:$P$696,"brak danych")&gt;0,"brak danych",IF(COUNTIFS('Posiłki'!$A$97:$A$696,$A79,'Posiłki'!$F$97:$F$696,"&lt;&gt;")=0,"",SUMIFS('Posiłki'!$P$97:$P$696,'Posiłki'!$A$97:$A$696,$A79))))</x:f>
      </x:c>
      <x:c r="M79" s="18"/>
    </x:row>
    <x:row r="80" ht="25" customHeight="1">
      <x:c r="A80" s="19" t="str">
        <x:f>IF(ISNUMBER($B$4),$B$4+68,"")</x:f>
      </x:c>
      <x:c r="B80" s="2" t="str">
        <x:f>IF(A80="","",CHOOSE(WEEKDAY(A80,2),"pon.","wt.","śr.","czw.","pt.","sob.","niedz."))</x:f>
      </x:c>
      <x:c r="C80" s="18"/>
      <x:c r="D80" s="18"/>
      <x:c r="E80" s="23" t="str">
        <x:f>IF(A80="","",A80-2+16/24)</x:f>
      </x:c>
      <x:c r="F80" s="24" t="str">
        <x:f>IF($A80="","",IF(COUNTIFS('Posiłki'!$A$97:$A$696,$A80,'Posiłki'!$G$97:$G$696,"brak danych")&gt;0,"brak danych",IF(COUNTIFS('Posiłki'!$A$97:$A$696,$A80,'Posiłki'!$E$97:$E$696,"&lt;&gt;")=0,"",SUMIFS('Posiłki'!$G$97:$G$696,'Posiłki'!$A$97:$A$696,$A80))))</x:f>
      </x:c>
      <x:c r="G80" s="25" t="str">
        <x:f>IF($A80="","",IF(COUNTIFS('Posiłki'!$A$97:$A$696,$A80,'Posiłki'!$H$97:$H$696,"brak danych")&gt;0,"brak danych",IF(COUNTIFS('Posiłki'!$A$97:$A$696,$A80,'Posiłki'!$E$97:$E$696,"&lt;&gt;")=0,"",SUMIFS('Posiłki'!$H$97:$H$696,'Posiłki'!$A$97:$A$696,$A80))))</x:f>
      </x:c>
      <x:c r="H80" s="25" t="str">
        <x:f>IF($A80="","",IF(COUNTIFS('Posiłki'!$A$97:$A$696,$A80,'Posiłki'!$I$97:$I$696,"brak danych")&gt;0,"brak danych",IF(COUNTIFS('Posiłki'!$A$97:$A$696,$A80,'Posiłki'!$E$97:$E$696,"&lt;&gt;")=0,"",SUMIFS('Posiłki'!$I$97:$I$696,'Posiłki'!$A$97:$A$696,$A80))))</x:f>
      </x:c>
      <x:c r="I80" s="25" t="str">
        <x:f>IF($A80="","",IF(COUNTIFS('Posiłki'!$A$97:$A$696,$A80,'Posiłki'!$J$97:$J$696,"brak danych")&gt;0,"brak danych",IF(COUNTIFS('Posiłki'!$A$97:$A$696,$A80,'Posiłki'!$E$97:$E$696,"&lt;&gt;")=0,"",SUMIFS('Posiłki'!$J$97:$J$696,'Posiłki'!$A$97:$A$696,$A80))))</x:f>
      </x:c>
      <x:c r="J80" s="25" t="str">
        <x:f>IF($A80="","",IF(COUNTIFS('Posiłki'!$A$97:$A$696,$A80,'Posiłki'!$K$97:$K$696,"brak danych")&gt;0,"brak danych",IF(COUNTIFS('Posiłki'!$A$97:$A$696,$A80,'Posiłki'!$E$97:$E$696,"&lt;&gt;")=0,"",SUMIFS('Posiłki'!$K$97:$K$696,'Posiłki'!$A$97:$A$696,$A80))))</x:f>
      </x:c>
      <x:c r="K80" s="24" t="str">
        <x:f>IF($A80="","",IF(COUNTIFS('Posiłki'!$A$97:$A$696,$A80,'Posiłki'!$L$97:$L$696,"brak danych")&gt;0,"brak danych",IF(COUNTIFS('Posiłki'!$A$97:$A$696,$A80,'Posiłki'!$F$97:$F$696,"&lt;&gt;")=0,"",SUMIFS('Posiłki'!$L$97:$L$696,'Posiłki'!$A$97:$A$696,$A80))))</x:f>
      </x:c>
      <x:c r="L80" s="25" t="str">
        <x:f>IF($A80="","",IF(COUNTIFS('Posiłki'!$A$97:$A$696,$A80,'Posiłki'!$P$97:$P$696,"brak danych")&gt;0,"brak danych",IF(COUNTIFS('Posiłki'!$A$97:$A$696,$A80,'Posiłki'!$F$97:$F$696,"&lt;&gt;")=0,"",SUMIFS('Posiłki'!$P$97:$P$696,'Posiłki'!$A$97:$A$696,$A80))))</x:f>
      </x:c>
      <x:c r="M80" s="18"/>
    </x:row>
    <x:row r="81" ht="25" customHeight="1">
      <x:c r="A81" s="19" t="str">
        <x:f>IF(ISNUMBER($B$4),$B$4+69,"")</x:f>
      </x:c>
      <x:c r="B81" s="2" t="str">
        <x:f>IF(A81="","",CHOOSE(WEEKDAY(A81,2),"pon.","wt.","śr.","czw.","pt.","sob.","niedz."))</x:f>
      </x:c>
      <x:c r="C81" s="18"/>
      <x:c r="D81" s="18"/>
      <x:c r="E81" s="23" t="str">
        <x:f>IF(A81="","",A81-2+16/24)</x:f>
      </x:c>
      <x:c r="F81" s="24" t="str">
        <x:f>IF($A81="","",IF(COUNTIFS('Posiłki'!$A$97:$A$696,$A81,'Posiłki'!$G$97:$G$696,"brak danych")&gt;0,"brak danych",IF(COUNTIFS('Posiłki'!$A$97:$A$696,$A81,'Posiłki'!$E$97:$E$696,"&lt;&gt;")=0,"",SUMIFS('Posiłki'!$G$97:$G$696,'Posiłki'!$A$97:$A$696,$A81))))</x:f>
      </x:c>
      <x:c r="G81" s="25" t="str">
        <x:f>IF($A81="","",IF(COUNTIFS('Posiłki'!$A$97:$A$696,$A81,'Posiłki'!$H$97:$H$696,"brak danych")&gt;0,"brak danych",IF(COUNTIFS('Posiłki'!$A$97:$A$696,$A81,'Posiłki'!$E$97:$E$696,"&lt;&gt;")=0,"",SUMIFS('Posiłki'!$H$97:$H$696,'Posiłki'!$A$97:$A$696,$A81))))</x:f>
      </x:c>
      <x:c r="H81" s="25" t="str">
        <x:f>IF($A81="","",IF(COUNTIFS('Posiłki'!$A$97:$A$696,$A81,'Posiłki'!$I$97:$I$696,"brak danych")&gt;0,"brak danych",IF(COUNTIFS('Posiłki'!$A$97:$A$696,$A81,'Posiłki'!$E$97:$E$696,"&lt;&gt;")=0,"",SUMIFS('Posiłki'!$I$97:$I$696,'Posiłki'!$A$97:$A$696,$A81))))</x:f>
      </x:c>
      <x:c r="I81" s="25" t="str">
        <x:f>IF($A81="","",IF(COUNTIFS('Posiłki'!$A$97:$A$696,$A81,'Posiłki'!$J$97:$J$696,"brak danych")&gt;0,"brak danych",IF(COUNTIFS('Posiłki'!$A$97:$A$696,$A81,'Posiłki'!$E$97:$E$696,"&lt;&gt;")=0,"",SUMIFS('Posiłki'!$J$97:$J$696,'Posiłki'!$A$97:$A$696,$A81))))</x:f>
      </x:c>
      <x:c r="J81" s="25" t="str">
        <x:f>IF($A81="","",IF(COUNTIFS('Posiłki'!$A$97:$A$696,$A81,'Posiłki'!$K$97:$K$696,"brak danych")&gt;0,"brak danych",IF(COUNTIFS('Posiłki'!$A$97:$A$696,$A81,'Posiłki'!$E$97:$E$696,"&lt;&gt;")=0,"",SUMIFS('Posiłki'!$K$97:$K$696,'Posiłki'!$A$97:$A$696,$A81))))</x:f>
      </x:c>
      <x:c r="K81" s="24" t="str">
        <x:f>IF($A81="","",IF(COUNTIFS('Posiłki'!$A$97:$A$696,$A81,'Posiłki'!$L$97:$L$696,"brak danych")&gt;0,"brak danych",IF(COUNTIFS('Posiłki'!$A$97:$A$696,$A81,'Posiłki'!$F$97:$F$696,"&lt;&gt;")=0,"",SUMIFS('Posiłki'!$L$97:$L$696,'Posiłki'!$A$97:$A$696,$A81))))</x:f>
      </x:c>
      <x:c r="L81" s="25" t="str">
        <x:f>IF($A81="","",IF(COUNTIFS('Posiłki'!$A$97:$A$696,$A81,'Posiłki'!$P$97:$P$696,"brak danych")&gt;0,"brak danych",IF(COUNTIFS('Posiłki'!$A$97:$A$696,$A81,'Posiłki'!$F$97:$F$696,"&lt;&gt;")=0,"",SUMIFS('Posiłki'!$P$97:$P$696,'Posiłki'!$A$97:$A$696,$A81))))</x:f>
      </x:c>
      <x:c r="M81" s="18"/>
    </x:row>
    <x:row r="82" ht="25" customHeight="1">
      <x:c r="A82" s="19" t="str">
        <x:f>IF(ISNUMBER($B$4),$B$4+70,"")</x:f>
      </x:c>
      <x:c r="B82" s="2" t="str">
        <x:f>IF(A82="","",CHOOSE(WEEKDAY(A82,2),"pon.","wt.","śr.","czw.","pt.","sob.","niedz."))</x:f>
      </x:c>
      <x:c r="C82" s="18"/>
      <x:c r="D82" s="18"/>
      <x:c r="E82" s="23" t="str">
        <x:f>IF(A82="","",A82-2+16/24)</x:f>
      </x:c>
      <x:c r="F82" s="24" t="str">
        <x:f>IF($A82="","",IF(COUNTIFS('Posiłki'!$A$97:$A$696,$A82,'Posiłki'!$G$97:$G$696,"brak danych")&gt;0,"brak danych",IF(COUNTIFS('Posiłki'!$A$97:$A$696,$A82,'Posiłki'!$E$97:$E$696,"&lt;&gt;")=0,"",SUMIFS('Posiłki'!$G$97:$G$696,'Posiłki'!$A$97:$A$696,$A82))))</x:f>
      </x:c>
      <x:c r="G82" s="25" t="str">
        <x:f>IF($A82="","",IF(COUNTIFS('Posiłki'!$A$97:$A$696,$A82,'Posiłki'!$H$97:$H$696,"brak danych")&gt;0,"brak danych",IF(COUNTIFS('Posiłki'!$A$97:$A$696,$A82,'Posiłki'!$E$97:$E$696,"&lt;&gt;")=0,"",SUMIFS('Posiłki'!$H$97:$H$696,'Posiłki'!$A$97:$A$696,$A82))))</x:f>
      </x:c>
      <x:c r="H82" s="25" t="str">
        <x:f>IF($A82="","",IF(COUNTIFS('Posiłki'!$A$97:$A$696,$A82,'Posiłki'!$I$97:$I$696,"brak danych")&gt;0,"brak danych",IF(COUNTIFS('Posiłki'!$A$97:$A$696,$A82,'Posiłki'!$E$97:$E$696,"&lt;&gt;")=0,"",SUMIFS('Posiłki'!$I$97:$I$696,'Posiłki'!$A$97:$A$696,$A82))))</x:f>
      </x:c>
      <x:c r="I82" s="25" t="str">
        <x:f>IF($A82="","",IF(COUNTIFS('Posiłki'!$A$97:$A$696,$A82,'Posiłki'!$J$97:$J$696,"brak danych")&gt;0,"brak danych",IF(COUNTIFS('Posiłki'!$A$97:$A$696,$A82,'Posiłki'!$E$97:$E$696,"&lt;&gt;")=0,"",SUMIFS('Posiłki'!$J$97:$J$696,'Posiłki'!$A$97:$A$696,$A82))))</x:f>
      </x:c>
      <x:c r="J82" s="25" t="str">
        <x:f>IF($A82="","",IF(COUNTIFS('Posiłki'!$A$97:$A$696,$A82,'Posiłki'!$K$97:$K$696,"brak danych")&gt;0,"brak danych",IF(COUNTIFS('Posiłki'!$A$97:$A$696,$A82,'Posiłki'!$E$97:$E$696,"&lt;&gt;")=0,"",SUMIFS('Posiłki'!$K$97:$K$696,'Posiłki'!$A$97:$A$696,$A82))))</x:f>
      </x:c>
      <x:c r="K82" s="24" t="str">
        <x:f>IF($A82="","",IF(COUNTIFS('Posiłki'!$A$97:$A$696,$A82,'Posiłki'!$L$97:$L$696,"brak danych")&gt;0,"brak danych",IF(COUNTIFS('Posiłki'!$A$97:$A$696,$A82,'Posiłki'!$F$97:$F$696,"&lt;&gt;")=0,"",SUMIFS('Posiłki'!$L$97:$L$696,'Posiłki'!$A$97:$A$696,$A82))))</x:f>
      </x:c>
      <x:c r="L82" s="25" t="str">
        <x:f>IF($A82="","",IF(COUNTIFS('Posiłki'!$A$97:$A$696,$A82,'Posiłki'!$P$97:$P$696,"brak danych")&gt;0,"brak danych",IF(COUNTIFS('Posiłki'!$A$97:$A$696,$A82,'Posiłki'!$F$97:$F$696,"&lt;&gt;")=0,"",SUMIFS('Posiłki'!$P$97:$P$696,'Posiłki'!$A$97:$A$696,$A82))))</x:f>
      </x:c>
      <x:c r="M82" s="18"/>
    </x:row>
    <x:row r="83" ht="25" customHeight="1">
      <x:c r="A83" s="19" t="str">
        <x:f>IF(ISNUMBER($B$4),$B$4+71,"")</x:f>
      </x:c>
      <x:c r="B83" s="2" t="str">
        <x:f>IF(A83="","",CHOOSE(WEEKDAY(A83,2),"pon.","wt.","śr.","czw.","pt.","sob.","niedz."))</x:f>
      </x:c>
      <x:c r="C83" s="18"/>
      <x:c r="D83" s="18"/>
      <x:c r="E83" s="23" t="str">
        <x:f>IF(A83="","",A83-2+16/24)</x:f>
      </x:c>
      <x:c r="F83" s="24" t="str">
        <x:f>IF($A83="","",IF(COUNTIFS('Posiłki'!$A$97:$A$696,$A83,'Posiłki'!$G$97:$G$696,"brak danych")&gt;0,"brak danych",IF(COUNTIFS('Posiłki'!$A$97:$A$696,$A83,'Posiłki'!$E$97:$E$696,"&lt;&gt;")=0,"",SUMIFS('Posiłki'!$G$97:$G$696,'Posiłki'!$A$97:$A$696,$A83))))</x:f>
      </x:c>
      <x:c r="G83" s="25" t="str">
        <x:f>IF($A83="","",IF(COUNTIFS('Posiłki'!$A$97:$A$696,$A83,'Posiłki'!$H$97:$H$696,"brak danych")&gt;0,"brak danych",IF(COUNTIFS('Posiłki'!$A$97:$A$696,$A83,'Posiłki'!$E$97:$E$696,"&lt;&gt;")=0,"",SUMIFS('Posiłki'!$H$97:$H$696,'Posiłki'!$A$97:$A$696,$A83))))</x:f>
      </x:c>
      <x:c r="H83" s="25" t="str">
        <x:f>IF($A83="","",IF(COUNTIFS('Posiłki'!$A$97:$A$696,$A83,'Posiłki'!$I$97:$I$696,"brak danych")&gt;0,"brak danych",IF(COUNTIFS('Posiłki'!$A$97:$A$696,$A83,'Posiłki'!$E$97:$E$696,"&lt;&gt;")=0,"",SUMIFS('Posiłki'!$I$97:$I$696,'Posiłki'!$A$97:$A$696,$A83))))</x:f>
      </x:c>
      <x:c r="I83" s="25" t="str">
        <x:f>IF($A83="","",IF(COUNTIFS('Posiłki'!$A$97:$A$696,$A83,'Posiłki'!$J$97:$J$696,"brak danych")&gt;0,"brak danych",IF(COUNTIFS('Posiłki'!$A$97:$A$696,$A83,'Posiłki'!$E$97:$E$696,"&lt;&gt;")=0,"",SUMIFS('Posiłki'!$J$97:$J$696,'Posiłki'!$A$97:$A$696,$A83))))</x:f>
      </x:c>
      <x:c r="J83" s="25" t="str">
        <x:f>IF($A83="","",IF(COUNTIFS('Posiłki'!$A$97:$A$696,$A83,'Posiłki'!$K$97:$K$696,"brak danych")&gt;0,"brak danych",IF(COUNTIFS('Posiłki'!$A$97:$A$696,$A83,'Posiłki'!$E$97:$E$696,"&lt;&gt;")=0,"",SUMIFS('Posiłki'!$K$97:$K$696,'Posiłki'!$A$97:$A$696,$A83))))</x:f>
      </x:c>
      <x:c r="K83" s="24" t="str">
        <x:f>IF($A83="","",IF(COUNTIFS('Posiłki'!$A$97:$A$696,$A83,'Posiłki'!$L$97:$L$696,"brak danych")&gt;0,"brak danych",IF(COUNTIFS('Posiłki'!$A$97:$A$696,$A83,'Posiłki'!$F$97:$F$696,"&lt;&gt;")=0,"",SUMIFS('Posiłki'!$L$97:$L$696,'Posiłki'!$A$97:$A$696,$A83))))</x:f>
      </x:c>
      <x:c r="L83" s="25" t="str">
        <x:f>IF($A83="","",IF(COUNTIFS('Posiłki'!$A$97:$A$696,$A83,'Posiłki'!$P$97:$P$696,"brak danych")&gt;0,"brak danych",IF(COUNTIFS('Posiłki'!$A$97:$A$696,$A83,'Posiłki'!$F$97:$F$696,"&lt;&gt;")=0,"",SUMIFS('Posiłki'!$P$97:$P$696,'Posiłki'!$A$97:$A$696,$A83))))</x:f>
      </x:c>
      <x:c r="M83" s="18"/>
    </x:row>
    <x:row r="84" ht="25" customHeight="1">
      <x:c r="A84" s="19" t="str">
        <x:f>IF(ISNUMBER($B$4),$B$4+72,"")</x:f>
      </x:c>
      <x:c r="B84" s="2" t="str">
        <x:f>IF(A84="","",CHOOSE(WEEKDAY(A84,2),"pon.","wt.","śr.","czw.","pt.","sob.","niedz."))</x:f>
      </x:c>
      <x:c r="C84" s="18"/>
      <x:c r="D84" s="18"/>
      <x:c r="E84" s="23" t="str">
        <x:f>IF(A84="","",A84-2+16/24)</x:f>
      </x:c>
      <x:c r="F84" s="24" t="str">
        <x:f>IF($A84="","",IF(COUNTIFS('Posiłki'!$A$97:$A$696,$A84,'Posiłki'!$G$97:$G$696,"brak danych")&gt;0,"brak danych",IF(COUNTIFS('Posiłki'!$A$97:$A$696,$A84,'Posiłki'!$E$97:$E$696,"&lt;&gt;")=0,"",SUMIFS('Posiłki'!$G$97:$G$696,'Posiłki'!$A$97:$A$696,$A84))))</x:f>
      </x:c>
      <x:c r="G84" s="25" t="str">
        <x:f>IF($A84="","",IF(COUNTIFS('Posiłki'!$A$97:$A$696,$A84,'Posiłki'!$H$97:$H$696,"brak danych")&gt;0,"brak danych",IF(COUNTIFS('Posiłki'!$A$97:$A$696,$A84,'Posiłki'!$E$97:$E$696,"&lt;&gt;")=0,"",SUMIFS('Posiłki'!$H$97:$H$696,'Posiłki'!$A$97:$A$696,$A84))))</x:f>
      </x:c>
      <x:c r="H84" s="25" t="str">
        <x:f>IF($A84="","",IF(COUNTIFS('Posiłki'!$A$97:$A$696,$A84,'Posiłki'!$I$97:$I$696,"brak danych")&gt;0,"brak danych",IF(COUNTIFS('Posiłki'!$A$97:$A$696,$A84,'Posiłki'!$E$97:$E$696,"&lt;&gt;")=0,"",SUMIFS('Posiłki'!$I$97:$I$696,'Posiłki'!$A$97:$A$696,$A84))))</x:f>
      </x:c>
      <x:c r="I84" s="25" t="str">
        <x:f>IF($A84="","",IF(COUNTIFS('Posiłki'!$A$97:$A$696,$A84,'Posiłki'!$J$97:$J$696,"brak danych")&gt;0,"brak danych",IF(COUNTIFS('Posiłki'!$A$97:$A$696,$A84,'Posiłki'!$E$97:$E$696,"&lt;&gt;")=0,"",SUMIFS('Posiłki'!$J$97:$J$696,'Posiłki'!$A$97:$A$696,$A84))))</x:f>
      </x:c>
      <x:c r="J84" s="25" t="str">
        <x:f>IF($A84="","",IF(COUNTIFS('Posiłki'!$A$97:$A$696,$A84,'Posiłki'!$K$97:$K$696,"brak danych")&gt;0,"brak danych",IF(COUNTIFS('Posiłki'!$A$97:$A$696,$A84,'Posiłki'!$E$97:$E$696,"&lt;&gt;")=0,"",SUMIFS('Posiłki'!$K$97:$K$696,'Posiłki'!$A$97:$A$696,$A84))))</x:f>
      </x:c>
      <x:c r="K84" s="24" t="str">
        <x:f>IF($A84="","",IF(COUNTIFS('Posiłki'!$A$97:$A$696,$A84,'Posiłki'!$L$97:$L$696,"brak danych")&gt;0,"brak danych",IF(COUNTIFS('Posiłki'!$A$97:$A$696,$A84,'Posiłki'!$F$97:$F$696,"&lt;&gt;")=0,"",SUMIFS('Posiłki'!$L$97:$L$696,'Posiłki'!$A$97:$A$696,$A84))))</x:f>
      </x:c>
      <x:c r="L84" s="25" t="str">
        <x:f>IF($A84="","",IF(COUNTIFS('Posiłki'!$A$97:$A$696,$A84,'Posiłki'!$P$97:$P$696,"brak danych")&gt;0,"brak danych",IF(COUNTIFS('Posiłki'!$A$97:$A$696,$A84,'Posiłki'!$F$97:$F$696,"&lt;&gt;")=0,"",SUMIFS('Posiłki'!$P$97:$P$696,'Posiłki'!$A$97:$A$696,$A84))))</x:f>
      </x:c>
      <x:c r="M84" s="18"/>
    </x:row>
    <x:row r="85" ht="25" customHeight="1">
      <x:c r="A85" s="19" t="str">
        <x:f>IF(ISNUMBER($B$4),$B$4+73,"")</x:f>
      </x:c>
      <x:c r="B85" s="2" t="str">
        <x:f>IF(A85="","",CHOOSE(WEEKDAY(A85,2),"pon.","wt.","śr.","czw.","pt.","sob.","niedz."))</x:f>
      </x:c>
      <x:c r="C85" s="18"/>
      <x:c r="D85" s="18"/>
      <x:c r="E85" s="23" t="str">
        <x:f>IF(A85="","",A85-2+16/24)</x:f>
      </x:c>
      <x:c r="F85" s="24" t="str">
        <x:f>IF($A85="","",IF(COUNTIFS('Posiłki'!$A$97:$A$696,$A85,'Posiłki'!$G$97:$G$696,"brak danych")&gt;0,"brak danych",IF(COUNTIFS('Posiłki'!$A$97:$A$696,$A85,'Posiłki'!$E$97:$E$696,"&lt;&gt;")=0,"",SUMIFS('Posiłki'!$G$97:$G$696,'Posiłki'!$A$97:$A$696,$A85))))</x:f>
      </x:c>
      <x:c r="G85" s="25" t="str">
        <x:f>IF($A85="","",IF(COUNTIFS('Posiłki'!$A$97:$A$696,$A85,'Posiłki'!$H$97:$H$696,"brak danych")&gt;0,"brak danych",IF(COUNTIFS('Posiłki'!$A$97:$A$696,$A85,'Posiłki'!$E$97:$E$696,"&lt;&gt;")=0,"",SUMIFS('Posiłki'!$H$97:$H$696,'Posiłki'!$A$97:$A$696,$A85))))</x:f>
      </x:c>
      <x:c r="H85" s="25" t="str">
        <x:f>IF($A85="","",IF(COUNTIFS('Posiłki'!$A$97:$A$696,$A85,'Posiłki'!$I$97:$I$696,"brak danych")&gt;0,"brak danych",IF(COUNTIFS('Posiłki'!$A$97:$A$696,$A85,'Posiłki'!$E$97:$E$696,"&lt;&gt;")=0,"",SUMIFS('Posiłki'!$I$97:$I$696,'Posiłki'!$A$97:$A$696,$A85))))</x:f>
      </x:c>
      <x:c r="I85" s="25" t="str">
        <x:f>IF($A85="","",IF(COUNTIFS('Posiłki'!$A$97:$A$696,$A85,'Posiłki'!$J$97:$J$696,"brak danych")&gt;0,"brak danych",IF(COUNTIFS('Posiłki'!$A$97:$A$696,$A85,'Posiłki'!$E$97:$E$696,"&lt;&gt;")=0,"",SUMIFS('Posiłki'!$J$97:$J$696,'Posiłki'!$A$97:$A$696,$A85))))</x:f>
      </x:c>
      <x:c r="J85" s="25" t="str">
        <x:f>IF($A85="","",IF(COUNTIFS('Posiłki'!$A$97:$A$696,$A85,'Posiłki'!$K$97:$K$696,"brak danych")&gt;0,"brak danych",IF(COUNTIFS('Posiłki'!$A$97:$A$696,$A85,'Posiłki'!$E$97:$E$696,"&lt;&gt;")=0,"",SUMIFS('Posiłki'!$K$97:$K$696,'Posiłki'!$A$97:$A$696,$A85))))</x:f>
      </x:c>
      <x:c r="K85" s="24" t="str">
        <x:f>IF($A85="","",IF(COUNTIFS('Posiłki'!$A$97:$A$696,$A85,'Posiłki'!$L$97:$L$696,"brak danych")&gt;0,"brak danych",IF(COUNTIFS('Posiłki'!$A$97:$A$696,$A85,'Posiłki'!$F$97:$F$696,"&lt;&gt;")=0,"",SUMIFS('Posiłki'!$L$97:$L$696,'Posiłki'!$A$97:$A$696,$A85))))</x:f>
      </x:c>
      <x:c r="L85" s="25" t="str">
        <x:f>IF($A85="","",IF(COUNTIFS('Posiłki'!$A$97:$A$696,$A85,'Posiłki'!$P$97:$P$696,"brak danych")&gt;0,"brak danych",IF(COUNTIFS('Posiłki'!$A$97:$A$696,$A85,'Posiłki'!$F$97:$F$696,"&lt;&gt;")=0,"",SUMIFS('Posiłki'!$P$97:$P$696,'Posiłki'!$A$97:$A$696,$A85))))</x:f>
      </x:c>
      <x:c r="M85" s="18"/>
    </x:row>
    <x:row r="86" ht="25" customHeight="1">
      <x:c r="A86" s="19" t="str">
        <x:f>IF(ISNUMBER($B$4),$B$4+74,"")</x:f>
      </x:c>
      <x:c r="B86" s="2" t="str">
        <x:f>IF(A86="","",CHOOSE(WEEKDAY(A86,2),"pon.","wt.","śr.","czw.","pt.","sob.","niedz."))</x:f>
      </x:c>
      <x:c r="C86" s="18"/>
      <x:c r="D86" s="18"/>
      <x:c r="E86" s="23" t="str">
        <x:f>IF(A86="","",A86-2+16/24)</x:f>
      </x:c>
      <x:c r="F86" s="24" t="str">
        <x:f>IF($A86="","",IF(COUNTIFS('Posiłki'!$A$97:$A$696,$A86,'Posiłki'!$G$97:$G$696,"brak danych")&gt;0,"brak danych",IF(COUNTIFS('Posiłki'!$A$97:$A$696,$A86,'Posiłki'!$E$97:$E$696,"&lt;&gt;")=0,"",SUMIFS('Posiłki'!$G$97:$G$696,'Posiłki'!$A$97:$A$696,$A86))))</x:f>
      </x:c>
      <x:c r="G86" s="25" t="str">
        <x:f>IF($A86="","",IF(COUNTIFS('Posiłki'!$A$97:$A$696,$A86,'Posiłki'!$H$97:$H$696,"brak danych")&gt;0,"brak danych",IF(COUNTIFS('Posiłki'!$A$97:$A$696,$A86,'Posiłki'!$E$97:$E$696,"&lt;&gt;")=0,"",SUMIFS('Posiłki'!$H$97:$H$696,'Posiłki'!$A$97:$A$696,$A86))))</x:f>
      </x:c>
      <x:c r="H86" s="25" t="str">
        <x:f>IF($A86="","",IF(COUNTIFS('Posiłki'!$A$97:$A$696,$A86,'Posiłki'!$I$97:$I$696,"brak danych")&gt;0,"brak danych",IF(COUNTIFS('Posiłki'!$A$97:$A$696,$A86,'Posiłki'!$E$97:$E$696,"&lt;&gt;")=0,"",SUMIFS('Posiłki'!$I$97:$I$696,'Posiłki'!$A$97:$A$696,$A86))))</x:f>
      </x:c>
      <x:c r="I86" s="25" t="str">
        <x:f>IF($A86="","",IF(COUNTIFS('Posiłki'!$A$97:$A$696,$A86,'Posiłki'!$J$97:$J$696,"brak danych")&gt;0,"brak danych",IF(COUNTIFS('Posiłki'!$A$97:$A$696,$A86,'Posiłki'!$E$97:$E$696,"&lt;&gt;")=0,"",SUMIFS('Posiłki'!$J$97:$J$696,'Posiłki'!$A$97:$A$696,$A86))))</x:f>
      </x:c>
      <x:c r="J86" s="25" t="str">
        <x:f>IF($A86="","",IF(COUNTIFS('Posiłki'!$A$97:$A$696,$A86,'Posiłki'!$K$97:$K$696,"brak danych")&gt;0,"brak danych",IF(COUNTIFS('Posiłki'!$A$97:$A$696,$A86,'Posiłki'!$E$97:$E$696,"&lt;&gt;")=0,"",SUMIFS('Posiłki'!$K$97:$K$696,'Posiłki'!$A$97:$A$696,$A86))))</x:f>
      </x:c>
      <x:c r="K86" s="24" t="str">
        <x:f>IF($A86="","",IF(COUNTIFS('Posiłki'!$A$97:$A$696,$A86,'Posiłki'!$L$97:$L$696,"brak danych")&gt;0,"brak danych",IF(COUNTIFS('Posiłki'!$A$97:$A$696,$A86,'Posiłki'!$F$97:$F$696,"&lt;&gt;")=0,"",SUMIFS('Posiłki'!$L$97:$L$696,'Posiłki'!$A$97:$A$696,$A86))))</x:f>
      </x:c>
      <x:c r="L86" s="25" t="str">
        <x:f>IF($A86="","",IF(COUNTIFS('Posiłki'!$A$97:$A$696,$A86,'Posiłki'!$P$97:$P$696,"brak danych")&gt;0,"brak danych",IF(COUNTIFS('Posiłki'!$A$97:$A$696,$A86,'Posiłki'!$F$97:$F$696,"&lt;&gt;")=0,"",SUMIFS('Posiłki'!$P$97:$P$696,'Posiłki'!$A$97:$A$696,$A86))))</x:f>
      </x:c>
      <x:c r="M86" s="18"/>
    </x:row>
    <x:row r="87" ht="25" customHeight="1">
      <x:c r="A87" s="19" t="str">
        <x:f>IF(ISNUMBER($B$4),$B$4+75,"")</x:f>
      </x:c>
      <x:c r="B87" s="2" t="str">
        <x:f>IF(A87="","",CHOOSE(WEEKDAY(A87,2),"pon.","wt.","śr.","czw.","pt.","sob.","niedz."))</x:f>
      </x:c>
      <x:c r="C87" s="18"/>
      <x:c r="D87" s="18"/>
      <x:c r="E87" s="23" t="str">
        <x:f>IF(A87="","",A87-2+16/24)</x:f>
      </x:c>
      <x:c r="F87" s="24" t="str">
        <x:f>IF($A87="","",IF(COUNTIFS('Posiłki'!$A$97:$A$696,$A87,'Posiłki'!$G$97:$G$696,"brak danych")&gt;0,"brak danych",IF(COUNTIFS('Posiłki'!$A$97:$A$696,$A87,'Posiłki'!$E$97:$E$696,"&lt;&gt;")=0,"",SUMIFS('Posiłki'!$G$97:$G$696,'Posiłki'!$A$97:$A$696,$A87))))</x:f>
      </x:c>
      <x:c r="G87" s="25" t="str">
        <x:f>IF($A87="","",IF(COUNTIFS('Posiłki'!$A$97:$A$696,$A87,'Posiłki'!$H$97:$H$696,"brak danych")&gt;0,"brak danych",IF(COUNTIFS('Posiłki'!$A$97:$A$696,$A87,'Posiłki'!$E$97:$E$696,"&lt;&gt;")=0,"",SUMIFS('Posiłki'!$H$97:$H$696,'Posiłki'!$A$97:$A$696,$A87))))</x:f>
      </x:c>
      <x:c r="H87" s="25" t="str">
        <x:f>IF($A87="","",IF(COUNTIFS('Posiłki'!$A$97:$A$696,$A87,'Posiłki'!$I$97:$I$696,"brak danych")&gt;0,"brak danych",IF(COUNTIFS('Posiłki'!$A$97:$A$696,$A87,'Posiłki'!$E$97:$E$696,"&lt;&gt;")=0,"",SUMIFS('Posiłki'!$I$97:$I$696,'Posiłki'!$A$97:$A$696,$A87))))</x:f>
      </x:c>
      <x:c r="I87" s="25" t="str">
        <x:f>IF($A87="","",IF(COUNTIFS('Posiłki'!$A$97:$A$696,$A87,'Posiłki'!$J$97:$J$696,"brak danych")&gt;0,"brak danych",IF(COUNTIFS('Posiłki'!$A$97:$A$696,$A87,'Posiłki'!$E$97:$E$696,"&lt;&gt;")=0,"",SUMIFS('Posiłki'!$J$97:$J$696,'Posiłki'!$A$97:$A$696,$A87))))</x:f>
      </x:c>
      <x:c r="J87" s="25" t="str">
        <x:f>IF($A87="","",IF(COUNTIFS('Posiłki'!$A$97:$A$696,$A87,'Posiłki'!$K$97:$K$696,"brak danych")&gt;0,"brak danych",IF(COUNTIFS('Posiłki'!$A$97:$A$696,$A87,'Posiłki'!$E$97:$E$696,"&lt;&gt;")=0,"",SUMIFS('Posiłki'!$K$97:$K$696,'Posiłki'!$A$97:$A$696,$A87))))</x:f>
      </x:c>
      <x:c r="K87" s="24" t="str">
        <x:f>IF($A87="","",IF(COUNTIFS('Posiłki'!$A$97:$A$696,$A87,'Posiłki'!$L$97:$L$696,"brak danych")&gt;0,"brak danych",IF(COUNTIFS('Posiłki'!$A$97:$A$696,$A87,'Posiłki'!$F$97:$F$696,"&lt;&gt;")=0,"",SUMIFS('Posiłki'!$L$97:$L$696,'Posiłki'!$A$97:$A$696,$A87))))</x:f>
      </x:c>
      <x:c r="L87" s="25" t="str">
        <x:f>IF($A87="","",IF(COUNTIFS('Posiłki'!$A$97:$A$696,$A87,'Posiłki'!$P$97:$P$696,"brak danych")&gt;0,"brak danych",IF(COUNTIFS('Posiłki'!$A$97:$A$696,$A87,'Posiłki'!$F$97:$F$696,"&lt;&gt;")=0,"",SUMIFS('Posiłki'!$P$97:$P$696,'Posiłki'!$A$97:$A$696,$A87))))</x:f>
      </x:c>
      <x:c r="M87" s="18"/>
    </x:row>
    <x:row r="88" ht="25" customHeight="1">
      <x:c r="A88" s="19" t="str">
        <x:f>IF(ISNUMBER($B$4),$B$4+76,"")</x:f>
      </x:c>
      <x:c r="B88" s="2" t="str">
        <x:f>IF(A88="","",CHOOSE(WEEKDAY(A88,2),"pon.","wt.","śr.","czw.","pt.","sob.","niedz."))</x:f>
      </x:c>
      <x:c r="C88" s="18"/>
      <x:c r="D88" s="18"/>
      <x:c r="E88" s="23" t="str">
        <x:f>IF(A88="","",A88-2+16/24)</x:f>
      </x:c>
      <x:c r="F88" s="24" t="str">
        <x:f>IF($A88="","",IF(COUNTIFS('Posiłki'!$A$97:$A$696,$A88,'Posiłki'!$G$97:$G$696,"brak danych")&gt;0,"brak danych",IF(COUNTIFS('Posiłki'!$A$97:$A$696,$A88,'Posiłki'!$E$97:$E$696,"&lt;&gt;")=0,"",SUMIFS('Posiłki'!$G$97:$G$696,'Posiłki'!$A$97:$A$696,$A88))))</x:f>
      </x:c>
      <x:c r="G88" s="25" t="str">
        <x:f>IF($A88="","",IF(COUNTIFS('Posiłki'!$A$97:$A$696,$A88,'Posiłki'!$H$97:$H$696,"brak danych")&gt;0,"brak danych",IF(COUNTIFS('Posiłki'!$A$97:$A$696,$A88,'Posiłki'!$E$97:$E$696,"&lt;&gt;")=0,"",SUMIFS('Posiłki'!$H$97:$H$696,'Posiłki'!$A$97:$A$696,$A88))))</x:f>
      </x:c>
      <x:c r="H88" s="25" t="str">
        <x:f>IF($A88="","",IF(COUNTIFS('Posiłki'!$A$97:$A$696,$A88,'Posiłki'!$I$97:$I$696,"brak danych")&gt;0,"brak danych",IF(COUNTIFS('Posiłki'!$A$97:$A$696,$A88,'Posiłki'!$E$97:$E$696,"&lt;&gt;")=0,"",SUMIFS('Posiłki'!$I$97:$I$696,'Posiłki'!$A$97:$A$696,$A88))))</x:f>
      </x:c>
      <x:c r="I88" s="25" t="str">
        <x:f>IF($A88="","",IF(COUNTIFS('Posiłki'!$A$97:$A$696,$A88,'Posiłki'!$J$97:$J$696,"brak danych")&gt;0,"brak danych",IF(COUNTIFS('Posiłki'!$A$97:$A$696,$A88,'Posiłki'!$E$97:$E$696,"&lt;&gt;")=0,"",SUMIFS('Posiłki'!$J$97:$J$696,'Posiłki'!$A$97:$A$696,$A88))))</x:f>
      </x:c>
      <x:c r="J88" s="25" t="str">
        <x:f>IF($A88="","",IF(COUNTIFS('Posiłki'!$A$97:$A$696,$A88,'Posiłki'!$K$97:$K$696,"brak danych")&gt;0,"brak danych",IF(COUNTIFS('Posiłki'!$A$97:$A$696,$A88,'Posiłki'!$E$97:$E$696,"&lt;&gt;")=0,"",SUMIFS('Posiłki'!$K$97:$K$696,'Posiłki'!$A$97:$A$696,$A88))))</x:f>
      </x:c>
      <x:c r="K88" s="24" t="str">
        <x:f>IF($A88="","",IF(COUNTIFS('Posiłki'!$A$97:$A$696,$A88,'Posiłki'!$L$97:$L$696,"brak danych")&gt;0,"brak danych",IF(COUNTIFS('Posiłki'!$A$97:$A$696,$A88,'Posiłki'!$F$97:$F$696,"&lt;&gt;")=0,"",SUMIFS('Posiłki'!$L$97:$L$696,'Posiłki'!$A$97:$A$696,$A88))))</x:f>
      </x:c>
      <x:c r="L88" s="25" t="str">
        <x:f>IF($A88="","",IF(COUNTIFS('Posiłki'!$A$97:$A$696,$A88,'Posiłki'!$P$97:$P$696,"brak danych")&gt;0,"brak danych",IF(COUNTIFS('Posiłki'!$A$97:$A$696,$A88,'Posiłki'!$F$97:$F$696,"&lt;&gt;")=0,"",SUMIFS('Posiłki'!$P$97:$P$696,'Posiłki'!$A$97:$A$696,$A88))))</x:f>
      </x:c>
      <x:c r="M88" s="18"/>
    </x:row>
    <x:row r="89" ht="25" customHeight="1">
      <x:c r="A89" s="19" t="str">
        <x:f>IF(ISNUMBER($B$4),$B$4+77,"")</x:f>
      </x:c>
      <x:c r="B89" s="2" t="str">
        <x:f>IF(A89="","",CHOOSE(WEEKDAY(A89,2),"pon.","wt.","śr.","czw.","pt.","sob.","niedz."))</x:f>
      </x:c>
      <x:c r="C89" s="18"/>
      <x:c r="D89" s="18"/>
      <x:c r="E89" s="23" t="str">
        <x:f>IF(A89="","",A89-2+16/24)</x:f>
      </x:c>
      <x:c r="F89" s="24" t="str">
        <x:f>IF($A89="","",IF(COUNTIFS('Posiłki'!$A$97:$A$696,$A89,'Posiłki'!$G$97:$G$696,"brak danych")&gt;0,"brak danych",IF(COUNTIFS('Posiłki'!$A$97:$A$696,$A89,'Posiłki'!$E$97:$E$696,"&lt;&gt;")=0,"",SUMIFS('Posiłki'!$G$97:$G$696,'Posiłki'!$A$97:$A$696,$A89))))</x:f>
      </x:c>
      <x:c r="G89" s="25" t="str">
        <x:f>IF($A89="","",IF(COUNTIFS('Posiłki'!$A$97:$A$696,$A89,'Posiłki'!$H$97:$H$696,"brak danych")&gt;0,"brak danych",IF(COUNTIFS('Posiłki'!$A$97:$A$696,$A89,'Posiłki'!$E$97:$E$696,"&lt;&gt;")=0,"",SUMIFS('Posiłki'!$H$97:$H$696,'Posiłki'!$A$97:$A$696,$A89))))</x:f>
      </x:c>
      <x:c r="H89" s="25" t="str">
        <x:f>IF($A89="","",IF(COUNTIFS('Posiłki'!$A$97:$A$696,$A89,'Posiłki'!$I$97:$I$696,"brak danych")&gt;0,"brak danych",IF(COUNTIFS('Posiłki'!$A$97:$A$696,$A89,'Posiłki'!$E$97:$E$696,"&lt;&gt;")=0,"",SUMIFS('Posiłki'!$I$97:$I$696,'Posiłki'!$A$97:$A$696,$A89))))</x:f>
      </x:c>
      <x:c r="I89" s="25" t="str">
        <x:f>IF($A89="","",IF(COUNTIFS('Posiłki'!$A$97:$A$696,$A89,'Posiłki'!$J$97:$J$696,"brak danych")&gt;0,"brak danych",IF(COUNTIFS('Posiłki'!$A$97:$A$696,$A89,'Posiłki'!$E$97:$E$696,"&lt;&gt;")=0,"",SUMIFS('Posiłki'!$J$97:$J$696,'Posiłki'!$A$97:$A$696,$A89))))</x:f>
      </x:c>
      <x:c r="J89" s="25" t="str">
        <x:f>IF($A89="","",IF(COUNTIFS('Posiłki'!$A$97:$A$696,$A89,'Posiłki'!$K$97:$K$696,"brak danych")&gt;0,"brak danych",IF(COUNTIFS('Posiłki'!$A$97:$A$696,$A89,'Posiłki'!$E$97:$E$696,"&lt;&gt;")=0,"",SUMIFS('Posiłki'!$K$97:$K$696,'Posiłki'!$A$97:$A$696,$A89))))</x:f>
      </x:c>
      <x:c r="K89" s="24" t="str">
        <x:f>IF($A89="","",IF(COUNTIFS('Posiłki'!$A$97:$A$696,$A89,'Posiłki'!$L$97:$L$696,"brak danych")&gt;0,"brak danych",IF(COUNTIFS('Posiłki'!$A$97:$A$696,$A89,'Posiłki'!$F$97:$F$696,"&lt;&gt;")=0,"",SUMIFS('Posiłki'!$L$97:$L$696,'Posiłki'!$A$97:$A$696,$A89))))</x:f>
      </x:c>
      <x:c r="L89" s="25" t="str">
        <x:f>IF($A89="","",IF(COUNTIFS('Posiłki'!$A$97:$A$696,$A89,'Posiłki'!$P$97:$P$696,"brak danych")&gt;0,"brak danych",IF(COUNTIFS('Posiłki'!$A$97:$A$696,$A89,'Posiłki'!$F$97:$F$696,"&lt;&gt;")=0,"",SUMIFS('Posiłki'!$P$97:$P$696,'Posiłki'!$A$97:$A$696,$A89))))</x:f>
      </x:c>
      <x:c r="M89" s="18"/>
    </x:row>
    <x:row r="90" ht="25" customHeight="1">
      <x:c r="A90" s="19" t="str">
        <x:f>IF(ISNUMBER($B$4),$B$4+78,"")</x:f>
      </x:c>
      <x:c r="B90" s="2" t="str">
        <x:f>IF(A90="","",CHOOSE(WEEKDAY(A90,2),"pon.","wt.","śr.","czw.","pt.","sob.","niedz."))</x:f>
      </x:c>
      <x:c r="C90" s="18"/>
      <x:c r="D90" s="18"/>
      <x:c r="E90" s="23" t="str">
        <x:f>IF(A90="","",A90-2+16/24)</x:f>
      </x:c>
      <x:c r="F90" s="24" t="str">
        <x:f>IF($A90="","",IF(COUNTIFS('Posiłki'!$A$97:$A$696,$A90,'Posiłki'!$G$97:$G$696,"brak danych")&gt;0,"brak danych",IF(COUNTIFS('Posiłki'!$A$97:$A$696,$A90,'Posiłki'!$E$97:$E$696,"&lt;&gt;")=0,"",SUMIFS('Posiłki'!$G$97:$G$696,'Posiłki'!$A$97:$A$696,$A90))))</x:f>
      </x:c>
      <x:c r="G90" s="25" t="str">
        <x:f>IF($A90="","",IF(COUNTIFS('Posiłki'!$A$97:$A$696,$A90,'Posiłki'!$H$97:$H$696,"brak danych")&gt;0,"brak danych",IF(COUNTIFS('Posiłki'!$A$97:$A$696,$A90,'Posiłki'!$E$97:$E$696,"&lt;&gt;")=0,"",SUMIFS('Posiłki'!$H$97:$H$696,'Posiłki'!$A$97:$A$696,$A90))))</x:f>
      </x:c>
      <x:c r="H90" s="25" t="str">
        <x:f>IF($A90="","",IF(COUNTIFS('Posiłki'!$A$97:$A$696,$A90,'Posiłki'!$I$97:$I$696,"brak danych")&gt;0,"brak danych",IF(COUNTIFS('Posiłki'!$A$97:$A$696,$A90,'Posiłki'!$E$97:$E$696,"&lt;&gt;")=0,"",SUMIFS('Posiłki'!$I$97:$I$696,'Posiłki'!$A$97:$A$696,$A90))))</x:f>
      </x:c>
      <x:c r="I90" s="25" t="str">
        <x:f>IF($A90="","",IF(COUNTIFS('Posiłki'!$A$97:$A$696,$A90,'Posiłki'!$J$97:$J$696,"brak danych")&gt;0,"brak danych",IF(COUNTIFS('Posiłki'!$A$97:$A$696,$A90,'Posiłki'!$E$97:$E$696,"&lt;&gt;")=0,"",SUMIFS('Posiłki'!$J$97:$J$696,'Posiłki'!$A$97:$A$696,$A90))))</x:f>
      </x:c>
      <x:c r="J90" s="25" t="str">
        <x:f>IF($A90="","",IF(COUNTIFS('Posiłki'!$A$97:$A$696,$A90,'Posiłki'!$K$97:$K$696,"brak danych")&gt;0,"brak danych",IF(COUNTIFS('Posiłki'!$A$97:$A$696,$A90,'Posiłki'!$E$97:$E$696,"&lt;&gt;")=0,"",SUMIFS('Posiłki'!$K$97:$K$696,'Posiłki'!$A$97:$A$696,$A90))))</x:f>
      </x:c>
      <x:c r="K90" s="24" t="str">
        <x:f>IF($A90="","",IF(COUNTIFS('Posiłki'!$A$97:$A$696,$A90,'Posiłki'!$L$97:$L$696,"brak danych")&gt;0,"brak danych",IF(COUNTIFS('Posiłki'!$A$97:$A$696,$A90,'Posiłki'!$F$97:$F$696,"&lt;&gt;")=0,"",SUMIFS('Posiłki'!$L$97:$L$696,'Posiłki'!$A$97:$A$696,$A90))))</x:f>
      </x:c>
      <x:c r="L90" s="25" t="str">
        <x:f>IF($A90="","",IF(COUNTIFS('Posiłki'!$A$97:$A$696,$A90,'Posiłki'!$P$97:$P$696,"brak danych")&gt;0,"brak danych",IF(COUNTIFS('Posiłki'!$A$97:$A$696,$A90,'Posiłki'!$F$97:$F$696,"&lt;&gt;")=0,"",SUMIFS('Posiłki'!$P$97:$P$696,'Posiłki'!$A$97:$A$696,$A90))))</x:f>
      </x:c>
      <x:c r="M90" s="18"/>
    </x:row>
    <x:row r="91" ht="25" customHeight="1">
      <x:c r="A91" s="19" t="str">
        <x:f>IF(ISNUMBER($B$4),$B$4+79,"")</x:f>
      </x:c>
      <x:c r="B91" s="2" t="str">
        <x:f>IF(A91="","",CHOOSE(WEEKDAY(A91,2),"pon.","wt.","śr.","czw.","pt.","sob.","niedz."))</x:f>
      </x:c>
      <x:c r="C91" s="18"/>
      <x:c r="D91" s="18"/>
      <x:c r="E91" s="23" t="str">
        <x:f>IF(A91="","",A91-2+16/24)</x:f>
      </x:c>
      <x:c r="F91" s="24" t="str">
        <x:f>IF($A91="","",IF(COUNTIFS('Posiłki'!$A$97:$A$696,$A91,'Posiłki'!$G$97:$G$696,"brak danych")&gt;0,"brak danych",IF(COUNTIFS('Posiłki'!$A$97:$A$696,$A91,'Posiłki'!$E$97:$E$696,"&lt;&gt;")=0,"",SUMIFS('Posiłki'!$G$97:$G$696,'Posiłki'!$A$97:$A$696,$A91))))</x:f>
      </x:c>
      <x:c r="G91" s="25" t="str">
        <x:f>IF($A91="","",IF(COUNTIFS('Posiłki'!$A$97:$A$696,$A91,'Posiłki'!$H$97:$H$696,"brak danych")&gt;0,"brak danych",IF(COUNTIFS('Posiłki'!$A$97:$A$696,$A91,'Posiłki'!$E$97:$E$696,"&lt;&gt;")=0,"",SUMIFS('Posiłki'!$H$97:$H$696,'Posiłki'!$A$97:$A$696,$A91))))</x:f>
      </x:c>
      <x:c r="H91" s="25" t="str">
        <x:f>IF($A91="","",IF(COUNTIFS('Posiłki'!$A$97:$A$696,$A91,'Posiłki'!$I$97:$I$696,"brak danych")&gt;0,"brak danych",IF(COUNTIFS('Posiłki'!$A$97:$A$696,$A91,'Posiłki'!$E$97:$E$696,"&lt;&gt;")=0,"",SUMIFS('Posiłki'!$I$97:$I$696,'Posiłki'!$A$97:$A$696,$A91))))</x:f>
      </x:c>
      <x:c r="I91" s="25" t="str">
        <x:f>IF($A91="","",IF(COUNTIFS('Posiłki'!$A$97:$A$696,$A91,'Posiłki'!$J$97:$J$696,"brak danych")&gt;0,"brak danych",IF(COUNTIFS('Posiłki'!$A$97:$A$696,$A91,'Posiłki'!$E$97:$E$696,"&lt;&gt;")=0,"",SUMIFS('Posiłki'!$J$97:$J$696,'Posiłki'!$A$97:$A$696,$A91))))</x:f>
      </x:c>
      <x:c r="J91" s="25" t="str">
        <x:f>IF($A91="","",IF(COUNTIFS('Posiłki'!$A$97:$A$696,$A91,'Posiłki'!$K$97:$K$696,"brak danych")&gt;0,"brak danych",IF(COUNTIFS('Posiłki'!$A$97:$A$696,$A91,'Posiłki'!$E$97:$E$696,"&lt;&gt;")=0,"",SUMIFS('Posiłki'!$K$97:$K$696,'Posiłki'!$A$97:$A$696,$A91))))</x:f>
      </x:c>
      <x:c r="K91" s="24" t="str">
        <x:f>IF($A91="","",IF(COUNTIFS('Posiłki'!$A$97:$A$696,$A91,'Posiłki'!$L$97:$L$696,"brak danych")&gt;0,"brak danych",IF(COUNTIFS('Posiłki'!$A$97:$A$696,$A91,'Posiłki'!$F$97:$F$696,"&lt;&gt;")=0,"",SUMIFS('Posiłki'!$L$97:$L$696,'Posiłki'!$A$97:$A$696,$A91))))</x:f>
      </x:c>
      <x:c r="L91" s="25" t="str">
        <x:f>IF($A91="","",IF(COUNTIFS('Posiłki'!$A$97:$A$696,$A91,'Posiłki'!$P$97:$P$696,"brak danych")&gt;0,"brak danych",IF(COUNTIFS('Posiłki'!$A$97:$A$696,$A91,'Posiłki'!$F$97:$F$696,"&lt;&gt;")=0,"",SUMIFS('Posiłki'!$P$97:$P$696,'Posiłki'!$A$97:$A$696,$A91))))</x:f>
      </x:c>
      <x:c r="M91" s="18"/>
    </x:row>
    <x:row r="92" ht="25" customHeight="1">
      <x:c r="A92" s="19" t="str">
        <x:f>IF(ISNUMBER($B$4),$B$4+80,"")</x:f>
      </x:c>
      <x:c r="B92" s="2" t="str">
        <x:f>IF(A92="","",CHOOSE(WEEKDAY(A92,2),"pon.","wt.","śr.","czw.","pt.","sob.","niedz."))</x:f>
      </x:c>
      <x:c r="C92" s="18"/>
      <x:c r="D92" s="18"/>
      <x:c r="E92" s="23" t="str">
        <x:f>IF(A92="","",A92-2+16/24)</x:f>
      </x:c>
      <x:c r="F92" s="24" t="str">
        <x:f>IF($A92="","",IF(COUNTIFS('Posiłki'!$A$97:$A$696,$A92,'Posiłki'!$G$97:$G$696,"brak danych")&gt;0,"brak danych",IF(COUNTIFS('Posiłki'!$A$97:$A$696,$A92,'Posiłki'!$E$97:$E$696,"&lt;&gt;")=0,"",SUMIFS('Posiłki'!$G$97:$G$696,'Posiłki'!$A$97:$A$696,$A92))))</x:f>
      </x:c>
      <x:c r="G92" s="25" t="str">
        <x:f>IF($A92="","",IF(COUNTIFS('Posiłki'!$A$97:$A$696,$A92,'Posiłki'!$H$97:$H$696,"brak danych")&gt;0,"brak danych",IF(COUNTIFS('Posiłki'!$A$97:$A$696,$A92,'Posiłki'!$E$97:$E$696,"&lt;&gt;")=0,"",SUMIFS('Posiłki'!$H$97:$H$696,'Posiłki'!$A$97:$A$696,$A92))))</x:f>
      </x:c>
      <x:c r="H92" s="25" t="str">
        <x:f>IF($A92="","",IF(COUNTIFS('Posiłki'!$A$97:$A$696,$A92,'Posiłki'!$I$97:$I$696,"brak danych")&gt;0,"brak danych",IF(COUNTIFS('Posiłki'!$A$97:$A$696,$A92,'Posiłki'!$E$97:$E$696,"&lt;&gt;")=0,"",SUMIFS('Posiłki'!$I$97:$I$696,'Posiłki'!$A$97:$A$696,$A92))))</x:f>
      </x:c>
      <x:c r="I92" s="25" t="str">
        <x:f>IF($A92="","",IF(COUNTIFS('Posiłki'!$A$97:$A$696,$A92,'Posiłki'!$J$97:$J$696,"brak danych")&gt;0,"brak danych",IF(COUNTIFS('Posiłki'!$A$97:$A$696,$A92,'Posiłki'!$E$97:$E$696,"&lt;&gt;")=0,"",SUMIFS('Posiłki'!$J$97:$J$696,'Posiłki'!$A$97:$A$696,$A92))))</x:f>
      </x:c>
      <x:c r="J92" s="25" t="str">
        <x:f>IF($A92="","",IF(COUNTIFS('Posiłki'!$A$97:$A$696,$A92,'Posiłki'!$K$97:$K$696,"brak danych")&gt;0,"brak danych",IF(COUNTIFS('Posiłki'!$A$97:$A$696,$A92,'Posiłki'!$E$97:$E$696,"&lt;&gt;")=0,"",SUMIFS('Posiłki'!$K$97:$K$696,'Posiłki'!$A$97:$A$696,$A92))))</x:f>
      </x:c>
      <x:c r="K92" s="24" t="str">
        <x:f>IF($A92="","",IF(COUNTIFS('Posiłki'!$A$97:$A$696,$A92,'Posiłki'!$L$97:$L$696,"brak danych")&gt;0,"brak danych",IF(COUNTIFS('Posiłki'!$A$97:$A$696,$A92,'Posiłki'!$F$97:$F$696,"&lt;&gt;")=0,"",SUMIFS('Posiłki'!$L$97:$L$696,'Posiłki'!$A$97:$A$696,$A92))))</x:f>
      </x:c>
      <x:c r="L92" s="25" t="str">
        <x:f>IF($A92="","",IF(COUNTIFS('Posiłki'!$A$97:$A$696,$A92,'Posiłki'!$P$97:$P$696,"brak danych")&gt;0,"brak danych",IF(COUNTIFS('Posiłki'!$A$97:$A$696,$A92,'Posiłki'!$F$97:$F$696,"&lt;&gt;")=0,"",SUMIFS('Posiłki'!$P$97:$P$696,'Posiłki'!$A$97:$A$696,$A92))))</x:f>
      </x:c>
      <x:c r="M92" s="18"/>
    </x:row>
    <x:row r="93" ht="25" customHeight="1">
      <x:c r="A93" s="19" t="str">
        <x:f>IF(ISNUMBER($B$4),$B$4+81,"")</x:f>
      </x:c>
      <x:c r="B93" s="2" t="str">
        <x:f>IF(A93="","",CHOOSE(WEEKDAY(A93,2),"pon.","wt.","śr.","czw.","pt.","sob.","niedz."))</x:f>
      </x:c>
      <x:c r="C93" s="18"/>
      <x:c r="D93" s="18"/>
      <x:c r="E93" s="23" t="str">
        <x:f>IF(A93="","",A93-2+16/24)</x:f>
      </x:c>
      <x:c r="F93" s="24" t="str">
        <x:f>IF($A93="","",IF(COUNTIFS('Posiłki'!$A$97:$A$696,$A93,'Posiłki'!$G$97:$G$696,"brak danych")&gt;0,"brak danych",IF(COUNTIFS('Posiłki'!$A$97:$A$696,$A93,'Posiłki'!$E$97:$E$696,"&lt;&gt;")=0,"",SUMIFS('Posiłki'!$G$97:$G$696,'Posiłki'!$A$97:$A$696,$A93))))</x:f>
      </x:c>
      <x:c r="G93" s="25" t="str">
        <x:f>IF($A93="","",IF(COUNTIFS('Posiłki'!$A$97:$A$696,$A93,'Posiłki'!$H$97:$H$696,"brak danych")&gt;0,"brak danych",IF(COUNTIFS('Posiłki'!$A$97:$A$696,$A93,'Posiłki'!$E$97:$E$696,"&lt;&gt;")=0,"",SUMIFS('Posiłki'!$H$97:$H$696,'Posiłki'!$A$97:$A$696,$A93))))</x:f>
      </x:c>
      <x:c r="H93" s="25" t="str">
        <x:f>IF($A93="","",IF(COUNTIFS('Posiłki'!$A$97:$A$696,$A93,'Posiłki'!$I$97:$I$696,"brak danych")&gt;0,"brak danych",IF(COUNTIFS('Posiłki'!$A$97:$A$696,$A93,'Posiłki'!$E$97:$E$696,"&lt;&gt;")=0,"",SUMIFS('Posiłki'!$I$97:$I$696,'Posiłki'!$A$97:$A$696,$A93))))</x:f>
      </x:c>
      <x:c r="I93" s="25" t="str">
        <x:f>IF($A93="","",IF(COUNTIFS('Posiłki'!$A$97:$A$696,$A93,'Posiłki'!$J$97:$J$696,"brak danych")&gt;0,"brak danych",IF(COUNTIFS('Posiłki'!$A$97:$A$696,$A93,'Posiłki'!$E$97:$E$696,"&lt;&gt;")=0,"",SUMIFS('Posiłki'!$J$97:$J$696,'Posiłki'!$A$97:$A$696,$A93))))</x:f>
      </x:c>
      <x:c r="J93" s="25" t="str">
        <x:f>IF($A93="","",IF(COUNTIFS('Posiłki'!$A$97:$A$696,$A93,'Posiłki'!$K$97:$K$696,"brak danych")&gt;0,"brak danych",IF(COUNTIFS('Posiłki'!$A$97:$A$696,$A93,'Posiłki'!$E$97:$E$696,"&lt;&gt;")=0,"",SUMIFS('Posiłki'!$K$97:$K$696,'Posiłki'!$A$97:$A$696,$A93))))</x:f>
      </x:c>
      <x:c r="K93" s="24" t="str">
        <x:f>IF($A93="","",IF(COUNTIFS('Posiłki'!$A$97:$A$696,$A93,'Posiłki'!$L$97:$L$696,"brak danych")&gt;0,"brak danych",IF(COUNTIFS('Posiłki'!$A$97:$A$696,$A93,'Posiłki'!$F$97:$F$696,"&lt;&gt;")=0,"",SUMIFS('Posiłki'!$L$97:$L$696,'Posiłki'!$A$97:$A$696,$A93))))</x:f>
      </x:c>
      <x:c r="L93" s="25" t="str">
        <x:f>IF($A93="","",IF(COUNTIFS('Posiłki'!$A$97:$A$696,$A93,'Posiłki'!$P$97:$P$696,"brak danych")&gt;0,"brak danych",IF(COUNTIFS('Posiłki'!$A$97:$A$696,$A93,'Posiłki'!$F$97:$F$696,"&lt;&gt;")=0,"",SUMIFS('Posiłki'!$P$97:$P$696,'Posiłki'!$A$97:$A$696,$A93))))</x:f>
      </x:c>
      <x:c r="M93" s="18"/>
    </x:row>
    <x:row r="94" ht="25" customHeight="1">
      <x:c r="A94" s="19" t="str">
        <x:f>IF(ISNUMBER($B$4),$B$4+82,"")</x:f>
      </x:c>
      <x:c r="B94" s="2" t="str">
        <x:f>IF(A94="","",CHOOSE(WEEKDAY(A94,2),"pon.","wt.","śr.","czw.","pt.","sob.","niedz."))</x:f>
      </x:c>
      <x:c r="C94" s="18"/>
      <x:c r="D94" s="18"/>
      <x:c r="E94" s="23" t="str">
        <x:f>IF(A94="","",A94-2+16/24)</x:f>
      </x:c>
      <x:c r="F94" s="24" t="str">
        <x:f>IF($A94="","",IF(COUNTIFS('Posiłki'!$A$97:$A$696,$A94,'Posiłki'!$G$97:$G$696,"brak danych")&gt;0,"brak danych",IF(COUNTIFS('Posiłki'!$A$97:$A$696,$A94,'Posiłki'!$E$97:$E$696,"&lt;&gt;")=0,"",SUMIFS('Posiłki'!$G$97:$G$696,'Posiłki'!$A$97:$A$696,$A94))))</x:f>
      </x:c>
      <x:c r="G94" s="25" t="str">
        <x:f>IF($A94="","",IF(COUNTIFS('Posiłki'!$A$97:$A$696,$A94,'Posiłki'!$H$97:$H$696,"brak danych")&gt;0,"brak danych",IF(COUNTIFS('Posiłki'!$A$97:$A$696,$A94,'Posiłki'!$E$97:$E$696,"&lt;&gt;")=0,"",SUMIFS('Posiłki'!$H$97:$H$696,'Posiłki'!$A$97:$A$696,$A94))))</x:f>
      </x:c>
      <x:c r="H94" s="25" t="str">
        <x:f>IF($A94="","",IF(COUNTIFS('Posiłki'!$A$97:$A$696,$A94,'Posiłki'!$I$97:$I$696,"brak danych")&gt;0,"brak danych",IF(COUNTIFS('Posiłki'!$A$97:$A$696,$A94,'Posiłki'!$E$97:$E$696,"&lt;&gt;")=0,"",SUMIFS('Posiłki'!$I$97:$I$696,'Posiłki'!$A$97:$A$696,$A94))))</x:f>
      </x:c>
      <x:c r="I94" s="25" t="str">
        <x:f>IF($A94="","",IF(COUNTIFS('Posiłki'!$A$97:$A$696,$A94,'Posiłki'!$J$97:$J$696,"brak danych")&gt;0,"brak danych",IF(COUNTIFS('Posiłki'!$A$97:$A$696,$A94,'Posiłki'!$E$97:$E$696,"&lt;&gt;")=0,"",SUMIFS('Posiłki'!$J$97:$J$696,'Posiłki'!$A$97:$A$696,$A94))))</x:f>
      </x:c>
      <x:c r="J94" s="25" t="str">
        <x:f>IF($A94="","",IF(COUNTIFS('Posiłki'!$A$97:$A$696,$A94,'Posiłki'!$K$97:$K$696,"brak danych")&gt;0,"brak danych",IF(COUNTIFS('Posiłki'!$A$97:$A$696,$A94,'Posiłki'!$E$97:$E$696,"&lt;&gt;")=0,"",SUMIFS('Posiłki'!$K$97:$K$696,'Posiłki'!$A$97:$A$696,$A94))))</x:f>
      </x:c>
      <x:c r="K94" s="24" t="str">
        <x:f>IF($A94="","",IF(COUNTIFS('Posiłki'!$A$97:$A$696,$A94,'Posiłki'!$L$97:$L$696,"brak danych")&gt;0,"brak danych",IF(COUNTIFS('Posiłki'!$A$97:$A$696,$A94,'Posiłki'!$F$97:$F$696,"&lt;&gt;")=0,"",SUMIFS('Posiłki'!$L$97:$L$696,'Posiłki'!$A$97:$A$696,$A94))))</x:f>
      </x:c>
      <x:c r="L94" s="25" t="str">
        <x:f>IF($A94="","",IF(COUNTIFS('Posiłki'!$A$97:$A$696,$A94,'Posiłki'!$P$97:$P$696,"brak danych")&gt;0,"brak danych",IF(COUNTIFS('Posiłki'!$A$97:$A$696,$A94,'Posiłki'!$F$97:$F$696,"&lt;&gt;")=0,"",SUMIFS('Posiłki'!$P$97:$P$696,'Posiłki'!$A$97:$A$696,$A94))))</x:f>
      </x:c>
      <x:c r="M94" s="18"/>
    </x:row>
    <x:row r="95" ht="25" customHeight="1">
      <x:c r="A95" s="19" t="str">
        <x:f>IF(ISNUMBER($B$4),$B$4+83,"")</x:f>
      </x:c>
      <x:c r="B95" s="2" t="str">
        <x:f>IF(A95="","",CHOOSE(WEEKDAY(A95,2),"pon.","wt.","śr.","czw.","pt.","sob.","niedz."))</x:f>
      </x:c>
      <x:c r="C95" s="18"/>
      <x:c r="D95" s="18"/>
      <x:c r="E95" s="23" t="str">
        <x:f>IF(A95="","",A95-2+16/24)</x:f>
      </x:c>
      <x:c r="F95" s="24" t="str">
        <x:f>IF($A95="","",IF(COUNTIFS('Posiłki'!$A$97:$A$696,$A95,'Posiłki'!$G$97:$G$696,"brak danych")&gt;0,"brak danych",IF(COUNTIFS('Posiłki'!$A$97:$A$696,$A95,'Posiłki'!$E$97:$E$696,"&lt;&gt;")=0,"",SUMIFS('Posiłki'!$G$97:$G$696,'Posiłki'!$A$97:$A$696,$A95))))</x:f>
      </x:c>
      <x:c r="G95" s="25" t="str">
        <x:f>IF($A95="","",IF(COUNTIFS('Posiłki'!$A$97:$A$696,$A95,'Posiłki'!$H$97:$H$696,"brak danych")&gt;0,"brak danych",IF(COUNTIFS('Posiłki'!$A$97:$A$696,$A95,'Posiłki'!$E$97:$E$696,"&lt;&gt;")=0,"",SUMIFS('Posiłki'!$H$97:$H$696,'Posiłki'!$A$97:$A$696,$A95))))</x:f>
      </x:c>
      <x:c r="H95" s="25" t="str">
        <x:f>IF($A95="","",IF(COUNTIFS('Posiłki'!$A$97:$A$696,$A95,'Posiłki'!$I$97:$I$696,"brak danych")&gt;0,"brak danych",IF(COUNTIFS('Posiłki'!$A$97:$A$696,$A95,'Posiłki'!$E$97:$E$696,"&lt;&gt;")=0,"",SUMIFS('Posiłki'!$I$97:$I$696,'Posiłki'!$A$97:$A$696,$A95))))</x:f>
      </x:c>
      <x:c r="I95" s="25" t="str">
        <x:f>IF($A95="","",IF(COUNTIFS('Posiłki'!$A$97:$A$696,$A95,'Posiłki'!$J$97:$J$696,"brak danych")&gt;0,"brak danych",IF(COUNTIFS('Posiłki'!$A$97:$A$696,$A95,'Posiłki'!$E$97:$E$696,"&lt;&gt;")=0,"",SUMIFS('Posiłki'!$J$97:$J$696,'Posiłki'!$A$97:$A$696,$A95))))</x:f>
      </x:c>
      <x:c r="J95" s="25" t="str">
        <x:f>IF($A95="","",IF(COUNTIFS('Posiłki'!$A$97:$A$696,$A95,'Posiłki'!$K$97:$K$696,"brak danych")&gt;0,"brak danych",IF(COUNTIFS('Posiłki'!$A$97:$A$696,$A95,'Posiłki'!$E$97:$E$696,"&lt;&gt;")=0,"",SUMIFS('Posiłki'!$K$97:$K$696,'Posiłki'!$A$97:$A$696,$A95))))</x:f>
      </x:c>
      <x:c r="K95" s="24" t="str">
        <x:f>IF($A95="","",IF(COUNTIFS('Posiłki'!$A$97:$A$696,$A95,'Posiłki'!$L$97:$L$696,"brak danych")&gt;0,"brak danych",IF(COUNTIFS('Posiłki'!$A$97:$A$696,$A95,'Posiłki'!$F$97:$F$696,"&lt;&gt;")=0,"",SUMIFS('Posiłki'!$L$97:$L$696,'Posiłki'!$A$97:$A$696,$A95))))</x:f>
      </x:c>
      <x:c r="L95" s="25" t="str">
        <x:f>IF($A95="","",IF(COUNTIFS('Posiłki'!$A$97:$A$696,$A95,'Posiłki'!$P$97:$P$696,"brak danych")&gt;0,"brak danych",IF(COUNTIFS('Posiłki'!$A$97:$A$696,$A95,'Posiłki'!$F$97:$F$696,"&lt;&gt;")=0,"",SUMIFS('Posiłki'!$P$97:$P$696,'Posiłki'!$A$97:$A$696,$A95))))</x:f>
      </x:c>
      <x:c r="M95" s="18"/>
    </x:row>
    <x:row r="96" ht="25" customHeight="1">
      <x:c r="A96" s="19" t="str">
        <x:f>IF(ISNUMBER($B$4),$B$4+84,"")</x:f>
      </x:c>
      <x:c r="B96" s="2" t="str">
        <x:f>IF(A96="","",CHOOSE(WEEKDAY(A96,2),"pon.","wt.","śr.","czw.","pt.","sob.","niedz."))</x:f>
      </x:c>
      <x:c r="C96" s="18"/>
      <x:c r="D96" s="18"/>
      <x:c r="E96" s="23" t="str">
        <x:f>IF(A96="","",A96-2+16/24)</x:f>
      </x:c>
      <x:c r="F96" s="24" t="str">
        <x:f>IF($A96="","",IF(COUNTIFS('Posiłki'!$A$97:$A$696,$A96,'Posiłki'!$G$97:$G$696,"brak danych")&gt;0,"brak danych",IF(COUNTIFS('Posiłki'!$A$97:$A$696,$A96,'Posiłki'!$E$97:$E$696,"&lt;&gt;")=0,"",SUMIFS('Posiłki'!$G$97:$G$696,'Posiłki'!$A$97:$A$696,$A96))))</x:f>
      </x:c>
      <x:c r="G96" s="25" t="str">
        <x:f>IF($A96="","",IF(COUNTIFS('Posiłki'!$A$97:$A$696,$A96,'Posiłki'!$H$97:$H$696,"brak danych")&gt;0,"brak danych",IF(COUNTIFS('Posiłki'!$A$97:$A$696,$A96,'Posiłki'!$E$97:$E$696,"&lt;&gt;")=0,"",SUMIFS('Posiłki'!$H$97:$H$696,'Posiłki'!$A$97:$A$696,$A96))))</x:f>
      </x:c>
      <x:c r="H96" s="25" t="str">
        <x:f>IF($A96="","",IF(COUNTIFS('Posiłki'!$A$97:$A$696,$A96,'Posiłki'!$I$97:$I$696,"brak danych")&gt;0,"brak danych",IF(COUNTIFS('Posiłki'!$A$97:$A$696,$A96,'Posiłki'!$E$97:$E$696,"&lt;&gt;")=0,"",SUMIFS('Posiłki'!$I$97:$I$696,'Posiłki'!$A$97:$A$696,$A96))))</x:f>
      </x:c>
      <x:c r="I96" s="25" t="str">
        <x:f>IF($A96="","",IF(COUNTIFS('Posiłki'!$A$97:$A$696,$A96,'Posiłki'!$J$97:$J$696,"brak danych")&gt;0,"brak danych",IF(COUNTIFS('Posiłki'!$A$97:$A$696,$A96,'Posiłki'!$E$97:$E$696,"&lt;&gt;")=0,"",SUMIFS('Posiłki'!$J$97:$J$696,'Posiłki'!$A$97:$A$696,$A96))))</x:f>
      </x:c>
      <x:c r="J96" s="25" t="str">
        <x:f>IF($A96="","",IF(COUNTIFS('Posiłki'!$A$97:$A$696,$A96,'Posiłki'!$K$97:$K$696,"brak danych")&gt;0,"brak danych",IF(COUNTIFS('Posiłki'!$A$97:$A$696,$A96,'Posiłki'!$E$97:$E$696,"&lt;&gt;")=0,"",SUMIFS('Posiłki'!$K$97:$K$696,'Posiłki'!$A$97:$A$696,$A96))))</x:f>
      </x:c>
      <x:c r="K96" s="24" t="str">
        <x:f>IF($A96="","",IF(COUNTIFS('Posiłki'!$A$97:$A$696,$A96,'Posiłki'!$L$97:$L$696,"brak danych")&gt;0,"brak danych",IF(COUNTIFS('Posiłki'!$A$97:$A$696,$A96,'Posiłki'!$F$97:$F$696,"&lt;&gt;")=0,"",SUMIFS('Posiłki'!$L$97:$L$696,'Posiłki'!$A$97:$A$696,$A96))))</x:f>
      </x:c>
      <x:c r="L96" s="25" t="str">
        <x:f>IF($A96="","",IF(COUNTIFS('Posiłki'!$A$97:$A$696,$A96,'Posiłki'!$P$97:$P$696,"brak danych")&gt;0,"brak danych",IF(COUNTIFS('Posiłki'!$A$97:$A$696,$A96,'Posiłki'!$F$97:$F$696,"&lt;&gt;")=0,"",SUMIFS('Posiłki'!$P$97:$P$696,'Posiłki'!$A$97:$A$696,$A96))))</x:f>
      </x:c>
      <x:c r="M96" s="18"/>
    </x:row>
    <x:row r="97" ht="25" customHeight="1">
      <x:c r="A97" s="19" t="str">
        <x:f>IF(ISNUMBER($B$4),$B$4+85,"")</x:f>
      </x:c>
      <x:c r="B97" s="2" t="str">
        <x:f>IF(A97="","",CHOOSE(WEEKDAY(A97,2),"pon.","wt.","śr.","czw.","pt.","sob.","niedz."))</x:f>
      </x:c>
      <x:c r="C97" s="18"/>
      <x:c r="D97" s="18"/>
      <x:c r="E97" s="23" t="str">
        <x:f>IF(A97="","",A97-2+16/24)</x:f>
      </x:c>
      <x:c r="F97" s="24" t="str">
        <x:f>IF($A97="","",IF(COUNTIFS('Posiłki'!$A$97:$A$696,$A97,'Posiłki'!$G$97:$G$696,"brak danych")&gt;0,"brak danych",IF(COUNTIFS('Posiłki'!$A$97:$A$696,$A97,'Posiłki'!$E$97:$E$696,"&lt;&gt;")=0,"",SUMIFS('Posiłki'!$G$97:$G$696,'Posiłki'!$A$97:$A$696,$A97))))</x:f>
      </x:c>
      <x:c r="G97" s="25" t="str">
        <x:f>IF($A97="","",IF(COUNTIFS('Posiłki'!$A$97:$A$696,$A97,'Posiłki'!$H$97:$H$696,"brak danych")&gt;0,"brak danych",IF(COUNTIFS('Posiłki'!$A$97:$A$696,$A97,'Posiłki'!$E$97:$E$696,"&lt;&gt;")=0,"",SUMIFS('Posiłki'!$H$97:$H$696,'Posiłki'!$A$97:$A$696,$A97))))</x:f>
      </x:c>
      <x:c r="H97" s="25" t="str">
        <x:f>IF($A97="","",IF(COUNTIFS('Posiłki'!$A$97:$A$696,$A97,'Posiłki'!$I$97:$I$696,"brak danych")&gt;0,"brak danych",IF(COUNTIFS('Posiłki'!$A$97:$A$696,$A97,'Posiłki'!$E$97:$E$696,"&lt;&gt;")=0,"",SUMIFS('Posiłki'!$I$97:$I$696,'Posiłki'!$A$97:$A$696,$A97))))</x:f>
      </x:c>
      <x:c r="I97" s="25" t="str">
        <x:f>IF($A97="","",IF(COUNTIFS('Posiłki'!$A$97:$A$696,$A97,'Posiłki'!$J$97:$J$696,"brak danych")&gt;0,"brak danych",IF(COUNTIFS('Posiłki'!$A$97:$A$696,$A97,'Posiłki'!$E$97:$E$696,"&lt;&gt;")=0,"",SUMIFS('Posiłki'!$J$97:$J$696,'Posiłki'!$A$97:$A$696,$A97))))</x:f>
      </x:c>
      <x:c r="J97" s="25" t="str">
        <x:f>IF($A97="","",IF(COUNTIFS('Posiłki'!$A$97:$A$696,$A97,'Posiłki'!$K$97:$K$696,"brak danych")&gt;0,"brak danych",IF(COUNTIFS('Posiłki'!$A$97:$A$696,$A97,'Posiłki'!$E$97:$E$696,"&lt;&gt;")=0,"",SUMIFS('Posiłki'!$K$97:$K$696,'Posiłki'!$A$97:$A$696,$A97))))</x:f>
      </x:c>
      <x:c r="K97" s="24" t="str">
        <x:f>IF($A97="","",IF(COUNTIFS('Posiłki'!$A$97:$A$696,$A97,'Posiłki'!$L$97:$L$696,"brak danych")&gt;0,"brak danych",IF(COUNTIFS('Posiłki'!$A$97:$A$696,$A97,'Posiłki'!$F$97:$F$696,"&lt;&gt;")=0,"",SUMIFS('Posiłki'!$L$97:$L$696,'Posiłki'!$A$97:$A$696,$A97))))</x:f>
      </x:c>
      <x:c r="L97" s="25" t="str">
        <x:f>IF($A97="","",IF(COUNTIFS('Posiłki'!$A$97:$A$696,$A97,'Posiłki'!$P$97:$P$696,"brak danych")&gt;0,"brak danych",IF(COUNTIFS('Posiłki'!$A$97:$A$696,$A97,'Posiłki'!$F$97:$F$696,"&lt;&gt;")=0,"",SUMIFS('Posiłki'!$P$97:$P$696,'Posiłki'!$A$97:$A$696,$A97))))</x:f>
      </x:c>
      <x:c r="M97" s="18"/>
    </x:row>
    <x:row r="98" ht="25" customHeight="1">
      <x:c r="A98" s="19" t="str">
        <x:f>IF(ISNUMBER($B$4),$B$4+86,"")</x:f>
      </x:c>
      <x:c r="B98" s="2" t="str">
        <x:f>IF(A98="","",CHOOSE(WEEKDAY(A98,2),"pon.","wt.","śr.","czw.","pt.","sob.","niedz."))</x:f>
      </x:c>
      <x:c r="C98" s="18"/>
      <x:c r="D98" s="18"/>
      <x:c r="E98" s="23" t="str">
        <x:f>IF(A98="","",A98-2+16/24)</x:f>
      </x:c>
      <x:c r="F98" s="24" t="str">
        <x:f>IF($A98="","",IF(COUNTIFS('Posiłki'!$A$97:$A$696,$A98,'Posiłki'!$G$97:$G$696,"brak danych")&gt;0,"brak danych",IF(COUNTIFS('Posiłki'!$A$97:$A$696,$A98,'Posiłki'!$E$97:$E$696,"&lt;&gt;")=0,"",SUMIFS('Posiłki'!$G$97:$G$696,'Posiłki'!$A$97:$A$696,$A98))))</x:f>
      </x:c>
      <x:c r="G98" s="25" t="str">
        <x:f>IF($A98="","",IF(COUNTIFS('Posiłki'!$A$97:$A$696,$A98,'Posiłki'!$H$97:$H$696,"brak danych")&gt;0,"brak danych",IF(COUNTIFS('Posiłki'!$A$97:$A$696,$A98,'Posiłki'!$E$97:$E$696,"&lt;&gt;")=0,"",SUMIFS('Posiłki'!$H$97:$H$696,'Posiłki'!$A$97:$A$696,$A98))))</x:f>
      </x:c>
      <x:c r="H98" s="25" t="str">
        <x:f>IF($A98="","",IF(COUNTIFS('Posiłki'!$A$97:$A$696,$A98,'Posiłki'!$I$97:$I$696,"brak danych")&gt;0,"brak danych",IF(COUNTIFS('Posiłki'!$A$97:$A$696,$A98,'Posiłki'!$E$97:$E$696,"&lt;&gt;")=0,"",SUMIFS('Posiłki'!$I$97:$I$696,'Posiłki'!$A$97:$A$696,$A98))))</x:f>
      </x:c>
      <x:c r="I98" s="25" t="str">
        <x:f>IF($A98="","",IF(COUNTIFS('Posiłki'!$A$97:$A$696,$A98,'Posiłki'!$J$97:$J$696,"brak danych")&gt;0,"brak danych",IF(COUNTIFS('Posiłki'!$A$97:$A$696,$A98,'Posiłki'!$E$97:$E$696,"&lt;&gt;")=0,"",SUMIFS('Posiłki'!$J$97:$J$696,'Posiłki'!$A$97:$A$696,$A98))))</x:f>
      </x:c>
      <x:c r="J98" s="25" t="str">
        <x:f>IF($A98="","",IF(COUNTIFS('Posiłki'!$A$97:$A$696,$A98,'Posiłki'!$K$97:$K$696,"brak danych")&gt;0,"brak danych",IF(COUNTIFS('Posiłki'!$A$97:$A$696,$A98,'Posiłki'!$E$97:$E$696,"&lt;&gt;")=0,"",SUMIFS('Posiłki'!$K$97:$K$696,'Posiłki'!$A$97:$A$696,$A98))))</x:f>
      </x:c>
      <x:c r="K98" s="24" t="str">
        <x:f>IF($A98="","",IF(COUNTIFS('Posiłki'!$A$97:$A$696,$A98,'Posiłki'!$L$97:$L$696,"brak danych")&gt;0,"brak danych",IF(COUNTIFS('Posiłki'!$A$97:$A$696,$A98,'Posiłki'!$F$97:$F$696,"&lt;&gt;")=0,"",SUMIFS('Posiłki'!$L$97:$L$696,'Posiłki'!$A$97:$A$696,$A98))))</x:f>
      </x:c>
      <x:c r="L98" s="25" t="str">
        <x:f>IF($A98="","",IF(COUNTIFS('Posiłki'!$A$97:$A$696,$A98,'Posiłki'!$P$97:$P$696,"brak danych")&gt;0,"brak danych",IF(COUNTIFS('Posiłki'!$A$97:$A$696,$A98,'Posiłki'!$F$97:$F$696,"&lt;&gt;")=0,"",SUMIFS('Posiłki'!$P$97:$P$696,'Posiłki'!$A$97:$A$696,$A98))))</x:f>
      </x:c>
      <x:c r="M98" s="18"/>
    </x:row>
    <x:row r="99" ht="25" customHeight="1">
      <x:c r="A99" s="19" t="str">
        <x:f>IF(ISNUMBER($B$4),$B$4+87,"")</x:f>
      </x:c>
      <x:c r="B99" s="2" t="str">
        <x:f>IF(A99="","",CHOOSE(WEEKDAY(A99,2),"pon.","wt.","śr.","czw.","pt.","sob.","niedz."))</x:f>
      </x:c>
      <x:c r="C99" s="18"/>
      <x:c r="D99" s="18"/>
      <x:c r="E99" s="23" t="str">
        <x:f>IF(A99="","",A99-2+16/24)</x:f>
      </x:c>
      <x:c r="F99" s="24" t="str">
        <x:f>IF($A99="","",IF(COUNTIFS('Posiłki'!$A$97:$A$696,$A99,'Posiłki'!$G$97:$G$696,"brak danych")&gt;0,"brak danych",IF(COUNTIFS('Posiłki'!$A$97:$A$696,$A99,'Posiłki'!$E$97:$E$696,"&lt;&gt;")=0,"",SUMIFS('Posiłki'!$G$97:$G$696,'Posiłki'!$A$97:$A$696,$A99))))</x:f>
      </x:c>
      <x:c r="G99" s="25" t="str">
        <x:f>IF($A99="","",IF(COUNTIFS('Posiłki'!$A$97:$A$696,$A99,'Posiłki'!$H$97:$H$696,"brak danych")&gt;0,"brak danych",IF(COUNTIFS('Posiłki'!$A$97:$A$696,$A99,'Posiłki'!$E$97:$E$696,"&lt;&gt;")=0,"",SUMIFS('Posiłki'!$H$97:$H$696,'Posiłki'!$A$97:$A$696,$A99))))</x:f>
      </x:c>
      <x:c r="H99" s="25" t="str">
        <x:f>IF($A99="","",IF(COUNTIFS('Posiłki'!$A$97:$A$696,$A99,'Posiłki'!$I$97:$I$696,"brak danych")&gt;0,"brak danych",IF(COUNTIFS('Posiłki'!$A$97:$A$696,$A99,'Posiłki'!$E$97:$E$696,"&lt;&gt;")=0,"",SUMIFS('Posiłki'!$I$97:$I$696,'Posiłki'!$A$97:$A$696,$A99))))</x:f>
      </x:c>
      <x:c r="I99" s="25" t="str">
        <x:f>IF($A99="","",IF(COUNTIFS('Posiłki'!$A$97:$A$696,$A99,'Posiłki'!$J$97:$J$696,"brak danych")&gt;0,"brak danych",IF(COUNTIFS('Posiłki'!$A$97:$A$696,$A99,'Posiłki'!$E$97:$E$696,"&lt;&gt;")=0,"",SUMIFS('Posiłki'!$J$97:$J$696,'Posiłki'!$A$97:$A$696,$A99))))</x:f>
      </x:c>
      <x:c r="J99" s="25" t="str">
        <x:f>IF($A99="","",IF(COUNTIFS('Posiłki'!$A$97:$A$696,$A99,'Posiłki'!$K$97:$K$696,"brak danych")&gt;0,"brak danych",IF(COUNTIFS('Posiłki'!$A$97:$A$696,$A99,'Posiłki'!$E$97:$E$696,"&lt;&gt;")=0,"",SUMIFS('Posiłki'!$K$97:$K$696,'Posiłki'!$A$97:$A$696,$A99))))</x:f>
      </x:c>
      <x:c r="K99" s="24" t="str">
        <x:f>IF($A99="","",IF(COUNTIFS('Posiłki'!$A$97:$A$696,$A99,'Posiłki'!$L$97:$L$696,"brak danych")&gt;0,"brak danych",IF(COUNTIFS('Posiłki'!$A$97:$A$696,$A99,'Posiłki'!$F$97:$F$696,"&lt;&gt;")=0,"",SUMIFS('Posiłki'!$L$97:$L$696,'Posiłki'!$A$97:$A$696,$A99))))</x:f>
      </x:c>
      <x:c r="L99" s="25" t="str">
        <x:f>IF($A99="","",IF(COUNTIFS('Posiłki'!$A$97:$A$696,$A99,'Posiłki'!$P$97:$P$696,"brak danych")&gt;0,"brak danych",IF(COUNTIFS('Posiłki'!$A$97:$A$696,$A99,'Posiłki'!$F$97:$F$696,"&lt;&gt;")=0,"",SUMIFS('Posiłki'!$P$97:$P$696,'Posiłki'!$A$97:$A$696,$A99))))</x:f>
      </x:c>
      <x:c r="M99" s="18"/>
    </x:row>
    <x:row r="100" ht="25" customHeight="1">
      <x:c r="A100" s="19" t="str">
        <x:f>IF(ISNUMBER($B$4),$B$4+88,"")</x:f>
      </x:c>
      <x:c r="B100" s="2" t="str">
        <x:f>IF(A100="","",CHOOSE(WEEKDAY(A100,2),"pon.","wt.","śr.","czw.","pt.","sob.","niedz."))</x:f>
      </x:c>
      <x:c r="C100" s="18"/>
      <x:c r="D100" s="18"/>
      <x:c r="E100" s="23" t="str">
        <x:f>IF(A100="","",A100-2+16/24)</x:f>
      </x:c>
      <x:c r="F100" s="24" t="str">
        <x:f>IF($A100="","",IF(COUNTIFS('Posiłki'!$A$97:$A$696,$A100,'Posiłki'!$G$97:$G$696,"brak danych")&gt;0,"brak danych",IF(COUNTIFS('Posiłki'!$A$97:$A$696,$A100,'Posiłki'!$E$97:$E$696,"&lt;&gt;")=0,"",SUMIFS('Posiłki'!$G$97:$G$696,'Posiłki'!$A$97:$A$696,$A100))))</x:f>
      </x:c>
      <x:c r="G100" s="25" t="str">
        <x:f>IF($A100="","",IF(COUNTIFS('Posiłki'!$A$97:$A$696,$A100,'Posiłki'!$H$97:$H$696,"brak danych")&gt;0,"brak danych",IF(COUNTIFS('Posiłki'!$A$97:$A$696,$A100,'Posiłki'!$E$97:$E$696,"&lt;&gt;")=0,"",SUMIFS('Posiłki'!$H$97:$H$696,'Posiłki'!$A$97:$A$696,$A100))))</x:f>
      </x:c>
      <x:c r="H100" s="25" t="str">
        <x:f>IF($A100="","",IF(COUNTIFS('Posiłki'!$A$97:$A$696,$A100,'Posiłki'!$I$97:$I$696,"brak danych")&gt;0,"brak danych",IF(COUNTIFS('Posiłki'!$A$97:$A$696,$A100,'Posiłki'!$E$97:$E$696,"&lt;&gt;")=0,"",SUMIFS('Posiłki'!$I$97:$I$696,'Posiłki'!$A$97:$A$696,$A100))))</x:f>
      </x:c>
      <x:c r="I100" s="25" t="str">
        <x:f>IF($A100="","",IF(COUNTIFS('Posiłki'!$A$97:$A$696,$A100,'Posiłki'!$J$97:$J$696,"brak danych")&gt;0,"brak danych",IF(COUNTIFS('Posiłki'!$A$97:$A$696,$A100,'Posiłki'!$E$97:$E$696,"&lt;&gt;")=0,"",SUMIFS('Posiłki'!$J$97:$J$696,'Posiłki'!$A$97:$A$696,$A100))))</x:f>
      </x:c>
      <x:c r="J100" s="25" t="str">
        <x:f>IF($A100="","",IF(COUNTIFS('Posiłki'!$A$97:$A$696,$A100,'Posiłki'!$K$97:$K$696,"brak danych")&gt;0,"brak danych",IF(COUNTIFS('Posiłki'!$A$97:$A$696,$A100,'Posiłki'!$E$97:$E$696,"&lt;&gt;")=0,"",SUMIFS('Posiłki'!$K$97:$K$696,'Posiłki'!$A$97:$A$696,$A100))))</x:f>
      </x:c>
      <x:c r="K100" s="24" t="str">
        <x:f>IF($A100="","",IF(COUNTIFS('Posiłki'!$A$97:$A$696,$A100,'Posiłki'!$L$97:$L$696,"brak danych")&gt;0,"brak danych",IF(COUNTIFS('Posiłki'!$A$97:$A$696,$A100,'Posiłki'!$F$97:$F$696,"&lt;&gt;")=0,"",SUMIFS('Posiłki'!$L$97:$L$696,'Posiłki'!$A$97:$A$696,$A100))))</x:f>
      </x:c>
      <x:c r="L100" s="25" t="str">
        <x:f>IF($A100="","",IF(COUNTIFS('Posiłki'!$A$97:$A$696,$A100,'Posiłki'!$P$97:$P$696,"brak danych")&gt;0,"brak danych",IF(COUNTIFS('Posiłki'!$A$97:$A$696,$A100,'Posiłki'!$F$97:$F$696,"&lt;&gt;")=0,"",SUMIFS('Posiłki'!$P$97:$P$696,'Posiłki'!$A$97:$A$696,$A100))))</x:f>
      </x:c>
      <x:c r="M100" s="18"/>
    </x:row>
    <x:row r="101" ht="25" customHeight="1">
      <x:c r="A101" s="19" t="str">
        <x:f>IF(ISNUMBER($B$4),$B$4+89,"")</x:f>
      </x:c>
      <x:c r="B101" s="2" t="str">
        <x:f>IF(A101="","",CHOOSE(WEEKDAY(A101,2),"pon.","wt.","śr.","czw.","pt.","sob.","niedz."))</x:f>
      </x:c>
      <x:c r="C101" s="18"/>
      <x:c r="D101" s="18"/>
      <x:c r="E101" s="23" t="str">
        <x:f>IF(A101="","",A101-2+16/24)</x:f>
      </x:c>
      <x:c r="F101" s="24" t="str">
        <x:f>IF($A101="","",IF(COUNTIFS('Posiłki'!$A$97:$A$696,$A101,'Posiłki'!$G$97:$G$696,"brak danych")&gt;0,"brak danych",IF(COUNTIFS('Posiłki'!$A$97:$A$696,$A101,'Posiłki'!$E$97:$E$696,"&lt;&gt;")=0,"",SUMIFS('Posiłki'!$G$97:$G$696,'Posiłki'!$A$97:$A$696,$A101))))</x:f>
      </x:c>
      <x:c r="G101" s="25" t="str">
        <x:f>IF($A101="","",IF(COUNTIFS('Posiłki'!$A$97:$A$696,$A101,'Posiłki'!$H$97:$H$696,"brak danych")&gt;0,"brak danych",IF(COUNTIFS('Posiłki'!$A$97:$A$696,$A101,'Posiłki'!$E$97:$E$696,"&lt;&gt;")=0,"",SUMIFS('Posiłki'!$H$97:$H$696,'Posiłki'!$A$97:$A$696,$A101))))</x:f>
      </x:c>
      <x:c r="H101" s="25" t="str">
        <x:f>IF($A101="","",IF(COUNTIFS('Posiłki'!$A$97:$A$696,$A101,'Posiłki'!$I$97:$I$696,"brak danych")&gt;0,"brak danych",IF(COUNTIFS('Posiłki'!$A$97:$A$696,$A101,'Posiłki'!$E$97:$E$696,"&lt;&gt;")=0,"",SUMIFS('Posiłki'!$I$97:$I$696,'Posiłki'!$A$97:$A$696,$A101))))</x:f>
      </x:c>
      <x:c r="I101" s="25" t="str">
        <x:f>IF($A101="","",IF(COUNTIFS('Posiłki'!$A$97:$A$696,$A101,'Posiłki'!$J$97:$J$696,"brak danych")&gt;0,"brak danych",IF(COUNTIFS('Posiłki'!$A$97:$A$696,$A101,'Posiłki'!$E$97:$E$696,"&lt;&gt;")=0,"",SUMIFS('Posiłki'!$J$97:$J$696,'Posiłki'!$A$97:$A$696,$A101))))</x:f>
      </x:c>
      <x:c r="J101" s="25" t="str">
        <x:f>IF($A101="","",IF(COUNTIFS('Posiłki'!$A$97:$A$696,$A101,'Posiłki'!$K$97:$K$696,"brak danych")&gt;0,"brak danych",IF(COUNTIFS('Posiłki'!$A$97:$A$696,$A101,'Posiłki'!$E$97:$E$696,"&lt;&gt;")=0,"",SUMIFS('Posiłki'!$K$97:$K$696,'Posiłki'!$A$97:$A$696,$A101))))</x:f>
      </x:c>
      <x:c r="K101" s="24" t="str">
        <x:f>IF($A101="","",IF(COUNTIFS('Posiłki'!$A$97:$A$696,$A101,'Posiłki'!$L$97:$L$696,"brak danych")&gt;0,"brak danych",IF(COUNTIFS('Posiłki'!$A$97:$A$696,$A101,'Posiłki'!$F$97:$F$696,"&lt;&gt;")=0,"",SUMIFS('Posiłki'!$L$97:$L$696,'Posiłki'!$A$97:$A$696,$A101))))</x:f>
      </x:c>
      <x:c r="L101" s="25" t="str">
        <x:f>IF($A101="","",IF(COUNTIFS('Posiłki'!$A$97:$A$696,$A101,'Posiłki'!$P$97:$P$696,"brak danych")&gt;0,"brak danych",IF(COUNTIFS('Posiłki'!$A$97:$A$696,$A101,'Posiłki'!$F$97:$F$696,"&lt;&gt;")=0,"",SUMIFS('Posiłki'!$P$97:$P$696,'Posiłki'!$A$97:$A$696,$A101))))</x:f>
      </x:c>
      <x:c r="M101" s="18"/>
    </x:row>
    <x:row r="102" ht="25" customHeight="1">
      <x:c r="A102" s="19" t="str">
        <x:f>IF(ISNUMBER($B$4),$B$4+90,"")</x:f>
      </x:c>
      <x:c r="B102" s="2" t="str">
        <x:f>IF(A102="","",CHOOSE(WEEKDAY(A102,2),"pon.","wt.","śr.","czw.","pt.","sob.","niedz."))</x:f>
      </x:c>
      <x:c r="C102" s="18"/>
      <x:c r="D102" s="18"/>
      <x:c r="E102" s="23" t="str">
        <x:f>IF(A102="","",A102-2+16/24)</x:f>
      </x:c>
      <x:c r="F102" s="24" t="str">
        <x:f>IF($A102="","",IF(COUNTIFS('Posiłki'!$A$97:$A$696,$A102,'Posiłki'!$G$97:$G$696,"brak danych")&gt;0,"brak danych",IF(COUNTIFS('Posiłki'!$A$97:$A$696,$A102,'Posiłki'!$E$97:$E$696,"&lt;&gt;")=0,"",SUMIFS('Posiłki'!$G$97:$G$696,'Posiłki'!$A$97:$A$696,$A102))))</x:f>
      </x:c>
      <x:c r="G102" s="25" t="str">
        <x:f>IF($A102="","",IF(COUNTIFS('Posiłki'!$A$97:$A$696,$A102,'Posiłki'!$H$97:$H$696,"brak danych")&gt;0,"brak danych",IF(COUNTIFS('Posiłki'!$A$97:$A$696,$A102,'Posiłki'!$E$97:$E$696,"&lt;&gt;")=0,"",SUMIFS('Posiłki'!$H$97:$H$696,'Posiłki'!$A$97:$A$696,$A102))))</x:f>
      </x:c>
      <x:c r="H102" s="25" t="str">
        <x:f>IF($A102="","",IF(COUNTIFS('Posiłki'!$A$97:$A$696,$A102,'Posiłki'!$I$97:$I$696,"brak danych")&gt;0,"brak danych",IF(COUNTIFS('Posiłki'!$A$97:$A$696,$A102,'Posiłki'!$E$97:$E$696,"&lt;&gt;")=0,"",SUMIFS('Posiłki'!$I$97:$I$696,'Posiłki'!$A$97:$A$696,$A102))))</x:f>
      </x:c>
      <x:c r="I102" s="25" t="str">
        <x:f>IF($A102="","",IF(COUNTIFS('Posiłki'!$A$97:$A$696,$A102,'Posiłki'!$J$97:$J$696,"brak danych")&gt;0,"brak danych",IF(COUNTIFS('Posiłki'!$A$97:$A$696,$A102,'Posiłki'!$E$97:$E$696,"&lt;&gt;")=0,"",SUMIFS('Posiłki'!$J$97:$J$696,'Posiłki'!$A$97:$A$696,$A102))))</x:f>
      </x:c>
      <x:c r="J102" s="25" t="str">
        <x:f>IF($A102="","",IF(COUNTIFS('Posiłki'!$A$97:$A$696,$A102,'Posiłki'!$K$97:$K$696,"brak danych")&gt;0,"brak danych",IF(COUNTIFS('Posiłki'!$A$97:$A$696,$A102,'Posiłki'!$E$97:$E$696,"&lt;&gt;")=0,"",SUMIFS('Posiłki'!$K$97:$K$696,'Posiłki'!$A$97:$A$696,$A102))))</x:f>
      </x:c>
      <x:c r="K102" s="24" t="str">
        <x:f>IF($A102="","",IF(COUNTIFS('Posiłki'!$A$97:$A$696,$A102,'Posiłki'!$L$97:$L$696,"brak danych")&gt;0,"brak danych",IF(COUNTIFS('Posiłki'!$A$97:$A$696,$A102,'Posiłki'!$F$97:$F$696,"&lt;&gt;")=0,"",SUMIFS('Posiłki'!$L$97:$L$696,'Posiłki'!$A$97:$A$696,$A102))))</x:f>
      </x:c>
      <x:c r="L102" s="25" t="str">
        <x:f>IF($A102="","",IF(COUNTIFS('Posiłki'!$A$97:$A$696,$A102,'Posiłki'!$P$97:$P$696,"brak danych")&gt;0,"brak danych",IF(COUNTIFS('Posiłki'!$A$97:$A$696,$A102,'Posiłki'!$F$97:$F$696,"&lt;&gt;")=0,"",SUMIFS('Posiłki'!$P$97:$P$696,'Posiłki'!$A$97:$A$696,$A102))))</x:f>
      </x:c>
      <x:c r="M102" s="18"/>
    </x:row>
    <x:row r="103" ht="25" customHeight="1">
      <x:c r="A103" s="19" t="str">
        <x:f>IF(ISNUMBER($B$4),$B$4+91,"")</x:f>
      </x:c>
      <x:c r="B103" s="2" t="str">
        <x:f>IF(A103="","",CHOOSE(WEEKDAY(A103,2),"pon.","wt.","śr.","czw.","pt.","sob.","niedz."))</x:f>
      </x:c>
      <x:c r="C103" s="18"/>
      <x:c r="D103" s="18"/>
      <x:c r="E103" s="23" t="str">
        <x:f>IF(A103="","",A103-2+16/24)</x:f>
      </x:c>
      <x:c r="F103" s="24" t="str">
        <x:f>IF($A103="","",IF(COUNTIFS('Posiłki'!$A$97:$A$696,$A103,'Posiłki'!$G$97:$G$696,"brak danych")&gt;0,"brak danych",IF(COUNTIFS('Posiłki'!$A$97:$A$696,$A103,'Posiłki'!$E$97:$E$696,"&lt;&gt;")=0,"",SUMIFS('Posiłki'!$G$97:$G$696,'Posiłki'!$A$97:$A$696,$A103))))</x:f>
      </x:c>
      <x:c r="G103" s="25" t="str">
        <x:f>IF($A103="","",IF(COUNTIFS('Posiłki'!$A$97:$A$696,$A103,'Posiłki'!$H$97:$H$696,"brak danych")&gt;0,"brak danych",IF(COUNTIFS('Posiłki'!$A$97:$A$696,$A103,'Posiłki'!$E$97:$E$696,"&lt;&gt;")=0,"",SUMIFS('Posiłki'!$H$97:$H$696,'Posiłki'!$A$97:$A$696,$A103))))</x:f>
      </x:c>
      <x:c r="H103" s="25" t="str">
        <x:f>IF($A103="","",IF(COUNTIFS('Posiłki'!$A$97:$A$696,$A103,'Posiłki'!$I$97:$I$696,"brak danych")&gt;0,"brak danych",IF(COUNTIFS('Posiłki'!$A$97:$A$696,$A103,'Posiłki'!$E$97:$E$696,"&lt;&gt;")=0,"",SUMIFS('Posiłki'!$I$97:$I$696,'Posiłki'!$A$97:$A$696,$A103))))</x:f>
      </x:c>
      <x:c r="I103" s="25" t="str">
        <x:f>IF($A103="","",IF(COUNTIFS('Posiłki'!$A$97:$A$696,$A103,'Posiłki'!$J$97:$J$696,"brak danych")&gt;0,"brak danych",IF(COUNTIFS('Posiłki'!$A$97:$A$696,$A103,'Posiłki'!$E$97:$E$696,"&lt;&gt;")=0,"",SUMIFS('Posiłki'!$J$97:$J$696,'Posiłki'!$A$97:$A$696,$A103))))</x:f>
      </x:c>
      <x:c r="J103" s="25" t="str">
        <x:f>IF($A103="","",IF(COUNTIFS('Posiłki'!$A$97:$A$696,$A103,'Posiłki'!$K$97:$K$696,"brak danych")&gt;0,"brak danych",IF(COUNTIFS('Posiłki'!$A$97:$A$696,$A103,'Posiłki'!$E$97:$E$696,"&lt;&gt;")=0,"",SUMIFS('Posiłki'!$K$97:$K$696,'Posiłki'!$A$97:$A$696,$A103))))</x:f>
      </x:c>
      <x:c r="K103" s="24" t="str">
        <x:f>IF($A103="","",IF(COUNTIFS('Posiłki'!$A$97:$A$696,$A103,'Posiłki'!$L$97:$L$696,"brak danych")&gt;0,"brak danych",IF(COUNTIFS('Posiłki'!$A$97:$A$696,$A103,'Posiłki'!$F$97:$F$696,"&lt;&gt;")=0,"",SUMIFS('Posiłki'!$L$97:$L$696,'Posiłki'!$A$97:$A$696,$A103))))</x:f>
      </x:c>
      <x:c r="L103" s="25" t="str">
        <x:f>IF($A103="","",IF(COUNTIFS('Posiłki'!$A$97:$A$696,$A103,'Posiłki'!$P$97:$P$696,"brak danych")&gt;0,"brak danych",IF(COUNTIFS('Posiłki'!$A$97:$A$696,$A103,'Posiłki'!$F$97:$F$696,"&lt;&gt;")=0,"",SUMIFS('Posiłki'!$P$97:$P$696,'Posiłki'!$A$97:$A$696,$A103))))</x:f>
      </x:c>
      <x:c r="M103" s="18"/>
    </x:row>
    <x:row r="104" ht="25" customHeight="1">
      <x:c r="A104" s="19" t="str">
        <x:f>IF(ISNUMBER($B$4),$B$4+92,"")</x:f>
      </x:c>
      <x:c r="B104" s="2" t="str">
        <x:f>IF(A104="","",CHOOSE(WEEKDAY(A104,2),"pon.","wt.","śr.","czw.","pt.","sob.","niedz."))</x:f>
      </x:c>
      <x:c r="C104" s="18"/>
      <x:c r="D104" s="18"/>
      <x:c r="E104" s="23" t="str">
        <x:f>IF(A104="","",A104-2+16/24)</x:f>
      </x:c>
      <x:c r="F104" s="24" t="str">
        <x:f>IF($A104="","",IF(COUNTIFS('Posiłki'!$A$97:$A$696,$A104,'Posiłki'!$G$97:$G$696,"brak danych")&gt;0,"brak danych",IF(COUNTIFS('Posiłki'!$A$97:$A$696,$A104,'Posiłki'!$E$97:$E$696,"&lt;&gt;")=0,"",SUMIFS('Posiłki'!$G$97:$G$696,'Posiłki'!$A$97:$A$696,$A104))))</x:f>
      </x:c>
      <x:c r="G104" s="25" t="str">
        <x:f>IF($A104="","",IF(COUNTIFS('Posiłki'!$A$97:$A$696,$A104,'Posiłki'!$H$97:$H$696,"brak danych")&gt;0,"brak danych",IF(COUNTIFS('Posiłki'!$A$97:$A$696,$A104,'Posiłki'!$E$97:$E$696,"&lt;&gt;")=0,"",SUMIFS('Posiłki'!$H$97:$H$696,'Posiłki'!$A$97:$A$696,$A104))))</x:f>
      </x:c>
      <x:c r="H104" s="25" t="str">
        <x:f>IF($A104="","",IF(COUNTIFS('Posiłki'!$A$97:$A$696,$A104,'Posiłki'!$I$97:$I$696,"brak danych")&gt;0,"brak danych",IF(COUNTIFS('Posiłki'!$A$97:$A$696,$A104,'Posiłki'!$E$97:$E$696,"&lt;&gt;")=0,"",SUMIFS('Posiłki'!$I$97:$I$696,'Posiłki'!$A$97:$A$696,$A104))))</x:f>
      </x:c>
      <x:c r="I104" s="25" t="str">
        <x:f>IF($A104="","",IF(COUNTIFS('Posiłki'!$A$97:$A$696,$A104,'Posiłki'!$J$97:$J$696,"brak danych")&gt;0,"brak danych",IF(COUNTIFS('Posiłki'!$A$97:$A$696,$A104,'Posiłki'!$E$97:$E$696,"&lt;&gt;")=0,"",SUMIFS('Posiłki'!$J$97:$J$696,'Posiłki'!$A$97:$A$696,$A104))))</x:f>
      </x:c>
      <x:c r="J104" s="25" t="str">
        <x:f>IF($A104="","",IF(COUNTIFS('Posiłki'!$A$97:$A$696,$A104,'Posiłki'!$K$97:$K$696,"brak danych")&gt;0,"brak danych",IF(COUNTIFS('Posiłki'!$A$97:$A$696,$A104,'Posiłki'!$E$97:$E$696,"&lt;&gt;")=0,"",SUMIFS('Posiłki'!$K$97:$K$696,'Posiłki'!$A$97:$A$696,$A104))))</x:f>
      </x:c>
      <x:c r="K104" s="24" t="str">
        <x:f>IF($A104="","",IF(COUNTIFS('Posiłki'!$A$97:$A$696,$A104,'Posiłki'!$L$97:$L$696,"brak danych")&gt;0,"brak danych",IF(COUNTIFS('Posiłki'!$A$97:$A$696,$A104,'Posiłki'!$F$97:$F$696,"&lt;&gt;")=0,"",SUMIFS('Posiłki'!$L$97:$L$696,'Posiłki'!$A$97:$A$696,$A104))))</x:f>
      </x:c>
      <x:c r="L104" s="25" t="str">
        <x:f>IF($A104="","",IF(COUNTIFS('Posiłki'!$A$97:$A$696,$A104,'Posiłki'!$P$97:$P$696,"brak danych")&gt;0,"brak danych",IF(COUNTIFS('Posiłki'!$A$97:$A$696,$A104,'Posiłki'!$F$97:$F$696,"&lt;&gt;")=0,"",SUMIFS('Posiłki'!$P$97:$P$696,'Posiłki'!$A$97:$A$696,$A104))))</x:f>
      </x:c>
      <x:c r="M104" s="18"/>
    </x:row>
    <x:row r="105" ht="25" customHeight="1">
      <x:c r="A105" s="19" t="str">
        <x:f>IF(ISNUMBER($B$4),$B$4+93,"")</x:f>
      </x:c>
      <x:c r="B105" s="2" t="str">
        <x:f>IF(A105="","",CHOOSE(WEEKDAY(A105,2),"pon.","wt.","śr.","czw.","pt.","sob.","niedz."))</x:f>
      </x:c>
      <x:c r="C105" s="18"/>
      <x:c r="D105" s="18"/>
      <x:c r="E105" s="23" t="str">
        <x:f>IF(A105="","",A105-2+16/24)</x:f>
      </x:c>
      <x:c r="F105" s="24" t="str">
        <x:f>IF($A105="","",IF(COUNTIFS('Posiłki'!$A$97:$A$696,$A105,'Posiłki'!$G$97:$G$696,"brak danych")&gt;0,"brak danych",IF(COUNTIFS('Posiłki'!$A$97:$A$696,$A105,'Posiłki'!$E$97:$E$696,"&lt;&gt;")=0,"",SUMIFS('Posiłki'!$G$97:$G$696,'Posiłki'!$A$97:$A$696,$A105))))</x:f>
      </x:c>
      <x:c r="G105" s="25" t="str">
        <x:f>IF($A105="","",IF(COUNTIFS('Posiłki'!$A$97:$A$696,$A105,'Posiłki'!$H$97:$H$696,"brak danych")&gt;0,"brak danych",IF(COUNTIFS('Posiłki'!$A$97:$A$696,$A105,'Posiłki'!$E$97:$E$696,"&lt;&gt;")=0,"",SUMIFS('Posiłki'!$H$97:$H$696,'Posiłki'!$A$97:$A$696,$A105))))</x:f>
      </x:c>
      <x:c r="H105" s="25" t="str">
        <x:f>IF($A105="","",IF(COUNTIFS('Posiłki'!$A$97:$A$696,$A105,'Posiłki'!$I$97:$I$696,"brak danych")&gt;0,"brak danych",IF(COUNTIFS('Posiłki'!$A$97:$A$696,$A105,'Posiłki'!$E$97:$E$696,"&lt;&gt;")=0,"",SUMIFS('Posiłki'!$I$97:$I$696,'Posiłki'!$A$97:$A$696,$A105))))</x:f>
      </x:c>
      <x:c r="I105" s="25" t="str">
        <x:f>IF($A105="","",IF(COUNTIFS('Posiłki'!$A$97:$A$696,$A105,'Posiłki'!$J$97:$J$696,"brak danych")&gt;0,"brak danych",IF(COUNTIFS('Posiłki'!$A$97:$A$696,$A105,'Posiłki'!$E$97:$E$696,"&lt;&gt;")=0,"",SUMIFS('Posiłki'!$J$97:$J$696,'Posiłki'!$A$97:$A$696,$A105))))</x:f>
      </x:c>
      <x:c r="J105" s="25" t="str">
        <x:f>IF($A105="","",IF(COUNTIFS('Posiłki'!$A$97:$A$696,$A105,'Posiłki'!$K$97:$K$696,"brak danych")&gt;0,"brak danych",IF(COUNTIFS('Posiłki'!$A$97:$A$696,$A105,'Posiłki'!$E$97:$E$696,"&lt;&gt;")=0,"",SUMIFS('Posiłki'!$K$97:$K$696,'Posiłki'!$A$97:$A$696,$A105))))</x:f>
      </x:c>
      <x:c r="K105" s="24" t="str">
        <x:f>IF($A105="","",IF(COUNTIFS('Posiłki'!$A$97:$A$696,$A105,'Posiłki'!$L$97:$L$696,"brak danych")&gt;0,"brak danych",IF(COUNTIFS('Posiłki'!$A$97:$A$696,$A105,'Posiłki'!$F$97:$F$696,"&lt;&gt;")=0,"",SUMIFS('Posiłki'!$L$97:$L$696,'Posiłki'!$A$97:$A$696,$A105))))</x:f>
      </x:c>
      <x:c r="L105" s="25" t="str">
        <x:f>IF($A105="","",IF(COUNTIFS('Posiłki'!$A$97:$A$696,$A105,'Posiłki'!$P$97:$P$696,"brak danych")&gt;0,"brak danych",IF(COUNTIFS('Posiłki'!$A$97:$A$696,$A105,'Posiłki'!$F$97:$F$696,"&lt;&gt;")=0,"",SUMIFS('Posiłki'!$P$97:$P$696,'Posiłki'!$A$97:$A$696,$A105))))</x:f>
      </x:c>
      <x:c r="M105" s="18"/>
    </x:row>
    <x:row r="106" ht="25" customHeight="1">
      <x:c r="A106" s="19" t="str">
        <x:f>IF(ISNUMBER($B$4),$B$4+94,"")</x:f>
      </x:c>
      <x:c r="B106" s="2" t="str">
        <x:f>IF(A106="","",CHOOSE(WEEKDAY(A106,2),"pon.","wt.","śr.","czw.","pt.","sob.","niedz."))</x:f>
      </x:c>
      <x:c r="C106" s="18"/>
      <x:c r="D106" s="18"/>
      <x:c r="E106" s="23" t="str">
        <x:f>IF(A106="","",A106-2+16/24)</x:f>
      </x:c>
      <x:c r="F106" s="24" t="str">
        <x:f>IF($A106="","",IF(COUNTIFS('Posiłki'!$A$97:$A$696,$A106,'Posiłki'!$G$97:$G$696,"brak danych")&gt;0,"brak danych",IF(COUNTIFS('Posiłki'!$A$97:$A$696,$A106,'Posiłki'!$E$97:$E$696,"&lt;&gt;")=0,"",SUMIFS('Posiłki'!$G$97:$G$696,'Posiłki'!$A$97:$A$696,$A106))))</x:f>
      </x:c>
      <x:c r="G106" s="25" t="str">
        <x:f>IF($A106="","",IF(COUNTIFS('Posiłki'!$A$97:$A$696,$A106,'Posiłki'!$H$97:$H$696,"brak danych")&gt;0,"brak danych",IF(COUNTIFS('Posiłki'!$A$97:$A$696,$A106,'Posiłki'!$E$97:$E$696,"&lt;&gt;")=0,"",SUMIFS('Posiłki'!$H$97:$H$696,'Posiłki'!$A$97:$A$696,$A106))))</x:f>
      </x:c>
      <x:c r="H106" s="25" t="str">
        <x:f>IF($A106="","",IF(COUNTIFS('Posiłki'!$A$97:$A$696,$A106,'Posiłki'!$I$97:$I$696,"brak danych")&gt;0,"brak danych",IF(COUNTIFS('Posiłki'!$A$97:$A$696,$A106,'Posiłki'!$E$97:$E$696,"&lt;&gt;")=0,"",SUMIFS('Posiłki'!$I$97:$I$696,'Posiłki'!$A$97:$A$696,$A106))))</x:f>
      </x:c>
      <x:c r="I106" s="25" t="str">
        <x:f>IF($A106="","",IF(COUNTIFS('Posiłki'!$A$97:$A$696,$A106,'Posiłki'!$J$97:$J$696,"brak danych")&gt;0,"brak danych",IF(COUNTIFS('Posiłki'!$A$97:$A$696,$A106,'Posiłki'!$E$97:$E$696,"&lt;&gt;")=0,"",SUMIFS('Posiłki'!$J$97:$J$696,'Posiłki'!$A$97:$A$696,$A106))))</x:f>
      </x:c>
      <x:c r="J106" s="25" t="str">
        <x:f>IF($A106="","",IF(COUNTIFS('Posiłki'!$A$97:$A$696,$A106,'Posiłki'!$K$97:$K$696,"brak danych")&gt;0,"brak danych",IF(COUNTIFS('Posiłki'!$A$97:$A$696,$A106,'Posiłki'!$E$97:$E$696,"&lt;&gt;")=0,"",SUMIFS('Posiłki'!$K$97:$K$696,'Posiłki'!$A$97:$A$696,$A106))))</x:f>
      </x:c>
      <x:c r="K106" s="24" t="str">
        <x:f>IF($A106="","",IF(COUNTIFS('Posiłki'!$A$97:$A$696,$A106,'Posiłki'!$L$97:$L$696,"brak danych")&gt;0,"brak danych",IF(COUNTIFS('Posiłki'!$A$97:$A$696,$A106,'Posiłki'!$F$97:$F$696,"&lt;&gt;")=0,"",SUMIFS('Posiłki'!$L$97:$L$696,'Posiłki'!$A$97:$A$696,$A106))))</x:f>
      </x:c>
      <x:c r="L106" s="25" t="str">
        <x:f>IF($A106="","",IF(COUNTIFS('Posiłki'!$A$97:$A$696,$A106,'Posiłki'!$P$97:$P$696,"brak danych")&gt;0,"brak danych",IF(COUNTIFS('Posiłki'!$A$97:$A$696,$A106,'Posiłki'!$F$97:$F$696,"&lt;&gt;")=0,"",SUMIFS('Posiłki'!$P$97:$P$696,'Posiłki'!$A$97:$A$696,$A106))))</x:f>
      </x:c>
      <x:c r="M106" s="18"/>
    </x:row>
    <x:row r="107" ht="25" customHeight="1">
      <x:c r="A107" s="19" t="str">
        <x:f>IF(ISNUMBER($B$4),$B$4+95,"")</x:f>
      </x:c>
      <x:c r="B107" s="2" t="str">
        <x:f>IF(A107="","",CHOOSE(WEEKDAY(A107,2),"pon.","wt.","śr.","czw.","pt.","sob.","niedz."))</x:f>
      </x:c>
      <x:c r="C107" s="18"/>
      <x:c r="D107" s="18"/>
      <x:c r="E107" s="23" t="str">
        <x:f>IF(A107="","",A107-2+16/24)</x:f>
      </x:c>
      <x:c r="F107" s="24" t="str">
        <x:f>IF($A107="","",IF(COUNTIFS('Posiłki'!$A$97:$A$696,$A107,'Posiłki'!$G$97:$G$696,"brak danych")&gt;0,"brak danych",IF(COUNTIFS('Posiłki'!$A$97:$A$696,$A107,'Posiłki'!$E$97:$E$696,"&lt;&gt;")=0,"",SUMIFS('Posiłki'!$G$97:$G$696,'Posiłki'!$A$97:$A$696,$A107))))</x:f>
      </x:c>
      <x:c r="G107" s="25" t="str">
        <x:f>IF($A107="","",IF(COUNTIFS('Posiłki'!$A$97:$A$696,$A107,'Posiłki'!$H$97:$H$696,"brak danych")&gt;0,"brak danych",IF(COUNTIFS('Posiłki'!$A$97:$A$696,$A107,'Posiłki'!$E$97:$E$696,"&lt;&gt;")=0,"",SUMIFS('Posiłki'!$H$97:$H$696,'Posiłki'!$A$97:$A$696,$A107))))</x:f>
      </x:c>
      <x:c r="H107" s="25" t="str">
        <x:f>IF($A107="","",IF(COUNTIFS('Posiłki'!$A$97:$A$696,$A107,'Posiłki'!$I$97:$I$696,"brak danych")&gt;0,"brak danych",IF(COUNTIFS('Posiłki'!$A$97:$A$696,$A107,'Posiłki'!$E$97:$E$696,"&lt;&gt;")=0,"",SUMIFS('Posiłki'!$I$97:$I$696,'Posiłki'!$A$97:$A$696,$A107))))</x:f>
      </x:c>
      <x:c r="I107" s="25" t="str">
        <x:f>IF($A107="","",IF(COUNTIFS('Posiłki'!$A$97:$A$696,$A107,'Posiłki'!$J$97:$J$696,"brak danych")&gt;0,"brak danych",IF(COUNTIFS('Posiłki'!$A$97:$A$696,$A107,'Posiłki'!$E$97:$E$696,"&lt;&gt;")=0,"",SUMIFS('Posiłki'!$J$97:$J$696,'Posiłki'!$A$97:$A$696,$A107))))</x:f>
      </x:c>
      <x:c r="J107" s="25" t="str">
        <x:f>IF($A107="","",IF(COUNTIFS('Posiłki'!$A$97:$A$696,$A107,'Posiłki'!$K$97:$K$696,"brak danych")&gt;0,"brak danych",IF(COUNTIFS('Posiłki'!$A$97:$A$696,$A107,'Posiłki'!$E$97:$E$696,"&lt;&gt;")=0,"",SUMIFS('Posiłki'!$K$97:$K$696,'Posiłki'!$A$97:$A$696,$A107))))</x:f>
      </x:c>
      <x:c r="K107" s="24" t="str">
        <x:f>IF($A107="","",IF(COUNTIFS('Posiłki'!$A$97:$A$696,$A107,'Posiłki'!$L$97:$L$696,"brak danych")&gt;0,"brak danych",IF(COUNTIFS('Posiłki'!$A$97:$A$696,$A107,'Posiłki'!$F$97:$F$696,"&lt;&gt;")=0,"",SUMIFS('Posiłki'!$L$97:$L$696,'Posiłki'!$A$97:$A$696,$A107))))</x:f>
      </x:c>
      <x:c r="L107" s="25" t="str">
        <x:f>IF($A107="","",IF(COUNTIFS('Posiłki'!$A$97:$A$696,$A107,'Posiłki'!$P$97:$P$696,"brak danych")&gt;0,"brak danych",IF(COUNTIFS('Posiłki'!$A$97:$A$696,$A107,'Posiłki'!$F$97:$F$696,"&lt;&gt;")=0,"",SUMIFS('Posiłki'!$P$97:$P$696,'Posiłki'!$A$97:$A$696,$A107))))</x:f>
      </x:c>
      <x:c r="M107" s="18"/>
    </x:row>
    <x:row r="108" ht="25" customHeight="1">
      <x:c r="A108" s="19" t="str">
        <x:f>IF(ISNUMBER($B$4),$B$4+96,"")</x:f>
      </x:c>
      <x:c r="B108" s="2" t="str">
        <x:f>IF(A108="","",CHOOSE(WEEKDAY(A108,2),"pon.","wt.","śr.","czw.","pt.","sob.","niedz."))</x:f>
      </x:c>
      <x:c r="C108" s="18"/>
      <x:c r="D108" s="18"/>
      <x:c r="E108" s="23" t="str">
        <x:f>IF(A108="","",A108-2+16/24)</x:f>
      </x:c>
      <x:c r="F108" s="24" t="str">
        <x:f>IF($A108="","",IF(COUNTIFS('Posiłki'!$A$97:$A$696,$A108,'Posiłki'!$G$97:$G$696,"brak danych")&gt;0,"brak danych",IF(COUNTIFS('Posiłki'!$A$97:$A$696,$A108,'Posiłki'!$E$97:$E$696,"&lt;&gt;")=0,"",SUMIFS('Posiłki'!$G$97:$G$696,'Posiłki'!$A$97:$A$696,$A108))))</x:f>
      </x:c>
      <x:c r="G108" s="25" t="str">
        <x:f>IF($A108="","",IF(COUNTIFS('Posiłki'!$A$97:$A$696,$A108,'Posiłki'!$H$97:$H$696,"brak danych")&gt;0,"brak danych",IF(COUNTIFS('Posiłki'!$A$97:$A$696,$A108,'Posiłki'!$E$97:$E$696,"&lt;&gt;")=0,"",SUMIFS('Posiłki'!$H$97:$H$696,'Posiłki'!$A$97:$A$696,$A108))))</x:f>
      </x:c>
      <x:c r="H108" s="25" t="str">
        <x:f>IF($A108="","",IF(COUNTIFS('Posiłki'!$A$97:$A$696,$A108,'Posiłki'!$I$97:$I$696,"brak danych")&gt;0,"brak danych",IF(COUNTIFS('Posiłki'!$A$97:$A$696,$A108,'Posiłki'!$E$97:$E$696,"&lt;&gt;")=0,"",SUMIFS('Posiłki'!$I$97:$I$696,'Posiłki'!$A$97:$A$696,$A108))))</x:f>
      </x:c>
      <x:c r="I108" s="25" t="str">
        <x:f>IF($A108="","",IF(COUNTIFS('Posiłki'!$A$97:$A$696,$A108,'Posiłki'!$J$97:$J$696,"brak danych")&gt;0,"brak danych",IF(COUNTIFS('Posiłki'!$A$97:$A$696,$A108,'Posiłki'!$E$97:$E$696,"&lt;&gt;")=0,"",SUMIFS('Posiłki'!$J$97:$J$696,'Posiłki'!$A$97:$A$696,$A108))))</x:f>
      </x:c>
      <x:c r="J108" s="25" t="str">
        <x:f>IF($A108="","",IF(COUNTIFS('Posiłki'!$A$97:$A$696,$A108,'Posiłki'!$K$97:$K$696,"brak danych")&gt;0,"brak danych",IF(COUNTIFS('Posiłki'!$A$97:$A$696,$A108,'Posiłki'!$E$97:$E$696,"&lt;&gt;")=0,"",SUMIFS('Posiłki'!$K$97:$K$696,'Posiłki'!$A$97:$A$696,$A108))))</x:f>
      </x:c>
      <x:c r="K108" s="24" t="str">
        <x:f>IF($A108="","",IF(COUNTIFS('Posiłki'!$A$97:$A$696,$A108,'Posiłki'!$L$97:$L$696,"brak danych")&gt;0,"brak danych",IF(COUNTIFS('Posiłki'!$A$97:$A$696,$A108,'Posiłki'!$F$97:$F$696,"&lt;&gt;")=0,"",SUMIFS('Posiłki'!$L$97:$L$696,'Posiłki'!$A$97:$A$696,$A108))))</x:f>
      </x:c>
      <x:c r="L108" s="25" t="str">
        <x:f>IF($A108="","",IF(COUNTIFS('Posiłki'!$A$97:$A$696,$A108,'Posiłki'!$P$97:$P$696,"brak danych")&gt;0,"brak danych",IF(COUNTIFS('Posiłki'!$A$97:$A$696,$A108,'Posiłki'!$F$97:$F$696,"&lt;&gt;")=0,"",SUMIFS('Posiłki'!$P$97:$P$696,'Posiłki'!$A$97:$A$696,$A108))))</x:f>
      </x:c>
      <x:c r="M108" s="18"/>
    </x:row>
    <x:row r="109" ht="25" customHeight="1">
      <x:c r="A109" s="19" t="str">
        <x:f>IF(ISNUMBER($B$4),$B$4+97,"")</x:f>
      </x:c>
      <x:c r="B109" s="2" t="str">
        <x:f>IF(A109="","",CHOOSE(WEEKDAY(A109,2),"pon.","wt.","śr.","czw.","pt.","sob.","niedz."))</x:f>
      </x:c>
      <x:c r="C109" s="18"/>
      <x:c r="D109" s="18"/>
      <x:c r="E109" s="23" t="str">
        <x:f>IF(A109="","",A109-2+16/24)</x:f>
      </x:c>
      <x:c r="F109" s="24" t="str">
        <x:f>IF($A109="","",IF(COUNTIFS('Posiłki'!$A$97:$A$696,$A109,'Posiłki'!$G$97:$G$696,"brak danych")&gt;0,"brak danych",IF(COUNTIFS('Posiłki'!$A$97:$A$696,$A109,'Posiłki'!$E$97:$E$696,"&lt;&gt;")=0,"",SUMIFS('Posiłki'!$G$97:$G$696,'Posiłki'!$A$97:$A$696,$A109))))</x:f>
      </x:c>
      <x:c r="G109" s="25" t="str">
        <x:f>IF($A109="","",IF(COUNTIFS('Posiłki'!$A$97:$A$696,$A109,'Posiłki'!$H$97:$H$696,"brak danych")&gt;0,"brak danych",IF(COUNTIFS('Posiłki'!$A$97:$A$696,$A109,'Posiłki'!$E$97:$E$696,"&lt;&gt;")=0,"",SUMIFS('Posiłki'!$H$97:$H$696,'Posiłki'!$A$97:$A$696,$A109))))</x:f>
      </x:c>
      <x:c r="H109" s="25" t="str">
        <x:f>IF($A109="","",IF(COUNTIFS('Posiłki'!$A$97:$A$696,$A109,'Posiłki'!$I$97:$I$696,"brak danych")&gt;0,"brak danych",IF(COUNTIFS('Posiłki'!$A$97:$A$696,$A109,'Posiłki'!$E$97:$E$696,"&lt;&gt;")=0,"",SUMIFS('Posiłki'!$I$97:$I$696,'Posiłki'!$A$97:$A$696,$A109))))</x:f>
      </x:c>
      <x:c r="I109" s="25" t="str">
        <x:f>IF($A109="","",IF(COUNTIFS('Posiłki'!$A$97:$A$696,$A109,'Posiłki'!$J$97:$J$696,"brak danych")&gt;0,"brak danych",IF(COUNTIFS('Posiłki'!$A$97:$A$696,$A109,'Posiłki'!$E$97:$E$696,"&lt;&gt;")=0,"",SUMIFS('Posiłki'!$J$97:$J$696,'Posiłki'!$A$97:$A$696,$A109))))</x:f>
      </x:c>
      <x:c r="J109" s="25" t="str">
        <x:f>IF($A109="","",IF(COUNTIFS('Posiłki'!$A$97:$A$696,$A109,'Posiłki'!$K$97:$K$696,"brak danych")&gt;0,"brak danych",IF(COUNTIFS('Posiłki'!$A$97:$A$696,$A109,'Posiłki'!$E$97:$E$696,"&lt;&gt;")=0,"",SUMIFS('Posiłki'!$K$97:$K$696,'Posiłki'!$A$97:$A$696,$A109))))</x:f>
      </x:c>
      <x:c r="K109" s="24" t="str">
        <x:f>IF($A109="","",IF(COUNTIFS('Posiłki'!$A$97:$A$696,$A109,'Posiłki'!$L$97:$L$696,"brak danych")&gt;0,"brak danych",IF(COUNTIFS('Posiłki'!$A$97:$A$696,$A109,'Posiłki'!$F$97:$F$696,"&lt;&gt;")=0,"",SUMIFS('Posiłki'!$L$97:$L$696,'Posiłki'!$A$97:$A$696,$A109))))</x:f>
      </x:c>
      <x:c r="L109" s="25" t="str">
        <x:f>IF($A109="","",IF(COUNTIFS('Posiłki'!$A$97:$A$696,$A109,'Posiłki'!$P$97:$P$696,"brak danych")&gt;0,"brak danych",IF(COUNTIFS('Posiłki'!$A$97:$A$696,$A109,'Posiłki'!$F$97:$F$696,"&lt;&gt;")=0,"",SUMIFS('Posiłki'!$P$97:$P$696,'Posiłki'!$A$97:$A$696,$A109))))</x:f>
      </x:c>
      <x:c r="M109" s="18"/>
    </x:row>
    <x:row r="110" ht="25" customHeight="1">
      <x:c r="A110" s="19" t="str">
        <x:f>IF(ISNUMBER($B$4),$B$4+98,"")</x:f>
      </x:c>
      <x:c r="B110" s="2" t="str">
        <x:f>IF(A110="","",CHOOSE(WEEKDAY(A110,2),"pon.","wt.","śr.","czw.","pt.","sob.","niedz."))</x:f>
      </x:c>
      <x:c r="C110" s="18"/>
      <x:c r="D110" s="18"/>
      <x:c r="E110" s="23" t="str">
        <x:f>IF(A110="","",A110-2+16/24)</x:f>
      </x:c>
      <x:c r="F110" s="24" t="str">
        <x:f>IF($A110="","",IF(COUNTIFS('Posiłki'!$A$97:$A$696,$A110,'Posiłki'!$G$97:$G$696,"brak danych")&gt;0,"brak danych",IF(COUNTIFS('Posiłki'!$A$97:$A$696,$A110,'Posiłki'!$E$97:$E$696,"&lt;&gt;")=0,"",SUMIFS('Posiłki'!$G$97:$G$696,'Posiłki'!$A$97:$A$696,$A110))))</x:f>
      </x:c>
      <x:c r="G110" s="25" t="str">
        <x:f>IF($A110="","",IF(COUNTIFS('Posiłki'!$A$97:$A$696,$A110,'Posiłki'!$H$97:$H$696,"brak danych")&gt;0,"brak danych",IF(COUNTIFS('Posiłki'!$A$97:$A$696,$A110,'Posiłki'!$E$97:$E$696,"&lt;&gt;")=0,"",SUMIFS('Posiłki'!$H$97:$H$696,'Posiłki'!$A$97:$A$696,$A110))))</x:f>
      </x:c>
      <x:c r="H110" s="25" t="str">
        <x:f>IF($A110="","",IF(COUNTIFS('Posiłki'!$A$97:$A$696,$A110,'Posiłki'!$I$97:$I$696,"brak danych")&gt;0,"brak danych",IF(COUNTIFS('Posiłki'!$A$97:$A$696,$A110,'Posiłki'!$E$97:$E$696,"&lt;&gt;")=0,"",SUMIFS('Posiłki'!$I$97:$I$696,'Posiłki'!$A$97:$A$696,$A110))))</x:f>
      </x:c>
      <x:c r="I110" s="25" t="str">
        <x:f>IF($A110="","",IF(COUNTIFS('Posiłki'!$A$97:$A$696,$A110,'Posiłki'!$J$97:$J$696,"brak danych")&gt;0,"brak danych",IF(COUNTIFS('Posiłki'!$A$97:$A$696,$A110,'Posiłki'!$E$97:$E$696,"&lt;&gt;")=0,"",SUMIFS('Posiłki'!$J$97:$J$696,'Posiłki'!$A$97:$A$696,$A110))))</x:f>
      </x:c>
      <x:c r="J110" s="25" t="str">
        <x:f>IF($A110="","",IF(COUNTIFS('Posiłki'!$A$97:$A$696,$A110,'Posiłki'!$K$97:$K$696,"brak danych")&gt;0,"brak danych",IF(COUNTIFS('Posiłki'!$A$97:$A$696,$A110,'Posiłki'!$E$97:$E$696,"&lt;&gt;")=0,"",SUMIFS('Posiłki'!$K$97:$K$696,'Posiłki'!$A$97:$A$696,$A110))))</x:f>
      </x:c>
      <x:c r="K110" s="24" t="str">
        <x:f>IF($A110="","",IF(COUNTIFS('Posiłki'!$A$97:$A$696,$A110,'Posiłki'!$L$97:$L$696,"brak danych")&gt;0,"brak danych",IF(COUNTIFS('Posiłki'!$A$97:$A$696,$A110,'Posiłki'!$F$97:$F$696,"&lt;&gt;")=0,"",SUMIFS('Posiłki'!$L$97:$L$696,'Posiłki'!$A$97:$A$696,$A110))))</x:f>
      </x:c>
      <x:c r="L110" s="25" t="str">
        <x:f>IF($A110="","",IF(COUNTIFS('Posiłki'!$A$97:$A$696,$A110,'Posiłki'!$P$97:$P$696,"brak danych")&gt;0,"brak danych",IF(COUNTIFS('Posiłki'!$A$97:$A$696,$A110,'Posiłki'!$F$97:$F$696,"&lt;&gt;")=0,"",SUMIFS('Posiłki'!$P$97:$P$696,'Posiłki'!$A$97:$A$696,$A110))))</x:f>
      </x:c>
      <x:c r="M110" s="18"/>
    </x:row>
    <x:row r="111" ht="25" customHeight="1">
      <x:c r="A111" s="19" t="str">
        <x:f>IF(ISNUMBER($B$4),$B$4+99,"")</x:f>
      </x:c>
      <x:c r="B111" s="2" t="str">
        <x:f>IF(A111="","",CHOOSE(WEEKDAY(A111,2),"pon.","wt.","śr.","czw.","pt.","sob.","niedz."))</x:f>
      </x:c>
      <x:c r="C111" s="18"/>
      <x:c r="D111" s="18"/>
      <x:c r="E111" s="23" t="str">
        <x:f>IF(A111="","",A111-2+16/24)</x:f>
      </x:c>
      <x:c r="F111" s="24" t="str">
        <x:f>IF($A111="","",IF(COUNTIFS('Posiłki'!$A$97:$A$696,$A111,'Posiłki'!$G$97:$G$696,"brak danych")&gt;0,"brak danych",IF(COUNTIFS('Posiłki'!$A$97:$A$696,$A111,'Posiłki'!$E$97:$E$696,"&lt;&gt;")=0,"",SUMIFS('Posiłki'!$G$97:$G$696,'Posiłki'!$A$97:$A$696,$A111))))</x:f>
      </x:c>
      <x:c r="G111" s="25" t="str">
        <x:f>IF($A111="","",IF(COUNTIFS('Posiłki'!$A$97:$A$696,$A111,'Posiłki'!$H$97:$H$696,"brak danych")&gt;0,"brak danych",IF(COUNTIFS('Posiłki'!$A$97:$A$696,$A111,'Posiłki'!$E$97:$E$696,"&lt;&gt;")=0,"",SUMIFS('Posiłki'!$H$97:$H$696,'Posiłki'!$A$97:$A$696,$A111))))</x:f>
      </x:c>
      <x:c r="H111" s="25" t="str">
        <x:f>IF($A111="","",IF(COUNTIFS('Posiłki'!$A$97:$A$696,$A111,'Posiłki'!$I$97:$I$696,"brak danych")&gt;0,"brak danych",IF(COUNTIFS('Posiłki'!$A$97:$A$696,$A111,'Posiłki'!$E$97:$E$696,"&lt;&gt;")=0,"",SUMIFS('Posiłki'!$I$97:$I$696,'Posiłki'!$A$97:$A$696,$A111))))</x:f>
      </x:c>
      <x:c r="I111" s="25" t="str">
        <x:f>IF($A111="","",IF(COUNTIFS('Posiłki'!$A$97:$A$696,$A111,'Posiłki'!$J$97:$J$696,"brak danych")&gt;0,"brak danych",IF(COUNTIFS('Posiłki'!$A$97:$A$696,$A111,'Posiłki'!$E$97:$E$696,"&lt;&gt;")=0,"",SUMIFS('Posiłki'!$J$97:$J$696,'Posiłki'!$A$97:$A$696,$A111))))</x:f>
      </x:c>
      <x:c r="J111" s="25" t="str">
        <x:f>IF($A111="","",IF(COUNTIFS('Posiłki'!$A$97:$A$696,$A111,'Posiłki'!$K$97:$K$696,"brak danych")&gt;0,"brak danych",IF(COUNTIFS('Posiłki'!$A$97:$A$696,$A111,'Posiłki'!$E$97:$E$696,"&lt;&gt;")=0,"",SUMIFS('Posiłki'!$K$97:$K$696,'Posiłki'!$A$97:$A$696,$A111))))</x:f>
      </x:c>
      <x:c r="K111" s="24" t="str">
        <x:f>IF($A111="","",IF(COUNTIFS('Posiłki'!$A$97:$A$696,$A111,'Posiłki'!$L$97:$L$696,"brak danych")&gt;0,"brak danych",IF(COUNTIFS('Posiłki'!$A$97:$A$696,$A111,'Posiłki'!$F$97:$F$696,"&lt;&gt;")=0,"",SUMIFS('Posiłki'!$L$97:$L$696,'Posiłki'!$A$97:$A$696,$A111))))</x:f>
      </x:c>
      <x:c r="L111" s="25" t="str">
        <x:f>IF($A111="","",IF(COUNTIFS('Posiłki'!$A$97:$A$696,$A111,'Posiłki'!$P$97:$P$696,"brak danych")&gt;0,"brak danych",IF(COUNTIFS('Posiłki'!$A$97:$A$696,$A111,'Posiłki'!$F$97:$F$696,"&lt;&gt;")=0,"",SUMIFS('Posiłki'!$P$97:$P$696,'Posiłki'!$A$97:$A$696,$A111))))</x:f>
      </x:c>
      <x:c r="M111" s="18"/>
    </x:row>
    <x:row r="112" ht="25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</x:row>
    <x:row r="113" ht="25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</x:row>
    <x:row r="114" ht="31" customHeight="1">
      <x:c r="A114" s="3" t="str">
        <x:v>Pomiary i regeneracja</x:v>
      </x:c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</x:row>
    <x:row r="115" ht="25" customHeight="1">
      <x:c r="A115" s="9" t="str">
        <x:v>Propozycja: masa pon./śr./pt. rano; talia w pon. rano; biodra i udo opcjonalnie na starcie i co 4 tygodnie.</x:v>
      </x:c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</x:row>
    <x:row r="116" ht="25" customHeight="1">
      <x:c r="A116" s="9" t="str">
        <x:v>Średnia z 7 dni pojawia się od 3 ważnych pomiarów. Zmęczenie: 1 = wypoczęty, 5 = bardzo zmęczony.</x:v>
      </x:c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</x:row>
    <x:row r="117" ht="25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</x:row>
    <x:row r="118" ht="54" customHeight="1">
      <x:c r="A118" s="14" t="str">
        <x:v>Data</x:v>
      </x:c>
      <x:c r="B118" s="15" t="str">
        <x:v>Masa (kg)</x:v>
      </x:c>
      <x:c r="C118" s="15" t="str">
        <x:v>Średnia 7 dni (kg)</x:v>
      </x:c>
      <x:c r="D118" s="15" t="str">
        <x:v>Pomiarów w 7 dniach</x:v>
      </x:c>
      <x:c r="E118" s="15" t="str">
        <x:v>Talia (cm)</x:v>
      </x:c>
      <x:c r="F118" s="15" t="str">
        <x:v>Biodra (cm, opcj.)</x:v>
      </x:c>
      <x:c r="G118" s="15" t="str">
        <x:v>Udo (cm, opcj.)</x:v>
      </x:c>
      <x:c r="H118" s="15" t="str">
        <x:v>Sen (h, opcj.)</x:v>
      </x:c>
      <x:c r="I118" s="15" t="str">
        <x:v>Zmęczenie 1–5</x:v>
      </x:c>
      <x:c r="J118" s="15" t="str">
        <x:v>Garmin kcal łącznie</x:v>
      </x:c>
      <x:c r="K118" s="16" t="str">
        <x:v>Uwagi</x:v>
      </x:c>
      <x:c r="L118" s="2"/>
      <x:c r="M118" s="2"/>
    </x:row>
    <x:row r="119" ht="25" customHeight="1">
      <x:c r="A119" s="19" t="str">
        <x:f>IF(A12="","",A12)</x:f>
      </x:c>
      <x:c r="B119" s="27"/>
      <x:c r="C119" s="25" t="str">
        <x:f>IF(A119="","",IF(D119&lt;3,"",SUMIFS($B$119:$B$218,$A$119:$A$218,"&gt;="&amp;A119-6,$A$119:$A$218,"&lt;="&amp;A119,$B$119:$B$218,"&gt;0")/D119))</x:f>
      </x:c>
      <x:c r="D119" s="24" t="str">
        <x:f>IF(A119="","",COUNTIFS($A$119:$A$218,"&gt;="&amp;A119-6,$A$119:$A$218,"&lt;="&amp;A119,$B$119:$B$218,"&gt;0"))</x:f>
      </x:c>
      <x:c r="E119" s="27"/>
      <x:c r="F119" s="27"/>
      <x:c r="G119" s="27"/>
      <x:c r="H119" s="27"/>
      <x:c r="I119" s="28"/>
      <x:c r="J119" s="28"/>
      <x:c r="K119" s="18"/>
      <x:c r="L119" s="2"/>
      <x:c r="M119" s="2"/>
    </x:row>
    <x:row r="120" ht="25" customHeight="1">
      <x:c r="A120" s="19" t="str">
        <x:f>IF(A13="","",A13)</x:f>
      </x:c>
      <x:c r="B120" s="27"/>
      <x:c r="C120" s="25" t="str">
        <x:f>IF(A120="","",IF(D120&lt;3,"",SUMIFS($B$119:$B$218,$A$119:$A$218,"&gt;="&amp;A120-6,$A$119:$A$218,"&lt;="&amp;A120,$B$119:$B$218,"&gt;0")/D120))</x:f>
      </x:c>
      <x:c r="D120" s="24" t="str">
        <x:f>IF(A120="","",COUNTIFS($A$119:$A$218,"&gt;="&amp;A120-6,$A$119:$A$218,"&lt;="&amp;A120,$B$119:$B$218,"&gt;0"))</x:f>
      </x:c>
      <x:c r="E120" s="27"/>
      <x:c r="F120" s="27"/>
      <x:c r="G120" s="27"/>
      <x:c r="H120" s="27"/>
      <x:c r="I120" s="28"/>
      <x:c r="J120" s="28"/>
      <x:c r="K120" s="18"/>
      <x:c r="L120" s="2"/>
      <x:c r="M120" s="2"/>
    </x:row>
    <x:row r="121" ht="25" customHeight="1">
      <x:c r="A121" s="19" t="str">
        <x:f>IF(A14="","",A14)</x:f>
      </x:c>
      <x:c r="B121" s="27"/>
      <x:c r="C121" s="25" t="str">
        <x:f>IF(A121="","",IF(D121&lt;3,"",SUMIFS($B$119:$B$218,$A$119:$A$218,"&gt;="&amp;A121-6,$A$119:$A$218,"&lt;="&amp;A121,$B$119:$B$218,"&gt;0")/D121))</x:f>
      </x:c>
      <x:c r="D121" s="24" t="str">
        <x:f>IF(A121="","",COUNTIFS($A$119:$A$218,"&gt;="&amp;A121-6,$A$119:$A$218,"&lt;="&amp;A121,$B$119:$B$218,"&gt;0"))</x:f>
      </x:c>
      <x:c r="E121" s="27"/>
      <x:c r="F121" s="27"/>
      <x:c r="G121" s="27"/>
      <x:c r="H121" s="27"/>
      <x:c r="I121" s="28"/>
      <x:c r="J121" s="28"/>
      <x:c r="K121" s="18"/>
      <x:c r="L121" s="2"/>
      <x:c r="M121" s="2"/>
    </x:row>
    <x:row r="122" ht="25" customHeight="1">
      <x:c r="A122" s="19" t="str">
        <x:f>IF(A15="","",A15)</x:f>
      </x:c>
      <x:c r="B122" s="27"/>
      <x:c r="C122" s="25" t="str">
        <x:f>IF(A122="","",IF(D122&lt;3,"",SUMIFS($B$119:$B$218,$A$119:$A$218,"&gt;="&amp;A122-6,$A$119:$A$218,"&lt;="&amp;A122,$B$119:$B$218,"&gt;0")/D122))</x:f>
      </x:c>
      <x:c r="D122" s="24" t="str">
        <x:f>IF(A122="","",COUNTIFS($A$119:$A$218,"&gt;="&amp;A122-6,$A$119:$A$218,"&lt;="&amp;A122,$B$119:$B$218,"&gt;0"))</x:f>
      </x:c>
      <x:c r="E122" s="27"/>
      <x:c r="F122" s="27"/>
      <x:c r="G122" s="27"/>
      <x:c r="H122" s="27"/>
      <x:c r="I122" s="28"/>
      <x:c r="J122" s="28"/>
      <x:c r="K122" s="18"/>
      <x:c r="L122" s="2"/>
      <x:c r="M122" s="2"/>
    </x:row>
    <x:row r="123" ht="25" customHeight="1">
      <x:c r="A123" s="19" t="str">
        <x:f>IF(A16="","",A16)</x:f>
      </x:c>
      <x:c r="B123" s="27"/>
      <x:c r="C123" s="25" t="str">
        <x:f>IF(A123="","",IF(D123&lt;3,"",SUMIFS($B$119:$B$218,$A$119:$A$218,"&gt;="&amp;A123-6,$A$119:$A$218,"&lt;="&amp;A123,$B$119:$B$218,"&gt;0")/D123))</x:f>
      </x:c>
      <x:c r="D123" s="24" t="str">
        <x:f>IF(A123="","",COUNTIFS($A$119:$A$218,"&gt;="&amp;A123-6,$A$119:$A$218,"&lt;="&amp;A123,$B$119:$B$218,"&gt;0"))</x:f>
      </x:c>
      <x:c r="E123" s="27"/>
      <x:c r="F123" s="27"/>
      <x:c r="G123" s="27"/>
      <x:c r="H123" s="27"/>
      <x:c r="I123" s="28"/>
      <x:c r="J123" s="28"/>
      <x:c r="K123" s="18"/>
      <x:c r="L123" s="2"/>
      <x:c r="M123" s="2"/>
    </x:row>
    <x:row r="124" ht="25" customHeight="1">
      <x:c r="A124" s="19" t="str">
        <x:f>IF(A17="","",A17)</x:f>
      </x:c>
      <x:c r="B124" s="27"/>
      <x:c r="C124" s="25" t="str">
        <x:f>IF(A124="","",IF(D124&lt;3,"",SUMIFS($B$119:$B$218,$A$119:$A$218,"&gt;="&amp;A124-6,$A$119:$A$218,"&lt;="&amp;A124,$B$119:$B$218,"&gt;0")/D124))</x:f>
      </x:c>
      <x:c r="D124" s="24" t="str">
        <x:f>IF(A124="","",COUNTIFS($A$119:$A$218,"&gt;="&amp;A124-6,$A$119:$A$218,"&lt;="&amp;A124,$B$119:$B$218,"&gt;0"))</x:f>
      </x:c>
      <x:c r="E124" s="27"/>
      <x:c r="F124" s="27"/>
      <x:c r="G124" s="27"/>
      <x:c r="H124" s="27"/>
      <x:c r="I124" s="28"/>
      <x:c r="J124" s="28"/>
      <x:c r="K124" s="18"/>
      <x:c r="L124" s="2"/>
      <x:c r="M124" s="2"/>
    </x:row>
    <x:row r="125" ht="25" customHeight="1">
      <x:c r="A125" s="19" t="str">
        <x:f>IF(A18="","",A18)</x:f>
      </x:c>
      <x:c r="B125" s="27"/>
      <x:c r="C125" s="25" t="str">
        <x:f>IF(A125="","",IF(D125&lt;3,"",SUMIFS($B$119:$B$218,$A$119:$A$218,"&gt;="&amp;A125-6,$A$119:$A$218,"&lt;="&amp;A125,$B$119:$B$218,"&gt;0")/D125))</x:f>
      </x:c>
      <x:c r="D125" s="24" t="str">
        <x:f>IF(A125="","",COUNTIFS($A$119:$A$218,"&gt;="&amp;A125-6,$A$119:$A$218,"&lt;="&amp;A125,$B$119:$B$218,"&gt;0"))</x:f>
      </x:c>
      <x:c r="E125" s="27"/>
      <x:c r="F125" s="27"/>
      <x:c r="G125" s="27"/>
      <x:c r="H125" s="27"/>
      <x:c r="I125" s="28"/>
      <x:c r="J125" s="28"/>
      <x:c r="K125" s="18"/>
      <x:c r="L125" s="2"/>
      <x:c r="M125" s="2"/>
    </x:row>
    <x:row r="126" ht="25" customHeight="1">
      <x:c r="A126" s="19" t="str">
        <x:f>IF(A19="","",A19)</x:f>
      </x:c>
      <x:c r="B126" s="27"/>
      <x:c r="C126" s="25" t="str">
        <x:f>IF(A126="","",IF(D126&lt;3,"",SUMIFS($B$119:$B$218,$A$119:$A$218,"&gt;="&amp;A126-6,$A$119:$A$218,"&lt;="&amp;A126,$B$119:$B$218,"&gt;0")/D126))</x:f>
      </x:c>
      <x:c r="D126" s="24" t="str">
        <x:f>IF(A126="","",COUNTIFS($A$119:$A$218,"&gt;="&amp;A126-6,$A$119:$A$218,"&lt;="&amp;A126,$B$119:$B$218,"&gt;0"))</x:f>
      </x:c>
      <x:c r="E126" s="27"/>
      <x:c r="F126" s="27"/>
      <x:c r="G126" s="27"/>
      <x:c r="H126" s="27"/>
      <x:c r="I126" s="28"/>
      <x:c r="J126" s="28"/>
      <x:c r="K126" s="18"/>
      <x:c r="L126" s="2"/>
      <x:c r="M126" s="2"/>
    </x:row>
    <x:row r="127" ht="25" customHeight="1">
      <x:c r="A127" s="19" t="str">
        <x:f>IF(A20="","",A20)</x:f>
      </x:c>
      <x:c r="B127" s="27"/>
      <x:c r="C127" s="25" t="str">
        <x:f>IF(A127="","",IF(D127&lt;3,"",SUMIFS($B$119:$B$218,$A$119:$A$218,"&gt;="&amp;A127-6,$A$119:$A$218,"&lt;="&amp;A127,$B$119:$B$218,"&gt;0")/D127))</x:f>
      </x:c>
      <x:c r="D127" s="24" t="str">
        <x:f>IF(A127="","",COUNTIFS($A$119:$A$218,"&gt;="&amp;A127-6,$A$119:$A$218,"&lt;="&amp;A127,$B$119:$B$218,"&gt;0"))</x:f>
      </x:c>
      <x:c r="E127" s="27"/>
      <x:c r="F127" s="27"/>
      <x:c r="G127" s="27"/>
      <x:c r="H127" s="27"/>
      <x:c r="I127" s="28"/>
      <x:c r="J127" s="28"/>
      <x:c r="K127" s="18"/>
      <x:c r="L127" s="2"/>
      <x:c r="M127" s="2"/>
    </x:row>
    <x:row r="128" ht="25" customHeight="1">
      <x:c r="A128" s="19" t="str">
        <x:f>IF(A21="","",A21)</x:f>
      </x:c>
      <x:c r="B128" s="27"/>
      <x:c r="C128" s="25" t="str">
        <x:f>IF(A128="","",IF(D128&lt;3,"",SUMIFS($B$119:$B$218,$A$119:$A$218,"&gt;="&amp;A128-6,$A$119:$A$218,"&lt;="&amp;A128,$B$119:$B$218,"&gt;0")/D128))</x:f>
      </x:c>
      <x:c r="D128" s="24" t="str">
        <x:f>IF(A128="","",COUNTIFS($A$119:$A$218,"&gt;="&amp;A128-6,$A$119:$A$218,"&lt;="&amp;A128,$B$119:$B$218,"&gt;0"))</x:f>
      </x:c>
      <x:c r="E128" s="27"/>
      <x:c r="F128" s="27"/>
      <x:c r="G128" s="27"/>
      <x:c r="H128" s="27"/>
      <x:c r="I128" s="28"/>
      <x:c r="J128" s="28"/>
      <x:c r="K128" s="18"/>
      <x:c r="L128" s="2"/>
      <x:c r="M128" s="2"/>
    </x:row>
    <x:row r="129" ht="25" customHeight="1">
      <x:c r="A129" s="19" t="str">
        <x:f>IF(A22="","",A22)</x:f>
      </x:c>
      <x:c r="B129" s="27"/>
      <x:c r="C129" s="25" t="str">
        <x:f>IF(A129="","",IF(D129&lt;3,"",SUMIFS($B$119:$B$218,$A$119:$A$218,"&gt;="&amp;A129-6,$A$119:$A$218,"&lt;="&amp;A129,$B$119:$B$218,"&gt;0")/D129))</x:f>
      </x:c>
      <x:c r="D129" s="24" t="str">
        <x:f>IF(A129="","",COUNTIFS($A$119:$A$218,"&gt;="&amp;A129-6,$A$119:$A$218,"&lt;="&amp;A129,$B$119:$B$218,"&gt;0"))</x:f>
      </x:c>
      <x:c r="E129" s="27"/>
      <x:c r="F129" s="27"/>
      <x:c r="G129" s="27"/>
      <x:c r="H129" s="27"/>
      <x:c r="I129" s="28"/>
      <x:c r="J129" s="28"/>
      <x:c r="K129" s="18"/>
      <x:c r="L129" s="2"/>
      <x:c r="M129" s="2"/>
    </x:row>
    <x:row r="130" ht="25" customHeight="1">
      <x:c r="A130" s="19" t="str">
        <x:f>IF(A23="","",A23)</x:f>
      </x:c>
      <x:c r="B130" s="27"/>
      <x:c r="C130" s="25" t="str">
        <x:f>IF(A130="","",IF(D130&lt;3,"",SUMIFS($B$119:$B$218,$A$119:$A$218,"&gt;="&amp;A130-6,$A$119:$A$218,"&lt;="&amp;A130,$B$119:$B$218,"&gt;0")/D130))</x:f>
      </x:c>
      <x:c r="D130" s="24" t="str">
        <x:f>IF(A130="","",COUNTIFS($A$119:$A$218,"&gt;="&amp;A130-6,$A$119:$A$218,"&lt;="&amp;A130,$B$119:$B$218,"&gt;0"))</x:f>
      </x:c>
      <x:c r="E130" s="27"/>
      <x:c r="F130" s="27"/>
      <x:c r="G130" s="27"/>
      <x:c r="H130" s="27"/>
      <x:c r="I130" s="28"/>
      <x:c r="J130" s="28"/>
      <x:c r="K130" s="18"/>
      <x:c r="L130" s="2"/>
      <x:c r="M130" s="2"/>
    </x:row>
    <x:row r="131" ht="25" customHeight="1">
      <x:c r="A131" s="19" t="str">
        <x:f>IF(A24="","",A24)</x:f>
      </x:c>
      <x:c r="B131" s="27"/>
      <x:c r="C131" s="25" t="str">
        <x:f>IF(A131="","",IF(D131&lt;3,"",SUMIFS($B$119:$B$218,$A$119:$A$218,"&gt;="&amp;A131-6,$A$119:$A$218,"&lt;="&amp;A131,$B$119:$B$218,"&gt;0")/D131))</x:f>
      </x:c>
      <x:c r="D131" s="24" t="str">
        <x:f>IF(A131="","",COUNTIFS($A$119:$A$218,"&gt;="&amp;A131-6,$A$119:$A$218,"&lt;="&amp;A131,$B$119:$B$218,"&gt;0"))</x:f>
      </x:c>
      <x:c r="E131" s="27"/>
      <x:c r="F131" s="27"/>
      <x:c r="G131" s="27"/>
      <x:c r="H131" s="27"/>
      <x:c r="I131" s="28"/>
      <x:c r="J131" s="28"/>
      <x:c r="K131" s="18"/>
      <x:c r="L131" s="2"/>
      <x:c r="M131" s="2"/>
    </x:row>
    <x:row r="132" ht="25" customHeight="1">
      <x:c r="A132" s="19" t="str">
        <x:f>IF(A25="","",A25)</x:f>
      </x:c>
      <x:c r="B132" s="27"/>
      <x:c r="C132" s="25" t="str">
        <x:f>IF(A132="","",IF(D132&lt;3,"",SUMIFS($B$119:$B$218,$A$119:$A$218,"&gt;="&amp;A132-6,$A$119:$A$218,"&lt;="&amp;A132,$B$119:$B$218,"&gt;0")/D132))</x:f>
      </x:c>
      <x:c r="D132" s="24" t="str">
        <x:f>IF(A132="","",COUNTIFS($A$119:$A$218,"&gt;="&amp;A132-6,$A$119:$A$218,"&lt;="&amp;A132,$B$119:$B$218,"&gt;0"))</x:f>
      </x:c>
      <x:c r="E132" s="27"/>
      <x:c r="F132" s="27"/>
      <x:c r="G132" s="27"/>
      <x:c r="H132" s="27"/>
      <x:c r="I132" s="28"/>
      <x:c r="J132" s="28"/>
      <x:c r="K132" s="18"/>
      <x:c r="L132" s="2"/>
      <x:c r="M132" s="2"/>
    </x:row>
    <x:row r="133" ht="25" customHeight="1">
      <x:c r="A133" s="19" t="str">
        <x:f>IF(A26="","",A26)</x:f>
      </x:c>
      <x:c r="B133" s="27"/>
      <x:c r="C133" s="25" t="str">
        <x:f>IF(A133="","",IF(D133&lt;3,"",SUMIFS($B$119:$B$218,$A$119:$A$218,"&gt;="&amp;A133-6,$A$119:$A$218,"&lt;="&amp;A133,$B$119:$B$218,"&gt;0")/D133))</x:f>
      </x:c>
      <x:c r="D133" s="24" t="str">
        <x:f>IF(A133="","",COUNTIFS($A$119:$A$218,"&gt;="&amp;A133-6,$A$119:$A$218,"&lt;="&amp;A133,$B$119:$B$218,"&gt;0"))</x:f>
      </x:c>
      <x:c r="E133" s="27"/>
      <x:c r="F133" s="27"/>
      <x:c r="G133" s="27"/>
      <x:c r="H133" s="27"/>
      <x:c r="I133" s="28"/>
      <x:c r="J133" s="28"/>
      <x:c r="K133" s="18"/>
      <x:c r="L133" s="2"/>
      <x:c r="M133" s="2"/>
    </x:row>
    <x:row r="134" ht="25" customHeight="1">
      <x:c r="A134" s="19" t="str">
        <x:f>IF(A27="","",A27)</x:f>
      </x:c>
      <x:c r="B134" s="27"/>
      <x:c r="C134" s="25" t="str">
        <x:f>IF(A134="","",IF(D134&lt;3,"",SUMIFS($B$119:$B$218,$A$119:$A$218,"&gt;="&amp;A134-6,$A$119:$A$218,"&lt;="&amp;A134,$B$119:$B$218,"&gt;0")/D134))</x:f>
      </x:c>
      <x:c r="D134" s="24" t="str">
        <x:f>IF(A134="","",COUNTIFS($A$119:$A$218,"&gt;="&amp;A134-6,$A$119:$A$218,"&lt;="&amp;A134,$B$119:$B$218,"&gt;0"))</x:f>
      </x:c>
      <x:c r="E134" s="27"/>
      <x:c r="F134" s="27"/>
      <x:c r="G134" s="27"/>
      <x:c r="H134" s="27"/>
      <x:c r="I134" s="28"/>
      <x:c r="J134" s="28"/>
      <x:c r="K134" s="18"/>
      <x:c r="L134" s="2"/>
      <x:c r="M134" s="2"/>
    </x:row>
    <x:row r="135" ht="25" customHeight="1">
      <x:c r="A135" s="19" t="str">
        <x:f>IF(A28="","",A28)</x:f>
      </x:c>
      <x:c r="B135" s="27"/>
      <x:c r="C135" s="25" t="str">
        <x:f>IF(A135="","",IF(D135&lt;3,"",SUMIFS($B$119:$B$218,$A$119:$A$218,"&gt;="&amp;A135-6,$A$119:$A$218,"&lt;="&amp;A135,$B$119:$B$218,"&gt;0")/D135))</x:f>
      </x:c>
      <x:c r="D135" s="24" t="str">
        <x:f>IF(A135="","",COUNTIFS($A$119:$A$218,"&gt;="&amp;A135-6,$A$119:$A$218,"&lt;="&amp;A135,$B$119:$B$218,"&gt;0"))</x:f>
      </x:c>
      <x:c r="E135" s="27"/>
      <x:c r="F135" s="27"/>
      <x:c r="G135" s="27"/>
      <x:c r="H135" s="27"/>
      <x:c r="I135" s="28"/>
      <x:c r="J135" s="28"/>
      <x:c r="K135" s="18"/>
      <x:c r="L135" s="2"/>
      <x:c r="M135" s="2"/>
    </x:row>
    <x:row r="136" ht="25" customHeight="1">
      <x:c r="A136" s="19" t="str">
        <x:f>IF(A29="","",A29)</x:f>
      </x:c>
      <x:c r="B136" s="27"/>
      <x:c r="C136" s="25" t="str">
        <x:f>IF(A136="","",IF(D136&lt;3,"",SUMIFS($B$119:$B$218,$A$119:$A$218,"&gt;="&amp;A136-6,$A$119:$A$218,"&lt;="&amp;A136,$B$119:$B$218,"&gt;0")/D136))</x:f>
      </x:c>
      <x:c r="D136" s="24" t="str">
        <x:f>IF(A136="","",COUNTIFS($A$119:$A$218,"&gt;="&amp;A136-6,$A$119:$A$218,"&lt;="&amp;A136,$B$119:$B$218,"&gt;0"))</x:f>
      </x:c>
      <x:c r="E136" s="27"/>
      <x:c r="F136" s="27"/>
      <x:c r="G136" s="27"/>
      <x:c r="H136" s="27"/>
      <x:c r="I136" s="28"/>
      <x:c r="J136" s="28"/>
      <x:c r="K136" s="18"/>
      <x:c r="L136" s="2"/>
      <x:c r="M136" s="2"/>
    </x:row>
    <x:row r="137" ht="25" customHeight="1">
      <x:c r="A137" s="19" t="str">
        <x:f>IF(A30="","",A30)</x:f>
      </x:c>
      <x:c r="B137" s="27"/>
      <x:c r="C137" s="25" t="str">
        <x:f>IF(A137="","",IF(D137&lt;3,"",SUMIFS($B$119:$B$218,$A$119:$A$218,"&gt;="&amp;A137-6,$A$119:$A$218,"&lt;="&amp;A137,$B$119:$B$218,"&gt;0")/D137))</x:f>
      </x:c>
      <x:c r="D137" s="24" t="str">
        <x:f>IF(A137="","",COUNTIFS($A$119:$A$218,"&gt;="&amp;A137-6,$A$119:$A$218,"&lt;="&amp;A137,$B$119:$B$218,"&gt;0"))</x:f>
      </x:c>
      <x:c r="E137" s="27"/>
      <x:c r="F137" s="27"/>
      <x:c r="G137" s="27"/>
      <x:c r="H137" s="27"/>
      <x:c r="I137" s="28"/>
      <x:c r="J137" s="28"/>
      <x:c r="K137" s="18"/>
      <x:c r="L137" s="2"/>
      <x:c r="M137" s="2"/>
    </x:row>
    <x:row r="138" ht="25" customHeight="1">
      <x:c r="A138" s="19" t="str">
        <x:f>IF(A31="","",A31)</x:f>
      </x:c>
      <x:c r="B138" s="27"/>
      <x:c r="C138" s="25" t="str">
        <x:f>IF(A138="","",IF(D138&lt;3,"",SUMIFS($B$119:$B$218,$A$119:$A$218,"&gt;="&amp;A138-6,$A$119:$A$218,"&lt;="&amp;A138,$B$119:$B$218,"&gt;0")/D138))</x:f>
      </x:c>
      <x:c r="D138" s="24" t="str">
        <x:f>IF(A138="","",COUNTIFS($A$119:$A$218,"&gt;="&amp;A138-6,$A$119:$A$218,"&lt;="&amp;A138,$B$119:$B$218,"&gt;0"))</x:f>
      </x:c>
      <x:c r="E138" s="27"/>
      <x:c r="F138" s="27"/>
      <x:c r="G138" s="27"/>
      <x:c r="H138" s="27"/>
      <x:c r="I138" s="28"/>
      <x:c r="J138" s="28"/>
      <x:c r="K138" s="18"/>
      <x:c r="L138" s="2"/>
      <x:c r="M138" s="2"/>
    </x:row>
    <x:row r="139" ht="25" customHeight="1">
      <x:c r="A139" s="19" t="str">
        <x:f>IF(A32="","",A32)</x:f>
      </x:c>
      <x:c r="B139" s="27"/>
      <x:c r="C139" s="25" t="str">
        <x:f>IF(A139="","",IF(D139&lt;3,"",SUMIFS($B$119:$B$218,$A$119:$A$218,"&gt;="&amp;A139-6,$A$119:$A$218,"&lt;="&amp;A139,$B$119:$B$218,"&gt;0")/D139))</x:f>
      </x:c>
      <x:c r="D139" s="24" t="str">
        <x:f>IF(A139="","",COUNTIFS($A$119:$A$218,"&gt;="&amp;A139-6,$A$119:$A$218,"&lt;="&amp;A139,$B$119:$B$218,"&gt;0"))</x:f>
      </x:c>
      <x:c r="E139" s="27"/>
      <x:c r="F139" s="27"/>
      <x:c r="G139" s="27"/>
      <x:c r="H139" s="27"/>
      <x:c r="I139" s="28"/>
      <x:c r="J139" s="28"/>
      <x:c r="K139" s="18"/>
      <x:c r="L139" s="2"/>
      <x:c r="M139" s="2"/>
    </x:row>
    <x:row r="140" ht="25" customHeight="1">
      <x:c r="A140" s="19" t="str">
        <x:f>IF(A33="","",A33)</x:f>
      </x:c>
      <x:c r="B140" s="27"/>
      <x:c r="C140" s="25" t="str">
        <x:f>IF(A140="","",IF(D140&lt;3,"",SUMIFS($B$119:$B$218,$A$119:$A$218,"&gt;="&amp;A140-6,$A$119:$A$218,"&lt;="&amp;A140,$B$119:$B$218,"&gt;0")/D140))</x:f>
      </x:c>
      <x:c r="D140" s="24" t="str">
        <x:f>IF(A140="","",COUNTIFS($A$119:$A$218,"&gt;="&amp;A140-6,$A$119:$A$218,"&lt;="&amp;A140,$B$119:$B$218,"&gt;0"))</x:f>
      </x:c>
      <x:c r="E140" s="27"/>
      <x:c r="F140" s="27"/>
      <x:c r="G140" s="27"/>
      <x:c r="H140" s="27"/>
      <x:c r="I140" s="28"/>
      <x:c r="J140" s="28"/>
      <x:c r="K140" s="18"/>
      <x:c r="L140" s="2"/>
      <x:c r="M140" s="2"/>
    </x:row>
    <x:row r="141" ht="25" customHeight="1">
      <x:c r="A141" s="19" t="str">
        <x:f>IF(A34="","",A34)</x:f>
      </x:c>
      <x:c r="B141" s="27"/>
      <x:c r="C141" s="25" t="str">
        <x:f>IF(A141="","",IF(D141&lt;3,"",SUMIFS($B$119:$B$218,$A$119:$A$218,"&gt;="&amp;A141-6,$A$119:$A$218,"&lt;="&amp;A141,$B$119:$B$218,"&gt;0")/D141))</x:f>
      </x:c>
      <x:c r="D141" s="24" t="str">
        <x:f>IF(A141="","",COUNTIFS($A$119:$A$218,"&gt;="&amp;A141-6,$A$119:$A$218,"&lt;="&amp;A141,$B$119:$B$218,"&gt;0"))</x:f>
      </x:c>
      <x:c r="E141" s="27"/>
      <x:c r="F141" s="27"/>
      <x:c r="G141" s="27"/>
      <x:c r="H141" s="27"/>
      <x:c r="I141" s="28"/>
      <x:c r="J141" s="28"/>
      <x:c r="K141" s="18"/>
      <x:c r="L141" s="2"/>
      <x:c r="M141" s="2"/>
    </x:row>
    <x:row r="142" ht="25" customHeight="1">
      <x:c r="A142" s="19" t="str">
        <x:f>IF(A35="","",A35)</x:f>
      </x:c>
      <x:c r="B142" s="27"/>
      <x:c r="C142" s="25" t="str">
        <x:f>IF(A142="","",IF(D142&lt;3,"",SUMIFS($B$119:$B$218,$A$119:$A$218,"&gt;="&amp;A142-6,$A$119:$A$218,"&lt;="&amp;A142,$B$119:$B$218,"&gt;0")/D142))</x:f>
      </x:c>
      <x:c r="D142" s="24" t="str">
        <x:f>IF(A142="","",COUNTIFS($A$119:$A$218,"&gt;="&amp;A142-6,$A$119:$A$218,"&lt;="&amp;A142,$B$119:$B$218,"&gt;0"))</x:f>
      </x:c>
      <x:c r="E142" s="27"/>
      <x:c r="F142" s="27"/>
      <x:c r="G142" s="27"/>
      <x:c r="H142" s="27"/>
      <x:c r="I142" s="28"/>
      <x:c r="J142" s="28"/>
      <x:c r="K142" s="18"/>
      <x:c r="L142" s="2"/>
      <x:c r="M142" s="2"/>
    </x:row>
    <x:row r="143" ht="25" customHeight="1">
      <x:c r="A143" s="19" t="str">
        <x:f>IF(A36="","",A36)</x:f>
      </x:c>
      <x:c r="B143" s="27"/>
      <x:c r="C143" s="25" t="str">
        <x:f>IF(A143="","",IF(D143&lt;3,"",SUMIFS($B$119:$B$218,$A$119:$A$218,"&gt;="&amp;A143-6,$A$119:$A$218,"&lt;="&amp;A143,$B$119:$B$218,"&gt;0")/D143))</x:f>
      </x:c>
      <x:c r="D143" s="24" t="str">
        <x:f>IF(A143="","",COUNTIFS($A$119:$A$218,"&gt;="&amp;A143-6,$A$119:$A$218,"&lt;="&amp;A143,$B$119:$B$218,"&gt;0"))</x:f>
      </x:c>
      <x:c r="E143" s="27"/>
      <x:c r="F143" s="27"/>
      <x:c r="G143" s="27"/>
      <x:c r="H143" s="27"/>
      <x:c r="I143" s="28"/>
      <x:c r="J143" s="28"/>
      <x:c r="K143" s="18"/>
      <x:c r="L143" s="2"/>
      <x:c r="M143" s="2"/>
    </x:row>
    <x:row r="144" ht="25" customHeight="1">
      <x:c r="A144" s="19" t="str">
        <x:f>IF(A37="","",A37)</x:f>
      </x:c>
      <x:c r="B144" s="27"/>
      <x:c r="C144" s="25" t="str">
        <x:f>IF(A144="","",IF(D144&lt;3,"",SUMIFS($B$119:$B$218,$A$119:$A$218,"&gt;="&amp;A144-6,$A$119:$A$218,"&lt;="&amp;A144,$B$119:$B$218,"&gt;0")/D144))</x:f>
      </x:c>
      <x:c r="D144" s="24" t="str">
        <x:f>IF(A144="","",COUNTIFS($A$119:$A$218,"&gt;="&amp;A144-6,$A$119:$A$218,"&lt;="&amp;A144,$B$119:$B$218,"&gt;0"))</x:f>
      </x:c>
      <x:c r="E144" s="27"/>
      <x:c r="F144" s="27"/>
      <x:c r="G144" s="27"/>
      <x:c r="H144" s="27"/>
      <x:c r="I144" s="28"/>
      <x:c r="J144" s="28"/>
      <x:c r="K144" s="18"/>
      <x:c r="L144" s="2"/>
      <x:c r="M144" s="2"/>
    </x:row>
    <x:row r="145" ht="25" customHeight="1">
      <x:c r="A145" s="19" t="str">
        <x:f>IF(A38="","",A38)</x:f>
      </x:c>
      <x:c r="B145" s="27"/>
      <x:c r="C145" s="25" t="str">
        <x:f>IF(A145="","",IF(D145&lt;3,"",SUMIFS($B$119:$B$218,$A$119:$A$218,"&gt;="&amp;A145-6,$A$119:$A$218,"&lt;="&amp;A145,$B$119:$B$218,"&gt;0")/D145))</x:f>
      </x:c>
      <x:c r="D145" s="24" t="str">
        <x:f>IF(A145="","",COUNTIFS($A$119:$A$218,"&gt;="&amp;A145-6,$A$119:$A$218,"&lt;="&amp;A145,$B$119:$B$218,"&gt;0"))</x:f>
      </x:c>
      <x:c r="E145" s="27"/>
      <x:c r="F145" s="27"/>
      <x:c r="G145" s="27"/>
      <x:c r="H145" s="27"/>
      <x:c r="I145" s="28"/>
      <x:c r="J145" s="28"/>
      <x:c r="K145" s="18"/>
      <x:c r="L145" s="2"/>
      <x:c r="M145" s="2"/>
    </x:row>
    <x:row r="146" ht="25" customHeight="1">
      <x:c r="A146" s="19" t="str">
        <x:f>IF(A39="","",A39)</x:f>
      </x:c>
      <x:c r="B146" s="27"/>
      <x:c r="C146" s="25" t="str">
        <x:f>IF(A146="","",IF(D146&lt;3,"",SUMIFS($B$119:$B$218,$A$119:$A$218,"&gt;="&amp;A146-6,$A$119:$A$218,"&lt;="&amp;A146,$B$119:$B$218,"&gt;0")/D146))</x:f>
      </x:c>
      <x:c r="D146" s="24" t="str">
        <x:f>IF(A146="","",COUNTIFS($A$119:$A$218,"&gt;="&amp;A146-6,$A$119:$A$218,"&lt;="&amp;A146,$B$119:$B$218,"&gt;0"))</x:f>
      </x:c>
      <x:c r="E146" s="27"/>
      <x:c r="F146" s="27"/>
      <x:c r="G146" s="27"/>
      <x:c r="H146" s="27"/>
      <x:c r="I146" s="28"/>
      <x:c r="J146" s="28"/>
      <x:c r="K146" s="18"/>
      <x:c r="L146" s="2"/>
      <x:c r="M146" s="2"/>
    </x:row>
    <x:row r="147" ht="25" customHeight="1">
      <x:c r="A147" s="19" t="str">
        <x:f>IF(A40="","",A40)</x:f>
      </x:c>
      <x:c r="B147" s="27"/>
      <x:c r="C147" s="25" t="str">
        <x:f>IF(A147="","",IF(D147&lt;3,"",SUMIFS($B$119:$B$218,$A$119:$A$218,"&gt;="&amp;A147-6,$A$119:$A$218,"&lt;="&amp;A147,$B$119:$B$218,"&gt;0")/D147))</x:f>
      </x:c>
      <x:c r="D147" s="24" t="str">
        <x:f>IF(A147="","",COUNTIFS($A$119:$A$218,"&gt;="&amp;A147-6,$A$119:$A$218,"&lt;="&amp;A147,$B$119:$B$218,"&gt;0"))</x:f>
      </x:c>
      <x:c r="E147" s="27"/>
      <x:c r="F147" s="27"/>
      <x:c r="G147" s="27"/>
      <x:c r="H147" s="27"/>
      <x:c r="I147" s="28"/>
      <x:c r="J147" s="28"/>
      <x:c r="K147" s="18"/>
      <x:c r="L147" s="2"/>
      <x:c r="M147" s="2"/>
    </x:row>
    <x:row r="148" ht="25" customHeight="1">
      <x:c r="A148" s="19" t="str">
        <x:f>IF(A41="","",A41)</x:f>
      </x:c>
      <x:c r="B148" s="27"/>
      <x:c r="C148" s="25" t="str">
        <x:f>IF(A148="","",IF(D148&lt;3,"",SUMIFS($B$119:$B$218,$A$119:$A$218,"&gt;="&amp;A148-6,$A$119:$A$218,"&lt;="&amp;A148,$B$119:$B$218,"&gt;0")/D148))</x:f>
      </x:c>
      <x:c r="D148" s="24" t="str">
        <x:f>IF(A148="","",COUNTIFS($A$119:$A$218,"&gt;="&amp;A148-6,$A$119:$A$218,"&lt;="&amp;A148,$B$119:$B$218,"&gt;0"))</x:f>
      </x:c>
      <x:c r="E148" s="27"/>
      <x:c r="F148" s="27"/>
      <x:c r="G148" s="27"/>
      <x:c r="H148" s="27"/>
      <x:c r="I148" s="28"/>
      <x:c r="J148" s="28"/>
      <x:c r="K148" s="18"/>
      <x:c r="L148" s="2"/>
      <x:c r="M148" s="2"/>
    </x:row>
    <x:row r="149" ht="25" customHeight="1">
      <x:c r="A149" s="19" t="str">
        <x:f>IF(A42="","",A42)</x:f>
      </x:c>
      <x:c r="B149" s="27"/>
      <x:c r="C149" s="25" t="str">
        <x:f>IF(A149="","",IF(D149&lt;3,"",SUMIFS($B$119:$B$218,$A$119:$A$218,"&gt;="&amp;A149-6,$A$119:$A$218,"&lt;="&amp;A149,$B$119:$B$218,"&gt;0")/D149))</x:f>
      </x:c>
      <x:c r="D149" s="24" t="str">
        <x:f>IF(A149="","",COUNTIFS($A$119:$A$218,"&gt;="&amp;A149-6,$A$119:$A$218,"&lt;="&amp;A149,$B$119:$B$218,"&gt;0"))</x:f>
      </x:c>
      <x:c r="E149" s="27"/>
      <x:c r="F149" s="27"/>
      <x:c r="G149" s="27"/>
      <x:c r="H149" s="27"/>
      <x:c r="I149" s="28"/>
      <x:c r="J149" s="28"/>
      <x:c r="K149" s="18"/>
      <x:c r="L149" s="2"/>
      <x:c r="M149" s="2"/>
    </x:row>
    <x:row r="150" ht="25" customHeight="1">
      <x:c r="A150" s="19" t="str">
        <x:f>IF(A43="","",A43)</x:f>
      </x:c>
      <x:c r="B150" s="27"/>
      <x:c r="C150" s="25" t="str">
        <x:f>IF(A150="","",IF(D150&lt;3,"",SUMIFS($B$119:$B$218,$A$119:$A$218,"&gt;="&amp;A150-6,$A$119:$A$218,"&lt;="&amp;A150,$B$119:$B$218,"&gt;0")/D150))</x:f>
      </x:c>
      <x:c r="D150" s="24" t="str">
        <x:f>IF(A150="","",COUNTIFS($A$119:$A$218,"&gt;="&amp;A150-6,$A$119:$A$218,"&lt;="&amp;A150,$B$119:$B$218,"&gt;0"))</x:f>
      </x:c>
      <x:c r="E150" s="27"/>
      <x:c r="F150" s="27"/>
      <x:c r="G150" s="27"/>
      <x:c r="H150" s="27"/>
      <x:c r="I150" s="28"/>
      <x:c r="J150" s="28"/>
      <x:c r="K150" s="18"/>
      <x:c r="L150" s="2"/>
      <x:c r="M150" s="2"/>
    </x:row>
    <x:row r="151" ht="25" customHeight="1">
      <x:c r="A151" s="19" t="str">
        <x:f>IF(A44="","",A44)</x:f>
      </x:c>
      <x:c r="B151" s="27"/>
      <x:c r="C151" s="25" t="str">
        <x:f>IF(A151="","",IF(D151&lt;3,"",SUMIFS($B$119:$B$218,$A$119:$A$218,"&gt;="&amp;A151-6,$A$119:$A$218,"&lt;="&amp;A151,$B$119:$B$218,"&gt;0")/D151))</x:f>
      </x:c>
      <x:c r="D151" s="24" t="str">
        <x:f>IF(A151="","",COUNTIFS($A$119:$A$218,"&gt;="&amp;A151-6,$A$119:$A$218,"&lt;="&amp;A151,$B$119:$B$218,"&gt;0"))</x:f>
      </x:c>
      <x:c r="E151" s="27"/>
      <x:c r="F151" s="27"/>
      <x:c r="G151" s="27"/>
      <x:c r="H151" s="27"/>
      <x:c r="I151" s="28"/>
      <x:c r="J151" s="28"/>
      <x:c r="K151" s="18"/>
      <x:c r="L151" s="2"/>
      <x:c r="M151" s="2"/>
    </x:row>
    <x:row r="152" ht="25" customHeight="1">
      <x:c r="A152" s="19" t="str">
        <x:f>IF(A45="","",A45)</x:f>
      </x:c>
      <x:c r="B152" s="27"/>
      <x:c r="C152" s="25" t="str">
        <x:f>IF(A152="","",IF(D152&lt;3,"",SUMIFS($B$119:$B$218,$A$119:$A$218,"&gt;="&amp;A152-6,$A$119:$A$218,"&lt;="&amp;A152,$B$119:$B$218,"&gt;0")/D152))</x:f>
      </x:c>
      <x:c r="D152" s="24" t="str">
        <x:f>IF(A152="","",COUNTIFS($A$119:$A$218,"&gt;="&amp;A152-6,$A$119:$A$218,"&lt;="&amp;A152,$B$119:$B$218,"&gt;0"))</x:f>
      </x:c>
      <x:c r="E152" s="27"/>
      <x:c r="F152" s="27"/>
      <x:c r="G152" s="27"/>
      <x:c r="H152" s="27"/>
      <x:c r="I152" s="28"/>
      <x:c r="J152" s="28"/>
      <x:c r="K152" s="18"/>
      <x:c r="L152" s="2"/>
      <x:c r="M152" s="2"/>
    </x:row>
    <x:row r="153" ht="25" customHeight="1">
      <x:c r="A153" s="19" t="str">
        <x:f>IF(A46="","",A46)</x:f>
      </x:c>
      <x:c r="B153" s="27"/>
      <x:c r="C153" s="25" t="str">
        <x:f>IF(A153="","",IF(D153&lt;3,"",SUMIFS($B$119:$B$218,$A$119:$A$218,"&gt;="&amp;A153-6,$A$119:$A$218,"&lt;="&amp;A153,$B$119:$B$218,"&gt;0")/D153))</x:f>
      </x:c>
      <x:c r="D153" s="24" t="str">
        <x:f>IF(A153="","",COUNTIFS($A$119:$A$218,"&gt;="&amp;A153-6,$A$119:$A$218,"&lt;="&amp;A153,$B$119:$B$218,"&gt;0"))</x:f>
      </x:c>
      <x:c r="E153" s="27"/>
      <x:c r="F153" s="27"/>
      <x:c r="G153" s="27"/>
      <x:c r="H153" s="27"/>
      <x:c r="I153" s="28"/>
      <x:c r="J153" s="28"/>
      <x:c r="K153" s="18"/>
      <x:c r="L153" s="2"/>
      <x:c r="M153" s="2"/>
    </x:row>
    <x:row r="154" ht="25" customHeight="1">
      <x:c r="A154" s="19" t="str">
        <x:f>IF(A47="","",A47)</x:f>
      </x:c>
      <x:c r="B154" s="27"/>
      <x:c r="C154" s="25" t="str">
        <x:f>IF(A154="","",IF(D154&lt;3,"",SUMIFS($B$119:$B$218,$A$119:$A$218,"&gt;="&amp;A154-6,$A$119:$A$218,"&lt;="&amp;A154,$B$119:$B$218,"&gt;0")/D154))</x:f>
      </x:c>
      <x:c r="D154" s="24" t="str">
        <x:f>IF(A154="","",COUNTIFS($A$119:$A$218,"&gt;="&amp;A154-6,$A$119:$A$218,"&lt;="&amp;A154,$B$119:$B$218,"&gt;0"))</x:f>
      </x:c>
      <x:c r="E154" s="27"/>
      <x:c r="F154" s="27"/>
      <x:c r="G154" s="27"/>
      <x:c r="H154" s="27"/>
      <x:c r="I154" s="28"/>
      <x:c r="J154" s="28"/>
      <x:c r="K154" s="18"/>
      <x:c r="L154" s="2"/>
      <x:c r="M154" s="2"/>
    </x:row>
    <x:row r="155" ht="25" customHeight="1">
      <x:c r="A155" s="19" t="str">
        <x:f>IF(A48="","",A48)</x:f>
      </x:c>
      <x:c r="B155" s="27"/>
      <x:c r="C155" s="25" t="str">
        <x:f>IF(A155="","",IF(D155&lt;3,"",SUMIFS($B$119:$B$218,$A$119:$A$218,"&gt;="&amp;A155-6,$A$119:$A$218,"&lt;="&amp;A155,$B$119:$B$218,"&gt;0")/D155))</x:f>
      </x:c>
      <x:c r="D155" s="24" t="str">
        <x:f>IF(A155="","",COUNTIFS($A$119:$A$218,"&gt;="&amp;A155-6,$A$119:$A$218,"&lt;="&amp;A155,$B$119:$B$218,"&gt;0"))</x:f>
      </x:c>
      <x:c r="E155" s="27"/>
      <x:c r="F155" s="27"/>
      <x:c r="G155" s="27"/>
      <x:c r="H155" s="27"/>
      <x:c r="I155" s="28"/>
      <x:c r="J155" s="28"/>
      <x:c r="K155" s="18"/>
      <x:c r="L155" s="2"/>
      <x:c r="M155" s="2"/>
    </x:row>
    <x:row r="156" ht="25" customHeight="1">
      <x:c r="A156" s="19" t="str">
        <x:f>IF(A49="","",A49)</x:f>
      </x:c>
      <x:c r="B156" s="27"/>
      <x:c r="C156" s="25" t="str">
        <x:f>IF(A156="","",IF(D156&lt;3,"",SUMIFS($B$119:$B$218,$A$119:$A$218,"&gt;="&amp;A156-6,$A$119:$A$218,"&lt;="&amp;A156,$B$119:$B$218,"&gt;0")/D156))</x:f>
      </x:c>
      <x:c r="D156" s="24" t="str">
        <x:f>IF(A156="","",COUNTIFS($A$119:$A$218,"&gt;="&amp;A156-6,$A$119:$A$218,"&lt;="&amp;A156,$B$119:$B$218,"&gt;0"))</x:f>
      </x:c>
      <x:c r="E156" s="27"/>
      <x:c r="F156" s="27"/>
      <x:c r="G156" s="27"/>
      <x:c r="H156" s="27"/>
      <x:c r="I156" s="28"/>
      <x:c r="J156" s="28"/>
      <x:c r="K156" s="18"/>
      <x:c r="L156" s="2"/>
      <x:c r="M156" s="2"/>
    </x:row>
    <x:row r="157" ht="25" customHeight="1">
      <x:c r="A157" s="19" t="str">
        <x:f>IF(A50="","",A50)</x:f>
      </x:c>
      <x:c r="B157" s="27"/>
      <x:c r="C157" s="25" t="str">
        <x:f>IF(A157="","",IF(D157&lt;3,"",SUMIFS($B$119:$B$218,$A$119:$A$218,"&gt;="&amp;A157-6,$A$119:$A$218,"&lt;="&amp;A157,$B$119:$B$218,"&gt;0")/D157))</x:f>
      </x:c>
      <x:c r="D157" s="24" t="str">
        <x:f>IF(A157="","",COUNTIFS($A$119:$A$218,"&gt;="&amp;A157-6,$A$119:$A$218,"&lt;="&amp;A157,$B$119:$B$218,"&gt;0"))</x:f>
      </x:c>
      <x:c r="E157" s="27"/>
      <x:c r="F157" s="27"/>
      <x:c r="G157" s="27"/>
      <x:c r="H157" s="27"/>
      <x:c r="I157" s="28"/>
      <x:c r="J157" s="28"/>
      <x:c r="K157" s="18"/>
      <x:c r="L157" s="2"/>
      <x:c r="M157" s="2"/>
    </x:row>
    <x:row r="158" ht="25" customHeight="1">
      <x:c r="A158" s="19" t="str">
        <x:f>IF(A51="","",A51)</x:f>
      </x:c>
      <x:c r="B158" s="27"/>
      <x:c r="C158" s="25" t="str">
        <x:f>IF(A158="","",IF(D158&lt;3,"",SUMIFS($B$119:$B$218,$A$119:$A$218,"&gt;="&amp;A158-6,$A$119:$A$218,"&lt;="&amp;A158,$B$119:$B$218,"&gt;0")/D158))</x:f>
      </x:c>
      <x:c r="D158" s="24" t="str">
        <x:f>IF(A158="","",COUNTIFS($A$119:$A$218,"&gt;="&amp;A158-6,$A$119:$A$218,"&lt;="&amp;A158,$B$119:$B$218,"&gt;0"))</x:f>
      </x:c>
      <x:c r="E158" s="27"/>
      <x:c r="F158" s="27"/>
      <x:c r="G158" s="27"/>
      <x:c r="H158" s="27"/>
      <x:c r="I158" s="28"/>
      <x:c r="J158" s="28"/>
      <x:c r="K158" s="18"/>
      <x:c r="L158" s="2"/>
      <x:c r="M158" s="2"/>
    </x:row>
    <x:row r="159" ht="25" customHeight="1">
      <x:c r="A159" s="19" t="str">
        <x:f>IF(A52="","",A52)</x:f>
      </x:c>
      <x:c r="B159" s="27"/>
      <x:c r="C159" s="25" t="str">
        <x:f>IF(A159="","",IF(D159&lt;3,"",SUMIFS($B$119:$B$218,$A$119:$A$218,"&gt;="&amp;A159-6,$A$119:$A$218,"&lt;="&amp;A159,$B$119:$B$218,"&gt;0")/D159))</x:f>
      </x:c>
      <x:c r="D159" s="24" t="str">
        <x:f>IF(A159="","",COUNTIFS($A$119:$A$218,"&gt;="&amp;A159-6,$A$119:$A$218,"&lt;="&amp;A159,$B$119:$B$218,"&gt;0"))</x:f>
      </x:c>
      <x:c r="E159" s="27"/>
      <x:c r="F159" s="27"/>
      <x:c r="G159" s="27"/>
      <x:c r="H159" s="27"/>
      <x:c r="I159" s="28"/>
      <x:c r="J159" s="28"/>
      <x:c r="K159" s="18"/>
      <x:c r="L159" s="2"/>
      <x:c r="M159" s="2"/>
    </x:row>
    <x:row r="160" ht="25" customHeight="1">
      <x:c r="A160" s="19" t="str">
        <x:f>IF(A53="","",A53)</x:f>
      </x:c>
      <x:c r="B160" s="27"/>
      <x:c r="C160" s="25" t="str">
        <x:f>IF(A160="","",IF(D160&lt;3,"",SUMIFS($B$119:$B$218,$A$119:$A$218,"&gt;="&amp;A160-6,$A$119:$A$218,"&lt;="&amp;A160,$B$119:$B$218,"&gt;0")/D160))</x:f>
      </x:c>
      <x:c r="D160" s="24" t="str">
        <x:f>IF(A160="","",COUNTIFS($A$119:$A$218,"&gt;="&amp;A160-6,$A$119:$A$218,"&lt;="&amp;A160,$B$119:$B$218,"&gt;0"))</x:f>
      </x:c>
      <x:c r="E160" s="27"/>
      <x:c r="F160" s="27"/>
      <x:c r="G160" s="27"/>
      <x:c r="H160" s="27"/>
      <x:c r="I160" s="28"/>
      <x:c r="J160" s="28"/>
      <x:c r="K160" s="18"/>
      <x:c r="L160" s="2"/>
      <x:c r="M160" s="2"/>
    </x:row>
    <x:row r="161" ht="25" customHeight="1">
      <x:c r="A161" s="19" t="str">
        <x:f>IF(A54="","",A54)</x:f>
      </x:c>
      <x:c r="B161" s="27"/>
      <x:c r="C161" s="25" t="str">
        <x:f>IF(A161="","",IF(D161&lt;3,"",SUMIFS($B$119:$B$218,$A$119:$A$218,"&gt;="&amp;A161-6,$A$119:$A$218,"&lt;="&amp;A161,$B$119:$B$218,"&gt;0")/D161))</x:f>
      </x:c>
      <x:c r="D161" s="24" t="str">
        <x:f>IF(A161="","",COUNTIFS($A$119:$A$218,"&gt;="&amp;A161-6,$A$119:$A$218,"&lt;="&amp;A161,$B$119:$B$218,"&gt;0"))</x:f>
      </x:c>
      <x:c r="E161" s="27"/>
      <x:c r="F161" s="27"/>
      <x:c r="G161" s="27"/>
      <x:c r="H161" s="27"/>
      <x:c r="I161" s="28"/>
      <x:c r="J161" s="28"/>
      <x:c r="K161" s="18"/>
      <x:c r="L161" s="2"/>
      <x:c r="M161" s="2"/>
    </x:row>
    <x:row r="162" ht="25" customHeight="1">
      <x:c r="A162" s="19" t="str">
        <x:f>IF(A55="","",A55)</x:f>
      </x:c>
      <x:c r="B162" s="27"/>
      <x:c r="C162" s="25" t="str">
        <x:f>IF(A162="","",IF(D162&lt;3,"",SUMIFS($B$119:$B$218,$A$119:$A$218,"&gt;="&amp;A162-6,$A$119:$A$218,"&lt;="&amp;A162,$B$119:$B$218,"&gt;0")/D162))</x:f>
      </x:c>
      <x:c r="D162" s="24" t="str">
        <x:f>IF(A162="","",COUNTIFS($A$119:$A$218,"&gt;="&amp;A162-6,$A$119:$A$218,"&lt;="&amp;A162,$B$119:$B$218,"&gt;0"))</x:f>
      </x:c>
      <x:c r="E162" s="27"/>
      <x:c r="F162" s="27"/>
      <x:c r="G162" s="27"/>
      <x:c r="H162" s="27"/>
      <x:c r="I162" s="28"/>
      <x:c r="J162" s="28"/>
      <x:c r="K162" s="18"/>
      <x:c r="L162" s="2"/>
      <x:c r="M162" s="2"/>
    </x:row>
    <x:row r="163" ht="25" customHeight="1">
      <x:c r="A163" s="19" t="str">
        <x:f>IF(A56="","",A56)</x:f>
      </x:c>
      <x:c r="B163" s="27"/>
      <x:c r="C163" s="25" t="str">
        <x:f>IF(A163="","",IF(D163&lt;3,"",SUMIFS($B$119:$B$218,$A$119:$A$218,"&gt;="&amp;A163-6,$A$119:$A$218,"&lt;="&amp;A163,$B$119:$B$218,"&gt;0")/D163))</x:f>
      </x:c>
      <x:c r="D163" s="24" t="str">
        <x:f>IF(A163="","",COUNTIFS($A$119:$A$218,"&gt;="&amp;A163-6,$A$119:$A$218,"&lt;="&amp;A163,$B$119:$B$218,"&gt;0"))</x:f>
      </x:c>
      <x:c r="E163" s="27"/>
      <x:c r="F163" s="27"/>
      <x:c r="G163" s="27"/>
      <x:c r="H163" s="27"/>
      <x:c r="I163" s="28"/>
      <x:c r="J163" s="28"/>
      <x:c r="K163" s="18"/>
      <x:c r="L163" s="2"/>
      <x:c r="M163" s="2"/>
    </x:row>
    <x:row r="164" ht="25" customHeight="1">
      <x:c r="A164" s="19" t="str">
        <x:f>IF(A57="","",A57)</x:f>
      </x:c>
      <x:c r="B164" s="27"/>
      <x:c r="C164" s="25" t="str">
        <x:f>IF(A164="","",IF(D164&lt;3,"",SUMIFS($B$119:$B$218,$A$119:$A$218,"&gt;="&amp;A164-6,$A$119:$A$218,"&lt;="&amp;A164,$B$119:$B$218,"&gt;0")/D164))</x:f>
      </x:c>
      <x:c r="D164" s="24" t="str">
        <x:f>IF(A164="","",COUNTIFS($A$119:$A$218,"&gt;="&amp;A164-6,$A$119:$A$218,"&lt;="&amp;A164,$B$119:$B$218,"&gt;0"))</x:f>
      </x:c>
      <x:c r="E164" s="27"/>
      <x:c r="F164" s="27"/>
      <x:c r="G164" s="27"/>
      <x:c r="H164" s="27"/>
      <x:c r="I164" s="28"/>
      <x:c r="J164" s="28"/>
      <x:c r="K164" s="18"/>
      <x:c r="L164" s="2"/>
      <x:c r="M164" s="2"/>
    </x:row>
    <x:row r="165" ht="25" customHeight="1">
      <x:c r="A165" s="19" t="str">
        <x:f>IF(A58="","",A58)</x:f>
      </x:c>
      <x:c r="B165" s="27"/>
      <x:c r="C165" s="25" t="str">
        <x:f>IF(A165="","",IF(D165&lt;3,"",SUMIFS($B$119:$B$218,$A$119:$A$218,"&gt;="&amp;A165-6,$A$119:$A$218,"&lt;="&amp;A165,$B$119:$B$218,"&gt;0")/D165))</x:f>
      </x:c>
      <x:c r="D165" s="24" t="str">
        <x:f>IF(A165="","",COUNTIFS($A$119:$A$218,"&gt;="&amp;A165-6,$A$119:$A$218,"&lt;="&amp;A165,$B$119:$B$218,"&gt;0"))</x:f>
      </x:c>
      <x:c r="E165" s="27"/>
      <x:c r="F165" s="27"/>
      <x:c r="G165" s="27"/>
      <x:c r="H165" s="27"/>
      <x:c r="I165" s="28"/>
      <x:c r="J165" s="28"/>
      <x:c r="K165" s="18"/>
      <x:c r="L165" s="2"/>
      <x:c r="M165" s="2"/>
    </x:row>
    <x:row r="166" ht="25" customHeight="1">
      <x:c r="A166" s="19" t="str">
        <x:f>IF(A59="","",A59)</x:f>
      </x:c>
      <x:c r="B166" s="27"/>
      <x:c r="C166" s="25" t="str">
        <x:f>IF(A166="","",IF(D166&lt;3,"",SUMIFS($B$119:$B$218,$A$119:$A$218,"&gt;="&amp;A166-6,$A$119:$A$218,"&lt;="&amp;A166,$B$119:$B$218,"&gt;0")/D166))</x:f>
      </x:c>
      <x:c r="D166" s="24" t="str">
        <x:f>IF(A166="","",COUNTIFS($A$119:$A$218,"&gt;="&amp;A166-6,$A$119:$A$218,"&lt;="&amp;A166,$B$119:$B$218,"&gt;0"))</x:f>
      </x:c>
      <x:c r="E166" s="27"/>
      <x:c r="F166" s="27"/>
      <x:c r="G166" s="27"/>
      <x:c r="H166" s="27"/>
      <x:c r="I166" s="28"/>
      <x:c r="J166" s="28"/>
      <x:c r="K166" s="18"/>
      <x:c r="L166" s="2"/>
      <x:c r="M166" s="2"/>
    </x:row>
    <x:row r="167" ht="25" customHeight="1">
      <x:c r="A167" s="19" t="str">
        <x:f>IF(A60="","",A60)</x:f>
      </x:c>
      <x:c r="B167" s="27"/>
      <x:c r="C167" s="25" t="str">
        <x:f>IF(A167="","",IF(D167&lt;3,"",SUMIFS($B$119:$B$218,$A$119:$A$218,"&gt;="&amp;A167-6,$A$119:$A$218,"&lt;="&amp;A167,$B$119:$B$218,"&gt;0")/D167))</x:f>
      </x:c>
      <x:c r="D167" s="24" t="str">
        <x:f>IF(A167="","",COUNTIFS($A$119:$A$218,"&gt;="&amp;A167-6,$A$119:$A$218,"&lt;="&amp;A167,$B$119:$B$218,"&gt;0"))</x:f>
      </x:c>
      <x:c r="E167" s="27"/>
      <x:c r="F167" s="27"/>
      <x:c r="G167" s="27"/>
      <x:c r="H167" s="27"/>
      <x:c r="I167" s="28"/>
      <x:c r="J167" s="28"/>
      <x:c r="K167" s="18"/>
      <x:c r="L167" s="2"/>
      <x:c r="M167" s="2"/>
    </x:row>
    <x:row r="168" ht="25" customHeight="1">
      <x:c r="A168" s="19" t="str">
        <x:f>IF(A61="","",A61)</x:f>
      </x:c>
      <x:c r="B168" s="27"/>
      <x:c r="C168" s="25" t="str">
        <x:f>IF(A168="","",IF(D168&lt;3,"",SUMIFS($B$119:$B$218,$A$119:$A$218,"&gt;="&amp;A168-6,$A$119:$A$218,"&lt;="&amp;A168,$B$119:$B$218,"&gt;0")/D168))</x:f>
      </x:c>
      <x:c r="D168" s="24" t="str">
        <x:f>IF(A168="","",COUNTIFS($A$119:$A$218,"&gt;="&amp;A168-6,$A$119:$A$218,"&lt;="&amp;A168,$B$119:$B$218,"&gt;0"))</x:f>
      </x:c>
      <x:c r="E168" s="27"/>
      <x:c r="F168" s="27"/>
      <x:c r="G168" s="27"/>
      <x:c r="H168" s="27"/>
      <x:c r="I168" s="28"/>
      <x:c r="J168" s="28"/>
      <x:c r="K168" s="18"/>
      <x:c r="L168" s="2"/>
      <x:c r="M168" s="2"/>
    </x:row>
    <x:row r="169" ht="25" customHeight="1">
      <x:c r="A169" s="19" t="str">
        <x:f>IF(A62="","",A62)</x:f>
      </x:c>
      <x:c r="B169" s="27"/>
      <x:c r="C169" s="25" t="str">
        <x:f>IF(A169="","",IF(D169&lt;3,"",SUMIFS($B$119:$B$218,$A$119:$A$218,"&gt;="&amp;A169-6,$A$119:$A$218,"&lt;="&amp;A169,$B$119:$B$218,"&gt;0")/D169))</x:f>
      </x:c>
      <x:c r="D169" s="24" t="str">
        <x:f>IF(A169="","",COUNTIFS($A$119:$A$218,"&gt;="&amp;A169-6,$A$119:$A$218,"&lt;="&amp;A169,$B$119:$B$218,"&gt;0"))</x:f>
      </x:c>
      <x:c r="E169" s="27"/>
      <x:c r="F169" s="27"/>
      <x:c r="G169" s="27"/>
      <x:c r="H169" s="27"/>
      <x:c r="I169" s="28"/>
      <x:c r="J169" s="28"/>
      <x:c r="K169" s="18"/>
      <x:c r="L169" s="2"/>
      <x:c r="M169" s="2"/>
    </x:row>
    <x:row r="170" ht="25" customHeight="1">
      <x:c r="A170" s="19" t="str">
        <x:f>IF(A63="","",A63)</x:f>
      </x:c>
      <x:c r="B170" s="27"/>
      <x:c r="C170" s="25" t="str">
        <x:f>IF(A170="","",IF(D170&lt;3,"",SUMIFS($B$119:$B$218,$A$119:$A$218,"&gt;="&amp;A170-6,$A$119:$A$218,"&lt;="&amp;A170,$B$119:$B$218,"&gt;0")/D170))</x:f>
      </x:c>
      <x:c r="D170" s="24" t="str">
        <x:f>IF(A170="","",COUNTIFS($A$119:$A$218,"&gt;="&amp;A170-6,$A$119:$A$218,"&lt;="&amp;A170,$B$119:$B$218,"&gt;0"))</x:f>
      </x:c>
      <x:c r="E170" s="27"/>
      <x:c r="F170" s="27"/>
      <x:c r="G170" s="27"/>
      <x:c r="H170" s="27"/>
      <x:c r="I170" s="28"/>
      <x:c r="J170" s="28"/>
      <x:c r="K170" s="18"/>
      <x:c r="L170" s="2"/>
      <x:c r="M170" s="2"/>
    </x:row>
    <x:row r="171" ht="25" customHeight="1">
      <x:c r="A171" s="19" t="str">
        <x:f>IF(A64="","",A64)</x:f>
      </x:c>
      <x:c r="B171" s="27"/>
      <x:c r="C171" s="25" t="str">
        <x:f>IF(A171="","",IF(D171&lt;3,"",SUMIFS($B$119:$B$218,$A$119:$A$218,"&gt;="&amp;A171-6,$A$119:$A$218,"&lt;="&amp;A171,$B$119:$B$218,"&gt;0")/D171))</x:f>
      </x:c>
      <x:c r="D171" s="24" t="str">
        <x:f>IF(A171="","",COUNTIFS($A$119:$A$218,"&gt;="&amp;A171-6,$A$119:$A$218,"&lt;="&amp;A171,$B$119:$B$218,"&gt;0"))</x:f>
      </x:c>
      <x:c r="E171" s="27"/>
      <x:c r="F171" s="27"/>
      <x:c r="G171" s="27"/>
      <x:c r="H171" s="27"/>
      <x:c r="I171" s="28"/>
      <x:c r="J171" s="28"/>
      <x:c r="K171" s="18"/>
      <x:c r="L171" s="2"/>
      <x:c r="M171" s="2"/>
    </x:row>
    <x:row r="172" ht="25" customHeight="1">
      <x:c r="A172" s="19" t="str">
        <x:f>IF(A65="","",A65)</x:f>
      </x:c>
      <x:c r="B172" s="27"/>
      <x:c r="C172" s="25" t="str">
        <x:f>IF(A172="","",IF(D172&lt;3,"",SUMIFS($B$119:$B$218,$A$119:$A$218,"&gt;="&amp;A172-6,$A$119:$A$218,"&lt;="&amp;A172,$B$119:$B$218,"&gt;0")/D172))</x:f>
      </x:c>
      <x:c r="D172" s="24" t="str">
        <x:f>IF(A172="","",COUNTIFS($A$119:$A$218,"&gt;="&amp;A172-6,$A$119:$A$218,"&lt;="&amp;A172,$B$119:$B$218,"&gt;0"))</x:f>
      </x:c>
      <x:c r="E172" s="27"/>
      <x:c r="F172" s="27"/>
      <x:c r="G172" s="27"/>
      <x:c r="H172" s="27"/>
      <x:c r="I172" s="28"/>
      <x:c r="J172" s="28"/>
      <x:c r="K172" s="18"/>
      <x:c r="L172" s="2"/>
      <x:c r="M172" s="2"/>
    </x:row>
    <x:row r="173" ht="25" customHeight="1">
      <x:c r="A173" s="19" t="str">
        <x:f>IF(A66="","",A66)</x:f>
      </x:c>
      <x:c r="B173" s="27"/>
      <x:c r="C173" s="25" t="str">
        <x:f>IF(A173="","",IF(D173&lt;3,"",SUMIFS($B$119:$B$218,$A$119:$A$218,"&gt;="&amp;A173-6,$A$119:$A$218,"&lt;="&amp;A173,$B$119:$B$218,"&gt;0")/D173))</x:f>
      </x:c>
      <x:c r="D173" s="24" t="str">
        <x:f>IF(A173="","",COUNTIFS($A$119:$A$218,"&gt;="&amp;A173-6,$A$119:$A$218,"&lt;="&amp;A173,$B$119:$B$218,"&gt;0"))</x:f>
      </x:c>
      <x:c r="E173" s="27"/>
      <x:c r="F173" s="27"/>
      <x:c r="G173" s="27"/>
      <x:c r="H173" s="27"/>
      <x:c r="I173" s="28"/>
      <x:c r="J173" s="28"/>
      <x:c r="K173" s="18"/>
      <x:c r="L173" s="2"/>
      <x:c r="M173" s="2"/>
    </x:row>
    <x:row r="174" ht="25" customHeight="1">
      <x:c r="A174" s="19" t="str">
        <x:f>IF(A67="","",A67)</x:f>
      </x:c>
      <x:c r="B174" s="27"/>
      <x:c r="C174" s="25" t="str">
        <x:f>IF(A174="","",IF(D174&lt;3,"",SUMIFS($B$119:$B$218,$A$119:$A$218,"&gt;="&amp;A174-6,$A$119:$A$218,"&lt;="&amp;A174,$B$119:$B$218,"&gt;0")/D174))</x:f>
      </x:c>
      <x:c r="D174" s="24" t="str">
        <x:f>IF(A174="","",COUNTIFS($A$119:$A$218,"&gt;="&amp;A174-6,$A$119:$A$218,"&lt;="&amp;A174,$B$119:$B$218,"&gt;0"))</x:f>
      </x:c>
      <x:c r="E174" s="27"/>
      <x:c r="F174" s="27"/>
      <x:c r="G174" s="27"/>
      <x:c r="H174" s="27"/>
      <x:c r="I174" s="28"/>
      <x:c r="J174" s="28"/>
      <x:c r="K174" s="18"/>
      <x:c r="L174" s="2"/>
      <x:c r="M174" s="2"/>
    </x:row>
    <x:row r="175" ht="25" customHeight="1">
      <x:c r="A175" s="19" t="str">
        <x:f>IF(A68="","",A68)</x:f>
      </x:c>
      <x:c r="B175" s="27"/>
      <x:c r="C175" s="25" t="str">
        <x:f>IF(A175="","",IF(D175&lt;3,"",SUMIFS($B$119:$B$218,$A$119:$A$218,"&gt;="&amp;A175-6,$A$119:$A$218,"&lt;="&amp;A175,$B$119:$B$218,"&gt;0")/D175))</x:f>
      </x:c>
      <x:c r="D175" s="24" t="str">
        <x:f>IF(A175="","",COUNTIFS($A$119:$A$218,"&gt;="&amp;A175-6,$A$119:$A$218,"&lt;="&amp;A175,$B$119:$B$218,"&gt;0"))</x:f>
      </x:c>
      <x:c r="E175" s="27"/>
      <x:c r="F175" s="27"/>
      <x:c r="G175" s="27"/>
      <x:c r="H175" s="27"/>
      <x:c r="I175" s="28"/>
      <x:c r="J175" s="28"/>
      <x:c r="K175" s="18"/>
      <x:c r="L175" s="2"/>
      <x:c r="M175" s="2"/>
    </x:row>
    <x:row r="176" ht="25" customHeight="1">
      <x:c r="A176" s="19" t="str">
        <x:f>IF(A69="","",A69)</x:f>
      </x:c>
      <x:c r="B176" s="27"/>
      <x:c r="C176" s="25" t="str">
        <x:f>IF(A176="","",IF(D176&lt;3,"",SUMIFS($B$119:$B$218,$A$119:$A$218,"&gt;="&amp;A176-6,$A$119:$A$218,"&lt;="&amp;A176,$B$119:$B$218,"&gt;0")/D176))</x:f>
      </x:c>
      <x:c r="D176" s="24" t="str">
        <x:f>IF(A176="","",COUNTIFS($A$119:$A$218,"&gt;="&amp;A176-6,$A$119:$A$218,"&lt;="&amp;A176,$B$119:$B$218,"&gt;0"))</x:f>
      </x:c>
      <x:c r="E176" s="27"/>
      <x:c r="F176" s="27"/>
      <x:c r="G176" s="27"/>
      <x:c r="H176" s="27"/>
      <x:c r="I176" s="28"/>
      <x:c r="J176" s="28"/>
      <x:c r="K176" s="18"/>
      <x:c r="L176" s="2"/>
      <x:c r="M176" s="2"/>
    </x:row>
    <x:row r="177" ht="25" customHeight="1">
      <x:c r="A177" s="19" t="str">
        <x:f>IF(A70="","",A70)</x:f>
      </x:c>
      <x:c r="B177" s="27"/>
      <x:c r="C177" s="25" t="str">
        <x:f>IF(A177="","",IF(D177&lt;3,"",SUMIFS($B$119:$B$218,$A$119:$A$218,"&gt;="&amp;A177-6,$A$119:$A$218,"&lt;="&amp;A177,$B$119:$B$218,"&gt;0")/D177))</x:f>
      </x:c>
      <x:c r="D177" s="24" t="str">
        <x:f>IF(A177="","",COUNTIFS($A$119:$A$218,"&gt;="&amp;A177-6,$A$119:$A$218,"&lt;="&amp;A177,$B$119:$B$218,"&gt;0"))</x:f>
      </x:c>
      <x:c r="E177" s="27"/>
      <x:c r="F177" s="27"/>
      <x:c r="G177" s="27"/>
      <x:c r="H177" s="27"/>
      <x:c r="I177" s="28"/>
      <x:c r="J177" s="28"/>
      <x:c r="K177" s="18"/>
      <x:c r="L177" s="2"/>
      <x:c r="M177" s="2"/>
    </x:row>
    <x:row r="178" ht="25" customHeight="1">
      <x:c r="A178" s="19" t="str">
        <x:f>IF(A71="","",A71)</x:f>
      </x:c>
      <x:c r="B178" s="27"/>
      <x:c r="C178" s="25" t="str">
        <x:f>IF(A178="","",IF(D178&lt;3,"",SUMIFS($B$119:$B$218,$A$119:$A$218,"&gt;="&amp;A178-6,$A$119:$A$218,"&lt;="&amp;A178,$B$119:$B$218,"&gt;0")/D178))</x:f>
      </x:c>
      <x:c r="D178" s="24" t="str">
        <x:f>IF(A178="","",COUNTIFS($A$119:$A$218,"&gt;="&amp;A178-6,$A$119:$A$218,"&lt;="&amp;A178,$B$119:$B$218,"&gt;0"))</x:f>
      </x:c>
      <x:c r="E178" s="27"/>
      <x:c r="F178" s="27"/>
      <x:c r="G178" s="27"/>
      <x:c r="H178" s="27"/>
      <x:c r="I178" s="28"/>
      <x:c r="J178" s="28"/>
      <x:c r="K178" s="18"/>
      <x:c r="L178" s="2"/>
      <x:c r="M178" s="2"/>
    </x:row>
    <x:row r="179" ht="25" customHeight="1">
      <x:c r="A179" s="19" t="str">
        <x:f>IF(A72="","",A72)</x:f>
      </x:c>
      <x:c r="B179" s="27"/>
      <x:c r="C179" s="25" t="str">
        <x:f>IF(A179="","",IF(D179&lt;3,"",SUMIFS($B$119:$B$218,$A$119:$A$218,"&gt;="&amp;A179-6,$A$119:$A$218,"&lt;="&amp;A179,$B$119:$B$218,"&gt;0")/D179))</x:f>
      </x:c>
      <x:c r="D179" s="24" t="str">
        <x:f>IF(A179="","",COUNTIFS($A$119:$A$218,"&gt;="&amp;A179-6,$A$119:$A$218,"&lt;="&amp;A179,$B$119:$B$218,"&gt;0"))</x:f>
      </x:c>
      <x:c r="E179" s="27"/>
      <x:c r="F179" s="27"/>
      <x:c r="G179" s="27"/>
      <x:c r="H179" s="27"/>
      <x:c r="I179" s="28"/>
      <x:c r="J179" s="28"/>
      <x:c r="K179" s="18"/>
      <x:c r="L179" s="2"/>
      <x:c r="M179" s="2"/>
    </x:row>
    <x:row r="180" ht="25" customHeight="1">
      <x:c r="A180" s="19" t="str">
        <x:f>IF(A73="","",A73)</x:f>
      </x:c>
      <x:c r="B180" s="27"/>
      <x:c r="C180" s="25" t="str">
        <x:f>IF(A180="","",IF(D180&lt;3,"",SUMIFS($B$119:$B$218,$A$119:$A$218,"&gt;="&amp;A180-6,$A$119:$A$218,"&lt;="&amp;A180,$B$119:$B$218,"&gt;0")/D180))</x:f>
      </x:c>
      <x:c r="D180" s="24" t="str">
        <x:f>IF(A180="","",COUNTIFS($A$119:$A$218,"&gt;="&amp;A180-6,$A$119:$A$218,"&lt;="&amp;A180,$B$119:$B$218,"&gt;0"))</x:f>
      </x:c>
      <x:c r="E180" s="27"/>
      <x:c r="F180" s="27"/>
      <x:c r="G180" s="27"/>
      <x:c r="H180" s="27"/>
      <x:c r="I180" s="28"/>
      <x:c r="J180" s="28"/>
      <x:c r="K180" s="18"/>
      <x:c r="L180" s="2"/>
      <x:c r="M180" s="2"/>
    </x:row>
    <x:row r="181" ht="25" customHeight="1">
      <x:c r="A181" s="19" t="str">
        <x:f>IF(A74="","",A74)</x:f>
      </x:c>
      <x:c r="B181" s="27"/>
      <x:c r="C181" s="25" t="str">
        <x:f>IF(A181="","",IF(D181&lt;3,"",SUMIFS($B$119:$B$218,$A$119:$A$218,"&gt;="&amp;A181-6,$A$119:$A$218,"&lt;="&amp;A181,$B$119:$B$218,"&gt;0")/D181))</x:f>
      </x:c>
      <x:c r="D181" s="24" t="str">
        <x:f>IF(A181="","",COUNTIFS($A$119:$A$218,"&gt;="&amp;A181-6,$A$119:$A$218,"&lt;="&amp;A181,$B$119:$B$218,"&gt;0"))</x:f>
      </x:c>
      <x:c r="E181" s="27"/>
      <x:c r="F181" s="27"/>
      <x:c r="G181" s="27"/>
      <x:c r="H181" s="27"/>
      <x:c r="I181" s="28"/>
      <x:c r="J181" s="28"/>
      <x:c r="K181" s="18"/>
      <x:c r="L181" s="2"/>
      <x:c r="M181" s="2"/>
    </x:row>
    <x:row r="182" ht="25" customHeight="1">
      <x:c r="A182" s="19" t="str">
        <x:f>IF(A75="","",A75)</x:f>
      </x:c>
      <x:c r="B182" s="27"/>
      <x:c r="C182" s="25" t="str">
        <x:f>IF(A182="","",IF(D182&lt;3,"",SUMIFS($B$119:$B$218,$A$119:$A$218,"&gt;="&amp;A182-6,$A$119:$A$218,"&lt;="&amp;A182,$B$119:$B$218,"&gt;0")/D182))</x:f>
      </x:c>
      <x:c r="D182" s="24" t="str">
        <x:f>IF(A182="","",COUNTIFS($A$119:$A$218,"&gt;="&amp;A182-6,$A$119:$A$218,"&lt;="&amp;A182,$B$119:$B$218,"&gt;0"))</x:f>
      </x:c>
      <x:c r="E182" s="27"/>
      <x:c r="F182" s="27"/>
      <x:c r="G182" s="27"/>
      <x:c r="H182" s="27"/>
      <x:c r="I182" s="28"/>
      <x:c r="J182" s="28"/>
      <x:c r="K182" s="18"/>
      <x:c r="L182" s="2"/>
      <x:c r="M182" s="2"/>
    </x:row>
    <x:row r="183" ht="25" customHeight="1">
      <x:c r="A183" s="19" t="str">
        <x:f>IF(A76="","",A76)</x:f>
      </x:c>
      <x:c r="B183" s="27"/>
      <x:c r="C183" s="25" t="str">
        <x:f>IF(A183="","",IF(D183&lt;3,"",SUMIFS($B$119:$B$218,$A$119:$A$218,"&gt;="&amp;A183-6,$A$119:$A$218,"&lt;="&amp;A183,$B$119:$B$218,"&gt;0")/D183))</x:f>
      </x:c>
      <x:c r="D183" s="24" t="str">
        <x:f>IF(A183="","",COUNTIFS($A$119:$A$218,"&gt;="&amp;A183-6,$A$119:$A$218,"&lt;="&amp;A183,$B$119:$B$218,"&gt;0"))</x:f>
      </x:c>
      <x:c r="E183" s="27"/>
      <x:c r="F183" s="27"/>
      <x:c r="G183" s="27"/>
      <x:c r="H183" s="27"/>
      <x:c r="I183" s="28"/>
      <x:c r="J183" s="28"/>
      <x:c r="K183" s="18"/>
      <x:c r="L183" s="2"/>
      <x:c r="M183" s="2"/>
    </x:row>
    <x:row r="184" ht="25" customHeight="1">
      <x:c r="A184" s="19" t="str">
        <x:f>IF(A77="","",A77)</x:f>
      </x:c>
      <x:c r="B184" s="27"/>
      <x:c r="C184" s="25" t="str">
        <x:f>IF(A184="","",IF(D184&lt;3,"",SUMIFS($B$119:$B$218,$A$119:$A$218,"&gt;="&amp;A184-6,$A$119:$A$218,"&lt;="&amp;A184,$B$119:$B$218,"&gt;0")/D184))</x:f>
      </x:c>
      <x:c r="D184" s="24" t="str">
        <x:f>IF(A184="","",COUNTIFS($A$119:$A$218,"&gt;="&amp;A184-6,$A$119:$A$218,"&lt;="&amp;A184,$B$119:$B$218,"&gt;0"))</x:f>
      </x:c>
      <x:c r="E184" s="27"/>
      <x:c r="F184" s="27"/>
      <x:c r="G184" s="27"/>
      <x:c r="H184" s="27"/>
      <x:c r="I184" s="28"/>
      <x:c r="J184" s="28"/>
      <x:c r="K184" s="18"/>
      <x:c r="L184" s="2"/>
      <x:c r="M184" s="2"/>
    </x:row>
    <x:row r="185" ht="25" customHeight="1">
      <x:c r="A185" s="19" t="str">
        <x:f>IF(A78="","",A78)</x:f>
      </x:c>
      <x:c r="B185" s="27"/>
      <x:c r="C185" s="25" t="str">
        <x:f>IF(A185="","",IF(D185&lt;3,"",SUMIFS($B$119:$B$218,$A$119:$A$218,"&gt;="&amp;A185-6,$A$119:$A$218,"&lt;="&amp;A185,$B$119:$B$218,"&gt;0")/D185))</x:f>
      </x:c>
      <x:c r="D185" s="24" t="str">
        <x:f>IF(A185="","",COUNTIFS($A$119:$A$218,"&gt;="&amp;A185-6,$A$119:$A$218,"&lt;="&amp;A185,$B$119:$B$218,"&gt;0"))</x:f>
      </x:c>
      <x:c r="E185" s="27"/>
      <x:c r="F185" s="27"/>
      <x:c r="G185" s="27"/>
      <x:c r="H185" s="27"/>
      <x:c r="I185" s="28"/>
      <x:c r="J185" s="28"/>
      <x:c r="K185" s="18"/>
      <x:c r="L185" s="2"/>
      <x:c r="M185" s="2"/>
    </x:row>
    <x:row r="186" ht="25" customHeight="1">
      <x:c r="A186" s="19" t="str">
        <x:f>IF(A79="","",A79)</x:f>
      </x:c>
      <x:c r="B186" s="27"/>
      <x:c r="C186" s="25" t="str">
        <x:f>IF(A186="","",IF(D186&lt;3,"",SUMIFS($B$119:$B$218,$A$119:$A$218,"&gt;="&amp;A186-6,$A$119:$A$218,"&lt;="&amp;A186,$B$119:$B$218,"&gt;0")/D186))</x:f>
      </x:c>
      <x:c r="D186" s="24" t="str">
        <x:f>IF(A186="","",COUNTIFS($A$119:$A$218,"&gt;="&amp;A186-6,$A$119:$A$218,"&lt;="&amp;A186,$B$119:$B$218,"&gt;0"))</x:f>
      </x:c>
      <x:c r="E186" s="27"/>
      <x:c r="F186" s="27"/>
      <x:c r="G186" s="27"/>
      <x:c r="H186" s="27"/>
      <x:c r="I186" s="28"/>
      <x:c r="J186" s="28"/>
      <x:c r="K186" s="18"/>
      <x:c r="L186" s="2"/>
      <x:c r="M186" s="2"/>
    </x:row>
    <x:row r="187" ht="25" customHeight="1">
      <x:c r="A187" s="19" t="str">
        <x:f>IF(A80="","",A80)</x:f>
      </x:c>
      <x:c r="B187" s="27"/>
      <x:c r="C187" s="25" t="str">
        <x:f>IF(A187="","",IF(D187&lt;3,"",SUMIFS($B$119:$B$218,$A$119:$A$218,"&gt;="&amp;A187-6,$A$119:$A$218,"&lt;="&amp;A187,$B$119:$B$218,"&gt;0")/D187))</x:f>
      </x:c>
      <x:c r="D187" s="24" t="str">
        <x:f>IF(A187="","",COUNTIFS($A$119:$A$218,"&gt;="&amp;A187-6,$A$119:$A$218,"&lt;="&amp;A187,$B$119:$B$218,"&gt;0"))</x:f>
      </x:c>
      <x:c r="E187" s="27"/>
      <x:c r="F187" s="27"/>
      <x:c r="G187" s="27"/>
      <x:c r="H187" s="27"/>
      <x:c r="I187" s="28"/>
      <x:c r="J187" s="28"/>
      <x:c r="K187" s="18"/>
      <x:c r="L187" s="2"/>
      <x:c r="M187" s="2"/>
    </x:row>
    <x:row r="188" ht="25" customHeight="1">
      <x:c r="A188" s="19" t="str">
        <x:f>IF(A81="","",A81)</x:f>
      </x:c>
      <x:c r="B188" s="27"/>
      <x:c r="C188" s="25" t="str">
        <x:f>IF(A188="","",IF(D188&lt;3,"",SUMIFS($B$119:$B$218,$A$119:$A$218,"&gt;="&amp;A188-6,$A$119:$A$218,"&lt;="&amp;A188,$B$119:$B$218,"&gt;0")/D188))</x:f>
      </x:c>
      <x:c r="D188" s="24" t="str">
        <x:f>IF(A188="","",COUNTIFS($A$119:$A$218,"&gt;="&amp;A188-6,$A$119:$A$218,"&lt;="&amp;A188,$B$119:$B$218,"&gt;0"))</x:f>
      </x:c>
      <x:c r="E188" s="27"/>
      <x:c r="F188" s="27"/>
      <x:c r="G188" s="27"/>
      <x:c r="H188" s="27"/>
      <x:c r="I188" s="28"/>
      <x:c r="J188" s="28"/>
      <x:c r="K188" s="18"/>
      <x:c r="L188" s="2"/>
      <x:c r="M188" s="2"/>
    </x:row>
    <x:row r="189" ht="25" customHeight="1">
      <x:c r="A189" s="19" t="str">
        <x:f>IF(A82="","",A82)</x:f>
      </x:c>
      <x:c r="B189" s="27"/>
      <x:c r="C189" s="25" t="str">
        <x:f>IF(A189="","",IF(D189&lt;3,"",SUMIFS($B$119:$B$218,$A$119:$A$218,"&gt;="&amp;A189-6,$A$119:$A$218,"&lt;="&amp;A189,$B$119:$B$218,"&gt;0")/D189))</x:f>
      </x:c>
      <x:c r="D189" s="24" t="str">
        <x:f>IF(A189="","",COUNTIFS($A$119:$A$218,"&gt;="&amp;A189-6,$A$119:$A$218,"&lt;="&amp;A189,$B$119:$B$218,"&gt;0"))</x:f>
      </x:c>
      <x:c r="E189" s="27"/>
      <x:c r="F189" s="27"/>
      <x:c r="G189" s="27"/>
      <x:c r="H189" s="27"/>
      <x:c r="I189" s="28"/>
      <x:c r="J189" s="28"/>
      <x:c r="K189" s="18"/>
      <x:c r="L189" s="2"/>
      <x:c r="M189" s="2"/>
    </x:row>
    <x:row r="190" ht="25" customHeight="1">
      <x:c r="A190" s="19" t="str">
        <x:f>IF(A83="","",A83)</x:f>
      </x:c>
      <x:c r="B190" s="27"/>
      <x:c r="C190" s="25" t="str">
        <x:f>IF(A190="","",IF(D190&lt;3,"",SUMIFS($B$119:$B$218,$A$119:$A$218,"&gt;="&amp;A190-6,$A$119:$A$218,"&lt;="&amp;A190,$B$119:$B$218,"&gt;0")/D190))</x:f>
      </x:c>
      <x:c r="D190" s="24" t="str">
        <x:f>IF(A190="","",COUNTIFS($A$119:$A$218,"&gt;="&amp;A190-6,$A$119:$A$218,"&lt;="&amp;A190,$B$119:$B$218,"&gt;0"))</x:f>
      </x:c>
      <x:c r="E190" s="27"/>
      <x:c r="F190" s="27"/>
      <x:c r="G190" s="27"/>
      <x:c r="H190" s="27"/>
      <x:c r="I190" s="28"/>
      <x:c r="J190" s="28"/>
      <x:c r="K190" s="18"/>
      <x:c r="L190" s="2"/>
      <x:c r="M190" s="2"/>
    </x:row>
    <x:row r="191" ht="25" customHeight="1">
      <x:c r="A191" s="19" t="str">
        <x:f>IF(A84="","",A84)</x:f>
      </x:c>
      <x:c r="B191" s="27"/>
      <x:c r="C191" s="25" t="str">
        <x:f>IF(A191="","",IF(D191&lt;3,"",SUMIFS($B$119:$B$218,$A$119:$A$218,"&gt;="&amp;A191-6,$A$119:$A$218,"&lt;="&amp;A191,$B$119:$B$218,"&gt;0")/D191))</x:f>
      </x:c>
      <x:c r="D191" s="24" t="str">
        <x:f>IF(A191="","",COUNTIFS($A$119:$A$218,"&gt;="&amp;A191-6,$A$119:$A$218,"&lt;="&amp;A191,$B$119:$B$218,"&gt;0"))</x:f>
      </x:c>
      <x:c r="E191" s="27"/>
      <x:c r="F191" s="27"/>
      <x:c r="G191" s="27"/>
      <x:c r="H191" s="27"/>
      <x:c r="I191" s="28"/>
      <x:c r="J191" s="28"/>
      <x:c r="K191" s="18"/>
      <x:c r="L191" s="2"/>
      <x:c r="M191" s="2"/>
    </x:row>
    <x:row r="192" ht="25" customHeight="1">
      <x:c r="A192" s="19" t="str">
        <x:f>IF(A85="","",A85)</x:f>
      </x:c>
      <x:c r="B192" s="27"/>
      <x:c r="C192" s="25" t="str">
        <x:f>IF(A192="","",IF(D192&lt;3,"",SUMIFS($B$119:$B$218,$A$119:$A$218,"&gt;="&amp;A192-6,$A$119:$A$218,"&lt;="&amp;A192,$B$119:$B$218,"&gt;0")/D192))</x:f>
      </x:c>
      <x:c r="D192" s="24" t="str">
        <x:f>IF(A192="","",COUNTIFS($A$119:$A$218,"&gt;="&amp;A192-6,$A$119:$A$218,"&lt;="&amp;A192,$B$119:$B$218,"&gt;0"))</x:f>
      </x:c>
      <x:c r="E192" s="27"/>
      <x:c r="F192" s="27"/>
      <x:c r="G192" s="27"/>
      <x:c r="H192" s="27"/>
      <x:c r="I192" s="28"/>
      <x:c r="J192" s="28"/>
      <x:c r="K192" s="18"/>
      <x:c r="L192" s="2"/>
      <x:c r="M192" s="2"/>
    </x:row>
    <x:row r="193" ht="25" customHeight="1">
      <x:c r="A193" s="19" t="str">
        <x:f>IF(A86="","",A86)</x:f>
      </x:c>
      <x:c r="B193" s="27"/>
      <x:c r="C193" s="25" t="str">
        <x:f>IF(A193="","",IF(D193&lt;3,"",SUMIFS($B$119:$B$218,$A$119:$A$218,"&gt;="&amp;A193-6,$A$119:$A$218,"&lt;="&amp;A193,$B$119:$B$218,"&gt;0")/D193))</x:f>
      </x:c>
      <x:c r="D193" s="24" t="str">
        <x:f>IF(A193="","",COUNTIFS($A$119:$A$218,"&gt;="&amp;A193-6,$A$119:$A$218,"&lt;="&amp;A193,$B$119:$B$218,"&gt;0"))</x:f>
      </x:c>
      <x:c r="E193" s="27"/>
      <x:c r="F193" s="27"/>
      <x:c r="G193" s="27"/>
      <x:c r="H193" s="27"/>
      <x:c r="I193" s="28"/>
      <x:c r="J193" s="28"/>
      <x:c r="K193" s="18"/>
      <x:c r="L193" s="2"/>
      <x:c r="M193" s="2"/>
    </x:row>
    <x:row r="194" ht="25" customHeight="1">
      <x:c r="A194" s="19" t="str">
        <x:f>IF(A87="","",A87)</x:f>
      </x:c>
      <x:c r="B194" s="27"/>
      <x:c r="C194" s="25" t="str">
        <x:f>IF(A194="","",IF(D194&lt;3,"",SUMIFS($B$119:$B$218,$A$119:$A$218,"&gt;="&amp;A194-6,$A$119:$A$218,"&lt;="&amp;A194,$B$119:$B$218,"&gt;0")/D194))</x:f>
      </x:c>
      <x:c r="D194" s="24" t="str">
        <x:f>IF(A194="","",COUNTIFS($A$119:$A$218,"&gt;="&amp;A194-6,$A$119:$A$218,"&lt;="&amp;A194,$B$119:$B$218,"&gt;0"))</x:f>
      </x:c>
      <x:c r="E194" s="27"/>
      <x:c r="F194" s="27"/>
      <x:c r="G194" s="27"/>
      <x:c r="H194" s="27"/>
      <x:c r="I194" s="28"/>
      <x:c r="J194" s="28"/>
      <x:c r="K194" s="18"/>
      <x:c r="L194" s="2"/>
      <x:c r="M194" s="2"/>
    </x:row>
    <x:row r="195" ht="25" customHeight="1">
      <x:c r="A195" s="19" t="str">
        <x:f>IF(A88="","",A88)</x:f>
      </x:c>
      <x:c r="B195" s="27"/>
      <x:c r="C195" s="25" t="str">
        <x:f>IF(A195="","",IF(D195&lt;3,"",SUMIFS($B$119:$B$218,$A$119:$A$218,"&gt;="&amp;A195-6,$A$119:$A$218,"&lt;="&amp;A195,$B$119:$B$218,"&gt;0")/D195))</x:f>
      </x:c>
      <x:c r="D195" s="24" t="str">
        <x:f>IF(A195="","",COUNTIFS($A$119:$A$218,"&gt;="&amp;A195-6,$A$119:$A$218,"&lt;="&amp;A195,$B$119:$B$218,"&gt;0"))</x:f>
      </x:c>
      <x:c r="E195" s="27"/>
      <x:c r="F195" s="27"/>
      <x:c r="G195" s="27"/>
      <x:c r="H195" s="27"/>
      <x:c r="I195" s="28"/>
      <x:c r="J195" s="28"/>
      <x:c r="K195" s="18"/>
      <x:c r="L195" s="2"/>
      <x:c r="M195" s="2"/>
    </x:row>
    <x:row r="196" ht="25" customHeight="1">
      <x:c r="A196" s="19" t="str">
        <x:f>IF(A89="","",A89)</x:f>
      </x:c>
      <x:c r="B196" s="27"/>
      <x:c r="C196" s="25" t="str">
        <x:f>IF(A196="","",IF(D196&lt;3,"",SUMIFS($B$119:$B$218,$A$119:$A$218,"&gt;="&amp;A196-6,$A$119:$A$218,"&lt;="&amp;A196,$B$119:$B$218,"&gt;0")/D196))</x:f>
      </x:c>
      <x:c r="D196" s="24" t="str">
        <x:f>IF(A196="","",COUNTIFS($A$119:$A$218,"&gt;="&amp;A196-6,$A$119:$A$218,"&lt;="&amp;A196,$B$119:$B$218,"&gt;0"))</x:f>
      </x:c>
      <x:c r="E196" s="27"/>
      <x:c r="F196" s="27"/>
      <x:c r="G196" s="27"/>
      <x:c r="H196" s="27"/>
      <x:c r="I196" s="28"/>
      <x:c r="J196" s="28"/>
      <x:c r="K196" s="18"/>
      <x:c r="L196" s="2"/>
      <x:c r="M196" s="2"/>
    </x:row>
    <x:row r="197" ht="25" customHeight="1">
      <x:c r="A197" s="19" t="str">
        <x:f>IF(A90="","",A90)</x:f>
      </x:c>
      <x:c r="B197" s="27"/>
      <x:c r="C197" s="25" t="str">
        <x:f>IF(A197="","",IF(D197&lt;3,"",SUMIFS($B$119:$B$218,$A$119:$A$218,"&gt;="&amp;A197-6,$A$119:$A$218,"&lt;="&amp;A197,$B$119:$B$218,"&gt;0")/D197))</x:f>
      </x:c>
      <x:c r="D197" s="24" t="str">
        <x:f>IF(A197="","",COUNTIFS($A$119:$A$218,"&gt;="&amp;A197-6,$A$119:$A$218,"&lt;="&amp;A197,$B$119:$B$218,"&gt;0"))</x:f>
      </x:c>
      <x:c r="E197" s="27"/>
      <x:c r="F197" s="27"/>
      <x:c r="G197" s="27"/>
      <x:c r="H197" s="27"/>
      <x:c r="I197" s="28"/>
      <x:c r="J197" s="28"/>
      <x:c r="K197" s="18"/>
      <x:c r="L197" s="2"/>
      <x:c r="M197" s="2"/>
    </x:row>
    <x:row r="198" ht="25" customHeight="1">
      <x:c r="A198" s="19" t="str">
        <x:f>IF(A91="","",A91)</x:f>
      </x:c>
      <x:c r="B198" s="27"/>
      <x:c r="C198" s="25" t="str">
        <x:f>IF(A198="","",IF(D198&lt;3,"",SUMIFS($B$119:$B$218,$A$119:$A$218,"&gt;="&amp;A198-6,$A$119:$A$218,"&lt;="&amp;A198,$B$119:$B$218,"&gt;0")/D198))</x:f>
      </x:c>
      <x:c r="D198" s="24" t="str">
        <x:f>IF(A198="","",COUNTIFS($A$119:$A$218,"&gt;="&amp;A198-6,$A$119:$A$218,"&lt;="&amp;A198,$B$119:$B$218,"&gt;0"))</x:f>
      </x:c>
      <x:c r="E198" s="27"/>
      <x:c r="F198" s="27"/>
      <x:c r="G198" s="27"/>
      <x:c r="H198" s="27"/>
      <x:c r="I198" s="28"/>
      <x:c r="J198" s="28"/>
      <x:c r="K198" s="18"/>
      <x:c r="L198" s="2"/>
      <x:c r="M198" s="2"/>
    </x:row>
    <x:row r="199" ht="25" customHeight="1">
      <x:c r="A199" s="19" t="str">
        <x:f>IF(A92="","",A92)</x:f>
      </x:c>
      <x:c r="B199" s="27"/>
      <x:c r="C199" s="25" t="str">
        <x:f>IF(A199="","",IF(D199&lt;3,"",SUMIFS($B$119:$B$218,$A$119:$A$218,"&gt;="&amp;A199-6,$A$119:$A$218,"&lt;="&amp;A199,$B$119:$B$218,"&gt;0")/D199))</x:f>
      </x:c>
      <x:c r="D199" s="24" t="str">
        <x:f>IF(A199="","",COUNTIFS($A$119:$A$218,"&gt;="&amp;A199-6,$A$119:$A$218,"&lt;="&amp;A199,$B$119:$B$218,"&gt;0"))</x:f>
      </x:c>
      <x:c r="E199" s="27"/>
      <x:c r="F199" s="27"/>
      <x:c r="G199" s="27"/>
      <x:c r="H199" s="27"/>
      <x:c r="I199" s="28"/>
      <x:c r="J199" s="28"/>
      <x:c r="K199" s="18"/>
      <x:c r="L199" s="2"/>
      <x:c r="M199" s="2"/>
    </x:row>
    <x:row r="200" ht="25" customHeight="1">
      <x:c r="A200" s="19" t="str">
        <x:f>IF(A93="","",A93)</x:f>
      </x:c>
      <x:c r="B200" s="27"/>
      <x:c r="C200" s="25" t="str">
        <x:f>IF(A200="","",IF(D200&lt;3,"",SUMIFS($B$119:$B$218,$A$119:$A$218,"&gt;="&amp;A200-6,$A$119:$A$218,"&lt;="&amp;A200,$B$119:$B$218,"&gt;0")/D200))</x:f>
      </x:c>
      <x:c r="D200" s="24" t="str">
        <x:f>IF(A200="","",COUNTIFS($A$119:$A$218,"&gt;="&amp;A200-6,$A$119:$A$218,"&lt;="&amp;A200,$B$119:$B$218,"&gt;0"))</x:f>
      </x:c>
      <x:c r="E200" s="27"/>
      <x:c r="F200" s="27"/>
      <x:c r="G200" s="27"/>
      <x:c r="H200" s="27"/>
      <x:c r="I200" s="28"/>
      <x:c r="J200" s="28"/>
      <x:c r="K200" s="18"/>
      <x:c r="L200" s="2"/>
      <x:c r="M200" s="2"/>
    </x:row>
    <x:row r="201" ht="25" customHeight="1">
      <x:c r="A201" s="19" t="str">
        <x:f>IF(A94="","",A94)</x:f>
      </x:c>
      <x:c r="B201" s="27"/>
      <x:c r="C201" s="25" t="str">
        <x:f>IF(A201="","",IF(D201&lt;3,"",SUMIFS($B$119:$B$218,$A$119:$A$218,"&gt;="&amp;A201-6,$A$119:$A$218,"&lt;="&amp;A201,$B$119:$B$218,"&gt;0")/D201))</x:f>
      </x:c>
      <x:c r="D201" s="24" t="str">
        <x:f>IF(A201="","",COUNTIFS($A$119:$A$218,"&gt;="&amp;A201-6,$A$119:$A$218,"&lt;="&amp;A201,$B$119:$B$218,"&gt;0"))</x:f>
      </x:c>
      <x:c r="E201" s="27"/>
      <x:c r="F201" s="27"/>
      <x:c r="G201" s="27"/>
      <x:c r="H201" s="27"/>
      <x:c r="I201" s="28"/>
      <x:c r="J201" s="28"/>
      <x:c r="K201" s="18"/>
      <x:c r="L201" s="2"/>
      <x:c r="M201" s="2"/>
    </x:row>
    <x:row r="202" ht="25" customHeight="1">
      <x:c r="A202" s="19" t="str">
        <x:f>IF(A95="","",A95)</x:f>
      </x:c>
      <x:c r="B202" s="27"/>
      <x:c r="C202" s="25" t="str">
        <x:f>IF(A202="","",IF(D202&lt;3,"",SUMIFS($B$119:$B$218,$A$119:$A$218,"&gt;="&amp;A202-6,$A$119:$A$218,"&lt;="&amp;A202,$B$119:$B$218,"&gt;0")/D202))</x:f>
      </x:c>
      <x:c r="D202" s="24" t="str">
        <x:f>IF(A202="","",COUNTIFS($A$119:$A$218,"&gt;="&amp;A202-6,$A$119:$A$218,"&lt;="&amp;A202,$B$119:$B$218,"&gt;0"))</x:f>
      </x:c>
      <x:c r="E202" s="27"/>
      <x:c r="F202" s="27"/>
      <x:c r="G202" s="27"/>
      <x:c r="H202" s="27"/>
      <x:c r="I202" s="28"/>
      <x:c r="J202" s="28"/>
      <x:c r="K202" s="18"/>
      <x:c r="L202" s="2"/>
      <x:c r="M202" s="2"/>
    </x:row>
    <x:row r="203" ht="25" customHeight="1">
      <x:c r="A203" s="19" t="str">
        <x:f>IF(A96="","",A96)</x:f>
      </x:c>
      <x:c r="B203" s="27"/>
      <x:c r="C203" s="25" t="str">
        <x:f>IF(A203="","",IF(D203&lt;3,"",SUMIFS($B$119:$B$218,$A$119:$A$218,"&gt;="&amp;A203-6,$A$119:$A$218,"&lt;="&amp;A203,$B$119:$B$218,"&gt;0")/D203))</x:f>
      </x:c>
      <x:c r="D203" s="24" t="str">
        <x:f>IF(A203="","",COUNTIFS($A$119:$A$218,"&gt;="&amp;A203-6,$A$119:$A$218,"&lt;="&amp;A203,$B$119:$B$218,"&gt;0"))</x:f>
      </x:c>
      <x:c r="E203" s="27"/>
      <x:c r="F203" s="27"/>
      <x:c r="G203" s="27"/>
      <x:c r="H203" s="27"/>
      <x:c r="I203" s="28"/>
      <x:c r="J203" s="28"/>
      <x:c r="K203" s="18"/>
      <x:c r="L203" s="2"/>
      <x:c r="M203" s="2"/>
    </x:row>
    <x:row r="204" ht="25" customHeight="1">
      <x:c r="A204" s="19" t="str">
        <x:f>IF(A97="","",A97)</x:f>
      </x:c>
      <x:c r="B204" s="27"/>
      <x:c r="C204" s="25" t="str">
        <x:f>IF(A204="","",IF(D204&lt;3,"",SUMIFS($B$119:$B$218,$A$119:$A$218,"&gt;="&amp;A204-6,$A$119:$A$218,"&lt;="&amp;A204,$B$119:$B$218,"&gt;0")/D204))</x:f>
      </x:c>
      <x:c r="D204" s="24" t="str">
        <x:f>IF(A204="","",COUNTIFS($A$119:$A$218,"&gt;="&amp;A204-6,$A$119:$A$218,"&lt;="&amp;A204,$B$119:$B$218,"&gt;0"))</x:f>
      </x:c>
      <x:c r="E204" s="27"/>
      <x:c r="F204" s="27"/>
      <x:c r="G204" s="27"/>
      <x:c r="H204" s="27"/>
      <x:c r="I204" s="28"/>
      <x:c r="J204" s="28"/>
      <x:c r="K204" s="18"/>
      <x:c r="L204" s="2"/>
      <x:c r="M204" s="2"/>
    </x:row>
    <x:row r="205" ht="25" customHeight="1">
      <x:c r="A205" s="19" t="str">
        <x:f>IF(A98="","",A98)</x:f>
      </x:c>
      <x:c r="B205" s="27"/>
      <x:c r="C205" s="25" t="str">
        <x:f>IF(A205="","",IF(D205&lt;3,"",SUMIFS($B$119:$B$218,$A$119:$A$218,"&gt;="&amp;A205-6,$A$119:$A$218,"&lt;="&amp;A205,$B$119:$B$218,"&gt;0")/D205))</x:f>
      </x:c>
      <x:c r="D205" s="24" t="str">
        <x:f>IF(A205="","",COUNTIFS($A$119:$A$218,"&gt;="&amp;A205-6,$A$119:$A$218,"&lt;="&amp;A205,$B$119:$B$218,"&gt;0"))</x:f>
      </x:c>
      <x:c r="E205" s="27"/>
      <x:c r="F205" s="27"/>
      <x:c r="G205" s="27"/>
      <x:c r="H205" s="27"/>
      <x:c r="I205" s="28"/>
      <x:c r="J205" s="28"/>
      <x:c r="K205" s="18"/>
      <x:c r="L205" s="2"/>
      <x:c r="M205" s="2"/>
    </x:row>
    <x:row r="206" ht="25" customHeight="1">
      <x:c r="A206" s="19" t="str">
        <x:f>IF(A99="","",A99)</x:f>
      </x:c>
      <x:c r="B206" s="27"/>
      <x:c r="C206" s="25" t="str">
        <x:f>IF(A206="","",IF(D206&lt;3,"",SUMIFS($B$119:$B$218,$A$119:$A$218,"&gt;="&amp;A206-6,$A$119:$A$218,"&lt;="&amp;A206,$B$119:$B$218,"&gt;0")/D206))</x:f>
      </x:c>
      <x:c r="D206" s="24" t="str">
        <x:f>IF(A206="","",COUNTIFS($A$119:$A$218,"&gt;="&amp;A206-6,$A$119:$A$218,"&lt;="&amp;A206,$B$119:$B$218,"&gt;0"))</x:f>
      </x:c>
      <x:c r="E206" s="27"/>
      <x:c r="F206" s="27"/>
      <x:c r="G206" s="27"/>
      <x:c r="H206" s="27"/>
      <x:c r="I206" s="28"/>
      <x:c r="J206" s="28"/>
      <x:c r="K206" s="18"/>
      <x:c r="L206" s="2"/>
      <x:c r="M206" s="2"/>
    </x:row>
    <x:row r="207" ht="25" customHeight="1">
      <x:c r="A207" s="19" t="str">
        <x:f>IF(A100="","",A100)</x:f>
      </x:c>
      <x:c r="B207" s="27"/>
      <x:c r="C207" s="25" t="str">
        <x:f>IF(A207="","",IF(D207&lt;3,"",SUMIFS($B$119:$B$218,$A$119:$A$218,"&gt;="&amp;A207-6,$A$119:$A$218,"&lt;="&amp;A207,$B$119:$B$218,"&gt;0")/D207))</x:f>
      </x:c>
      <x:c r="D207" s="24" t="str">
        <x:f>IF(A207="","",COUNTIFS($A$119:$A$218,"&gt;="&amp;A207-6,$A$119:$A$218,"&lt;="&amp;A207,$B$119:$B$218,"&gt;0"))</x:f>
      </x:c>
      <x:c r="E207" s="27"/>
      <x:c r="F207" s="27"/>
      <x:c r="G207" s="27"/>
      <x:c r="H207" s="27"/>
      <x:c r="I207" s="28"/>
      <x:c r="J207" s="28"/>
      <x:c r="K207" s="18"/>
      <x:c r="L207" s="2"/>
      <x:c r="M207" s="2"/>
    </x:row>
    <x:row r="208" ht="25" customHeight="1">
      <x:c r="A208" s="19" t="str">
        <x:f>IF(A101="","",A101)</x:f>
      </x:c>
      <x:c r="B208" s="27"/>
      <x:c r="C208" s="25" t="str">
        <x:f>IF(A208="","",IF(D208&lt;3,"",SUMIFS($B$119:$B$218,$A$119:$A$218,"&gt;="&amp;A208-6,$A$119:$A$218,"&lt;="&amp;A208,$B$119:$B$218,"&gt;0")/D208))</x:f>
      </x:c>
      <x:c r="D208" s="24" t="str">
        <x:f>IF(A208="","",COUNTIFS($A$119:$A$218,"&gt;="&amp;A208-6,$A$119:$A$218,"&lt;="&amp;A208,$B$119:$B$218,"&gt;0"))</x:f>
      </x:c>
      <x:c r="E208" s="27"/>
      <x:c r="F208" s="27"/>
      <x:c r="G208" s="27"/>
      <x:c r="H208" s="27"/>
      <x:c r="I208" s="28"/>
      <x:c r="J208" s="28"/>
      <x:c r="K208" s="18"/>
      <x:c r="L208" s="2"/>
      <x:c r="M208" s="2"/>
    </x:row>
    <x:row r="209" ht="25" customHeight="1">
      <x:c r="A209" s="19" t="str">
        <x:f>IF(A102="","",A102)</x:f>
      </x:c>
      <x:c r="B209" s="27"/>
      <x:c r="C209" s="25" t="str">
        <x:f>IF(A209="","",IF(D209&lt;3,"",SUMIFS($B$119:$B$218,$A$119:$A$218,"&gt;="&amp;A209-6,$A$119:$A$218,"&lt;="&amp;A209,$B$119:$B$218,"&gt;0")/D209))</x:f>
      </x:c>
      <x:c r="D209" s="24" t="str">
        <x:f>IF(A209="","",COUNTIFS($A$119:$A$218,"&gt;="&amp;A209-6,$A$119:$A$218,"&lt;="&amp;A209,$B$119:$B$218,"&gt;0"))</x:f>
      </x:c>
      <x:c r="E209" s="27"/>
      <x:c r="F209" s="27"/>
      <x:c r="G209" s="27"/>
      <x:c r="H209" s="27"/>
      <x:c r="I209" s="28"/>
      <x:c r="J209" s="28"/>
      <x:c r="K209" s="18"/>
      <x:c r="L209" s="2"/>
      <x:c r="M209" s="2"/>
    </x:row>
    <x:row r="210" ht="25" customHeight="1">
      <x:c r="A210" s="19" t="str">
        <x:f>IF(A103="","",A103)</x:f>
      </x:c>
      <x:c r="B210" s="27"/>
      <x:c r="C210" s="25" t="str">
        <x:f>IF(A210="","",IF(D210&lt;3,"",SUMIFS($B$119:$B$218,$A$119:$A$218,"&gt;="&amp;A210-6,$A$119:$A$218,"&lt;="&amp;A210,$B$119:$B$218,"&gt;0")/D210))</x:f>
      </x:c>
      <x:c r="D210" s="24" t="str">
        <x:f>IF(A210="","",COUNTIFS($A$119:$A$218,"&gt;="&amp;A210-6,$A$119:$A$218,"&lt;="&amp;A210,$B$119:$B$218,"&gt;0"))</x:f>
      </x:c>
      <x:c r="E210" s="27"/>
      <x:c r="F210" s="27"/>
      <x:c r="G210" s="27"/>
      <x:c r="H210" s="27"/>
      <x:c r="I210" s="28"/>
      <x:c r="J210" s="28"/>
      <x:c r="K210" s="18"/>
      <x:c r="L210" s="2"/>
      <x:c r="M210" s="2"/>
    </x:row>
    <x:row r="211" ht="25" customHeight="1">
      <x:c r="A211" s="19" t="str">
        <x:f>IF(A104="","",A104)</x:f>
      </x:c>
      <x:c r="B211" s="27"/>
      <x:c r="C211" s="25" t="str">
        <x:f>IF(A211="","",IF(D211&lt;3,"",SUMIFS($B$119:$B$218,$A$119:$A$218,"&gt;="&amp;A211-6,$A$119:$A$218,"&lt;="&amp;A211,$B$119:$B$218,"&gt;0")/D211))</x:f>
      </x:c>
      <x:c r="D211" s="24" t="str">
        <x:f>IF(A211="","",COUNTIFS($A$119:$A$218,"&gt;="&amp;A211-6,$A$119:$A$218,"&lt;="&amp;A211,$B$119:$B$218,"&gt;0"))</x:f>
      </x:c>
      <x:c r="E211" s="27"/>
      <x:c r="F211" s="27"/>
      <x:c r="G211" s="27"/>
      <x:c r="H211" s="27"/>
      <x:c r="I211" s="28"/>
      <x:c r="J211" s="28"/>
      <x:c r="K211" s="18"/>
      <x:c r="L211" s="2"/>
      <x:c r="M211" s="2"/>
    </x:row>
    <x:row r="212" ht="25" customHeight="1">
      <x:c r="A212" s="19" t="str">
        <x:f>IF(A105="","",A105)</x:f>
      </x:c>
      <x:c r="B212" s="27"/>
      <x:c r="C212" s="25" t="str">
        <x:f>IF(A212="","",IF(D212&lt;3,"",SUMIFS($B$119:$B$218,$A$119:$A$218,"&gt;="&amp;A212-6,$A$119:$A$218,"&lt;="&amp;A212,$B$119:$B$218,"&gt;0")/D212))</x:f>
      </x:c>
      <x:c r="D212" s="24" t="str">
        <x:f>IF(A212="","",COUNTIFS($A$119:$A$218,"&gt;="&amp;A212-6,$A$119:$A$218,"&lt;="&amp;A212,$B$119:$B$218,"&gt;0"))</x:f>
      </x:c>
      <x:c r="E212" s="27"/>
      <x:c r="F212" s="27"/>
      <x:c r="G212" s="27"/>
      <x:c r="H212" s="27"/>
      <x:c r="I212" s="28"/>
      <x:c r="J212" s="28"/>
      <x:c r="K212" s="18"/>
      <x:c r="L212" s="2"/>
      <x:c r="M212" s="2"/>
    </x:row>
    <x:row r="213" ht="25" customHeight="1">
      <x:c r="A213" s="19" t="str">
        <x:f>IF(A106="","",A106)</x:f>
      </x:c>
      <x:c r="B213" s="27"/>
      <x:c r="C213" s="25" t="str">
        <x:f>IF(A213="","",IF(D213&lt;3,"",SUMIFS($B$119:$B$218,$A$119:$A$218,"&gt;="&amp;A213-6,$A$119:$A$218,"&lt;="&amp;A213,$B$119:$B$218,"&gt;0")/D213))</x:f>
      </x:c>
      <x:c r="D213" s="24" t="str">
        <x:f>IF(A213="","",COUNTIFS($A$119:$A$218,"&gt;="&amp;A213-6,$A$119:$A$218,"&lt;="&amp;A213,$B$119:$B$218,"&gt;0"))</x:f>
      </x:c>
      <x:c r="E213" s="27"/>
      <x:c r="F213" s="27"/>
      <x:c r="G213" s="27"/>
      <x:c r="H213" s="27"/>
      <x:c r="I213" s="28"/>
      <x:c r="J213" s="28"/>
      <x:c r="K213" s="18"/>
      <x:c r="L213" s="2"/>
      <x:c r="M213" s="2"/>
    </x:row>
    <x:row r="214" ht="25" customHeight="1">
      <x:c r="A214" s="19" t="str">
        <x:f>IF(A107="","",A107)</x:f>
      </x:c>
      <x:c r="B214" s="27"/>
      <x:c r="C214" s="25" t="str">
        <x:f>IF(A214="","",IF(D214&lt;3,"",SUMIFS($B$119:$B$218,$A$119:$A$218,"&gt;="&amp;A214-6,$A$119:$A$218,"&lt;="&amp;A214,$B$119:$B$218,"&gt;0")/D214))</x:f>
      </x:c>
      <x:c r="D214" s="24" t="str">
        <x:f>IF(A214="","",COUNTIFS($A$119:$A$218,"&gt;="&amp;A214-6,$A$119:$A$218,"&lt;="&amp;A214,$B$119:$B$218,"&gt;0"))</x:f>
      </x:c>
      <x:c r="E214" s="27"/>
      <x:c r="F214" s="27"/>
      <x:c r="G214" s="27"/>
      <x:c r="H214" s="27"/>
      <x:c r="I214" s="28"/>
      <x:c r="J214" s="28"/>
      <x:c r="K214" s="18"/>
      <x:c r="L214" s="2"/>
      <x:c r="M214" s="2"/>
    </x:row>
    <x:row r="215" ht="25" customHeight="1">
      <x:c r="A215" s="19" t="str">
        <x:f>IF(A108="","",A108)</x:f>
      </x:c>
      <x:c r="B215" s="27"/>
      <x:c r="C215" s="25" t="str">
        <x:f>IF(A215="","",IF(D215&lt;3,"",SUMIFS($B$119:$B$218,$A$119:$A$218,"&gt;="&amp;A215-6,$A$119:$A$218,"&lt;="&amp;A215,$B$119:$B$218,"&gt;0")/D215))</x:f>
      </x:c>
      <x:c r="D215" s="24" t="str">
        <x:f>IF(A215="","",COUNTIFS($A$119:$A$218,"&gt;="&amp;A215-6,$A$119:$A$218,"&lt;="&amp;A215,$B$119:$B$218,"&gt;0"))</x:f>
      </x:c>
      <x:c r="E215" s="27"/>
      <x:c r="F215" s="27"/>
      <x:c r="G215" s="27"/>
      <x:c r="H215" s="27"/>
      <x:c r="I215" s="28"/>
      <x:c r="J215" s="28"/>
      <x:c r="K215" s="18"/>
      <x:c r="L215" s="2"/>
      <x:c r="M215" s="2"/>
    </x:row>
    <x:row r="216" ht="25" customHeight="1">
      <x:c r="A216" s="19" t="str">
        <x:f>IF(A109="","",A109)</x:f>
      </x:c>
      <x:c r="B216" s="27"/>
      <x:c r="C216" s="25" t="str">
        <x:f>IF(A216="","",IF(D216&lt;3,"",SUMIFS($B$119:$B$218,$A$119:$A$218,"&gt;="&amp;A216-6,$A$119:$A$218,"&lt;="&amp;A216,$B$119:$B$218,"&gt;0")/D216))</x:f>
      </x:c>
      <x:c r="D216" s="24" t="str">
        <x:f>IF(A216="","",COUNTIFS($A$119:$A$218,"&gt;="&amp;A216-6,$A$119:$A$218,"&lt;="&amp;A216,$B$119:$B$218,"&gt;0"))</x:f>
      </x:c>
      <x:c r="E216" s="27"/>
      <x:c r="F216" s="27"/>
      <x:c r="G216" s="27"/>
      <x:c r="H216" s="27"/>
      <x:c r="I216" s="28"/>
      <x:c r="J216" s="28"/>
      <x:c r="K216" s="18"/>
      <x:c r="L216" s="2"/>
      <x:c r="M216" s="2"/>
    </x:row>
    <x:row r="217" ht="25" customHeight="1">
      <x:c r="A217" s="19" t="str">
        <x:f>IF(A110="","",A110)</x:f>
      </x:c>
      <x:c r="B217" s="27"/>
      <x:c r="C217" s="25" t="str">
        <x:f>IF(A217="","",IF(D217&lt;3,"",SUMIFS($B$119:$B$218,$A$119:$A$218,"&gt;="&amp;A217-6,$A$119:$A$218,"&lt;="&amp;A217,$B$119:$B$218,"&gt;0")/D217))</x:f>
      </x:c>
      <x:c r="D217" s="24" t="str">
        <x:f>IF(A217="","",COUNTIFS($A$119:$A$218,"&gt;="&amp;A217-6,$A$119:$A$218,"&lt;="&amp;A217,$B$119:$B$218,"&gt;0"))</x:f>
      </x:c>
      <x:c r="E217" s="27"/>
      <x:c r="F217" s="27"/>
      <x:c r="G217" s="27"/>
      <x:c r="H217" s="27"/>
      <x:c r="I217" s="28"/>
      <x:c r="J217" s="28"/>
      <x:c r="K217" s="18"/>
      <x:c r="L217" s="2"/>
      <x:c r="M217" s="2"/>
    </x:row>
    <x:row r="218" ht="25" customHeight="1">
      <x:c r="A218" s="19" t="str">
        <x:f>IF(A111="","",A111)</x:f>
      </x:c>
      <x:c r="B218" s="27"/>
      <x:c r="C218" s="25" t="str">
        <x:f>IF(A218="","",IF(D218&lt;3,"",SUMIFS($B$119:$B$218,$A$119:$A$218,"&gt;="&amp;A218-6,$A$119:$A$218,"&lt;="&amp;A218,$B$119:$B$218,"&gt;0")/D218))</x:f>
      </x:c>
      <x:c r="D218" s="24" t="str">
        <x:f>IF(A218="","",COUNTIFS($A$119:$A$218,"&gt;="&amp;A218-6,$A$119:$A$218,"&lt;="&amp;A218,$B$119:$B$218,"&gt;0"))</x:f>
      </x:c>
      <x:c r="E218" s="27"/>
      <x:c r="F218" s="27"/>
      <x:c r="G218" s="27"/>
      <x:c r="H218" s="27"/>
      <x:c r="I218" s="28"/>
      <x:c r="J218" s="28"/>
      <x:c r="K218" s="18"/>
      <x:c r="L218" s="2"/>
      <x:c r="M218" s="2"/>
    </x:row>
  </x:sheetData>
  <x:conditionalFormatting sqref="F12:L111">
    <x:cfRule type="containsText" dxfId="0" priority="1" operator="containsText" text="brak danych"/>
  </x:conditionalFormatting>
  <x:dataValidations count="1">
    <x:dataValidation type="list" sqref="I119:I218">
      <x:formula1>"1,2,3,4,5"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71869F"/>
  </x:sheetPr>
  <x:sheetViews>
    <x:sheetView showGridLines="0" workbookViewId="0">
      <x:pane xSplit="3" ySplit="9" topLeftCell="D10" activePane="bottomRight" state="frozen"/>
    </x:sheetView>
  </x:sheetViews>
  <x:sheetFormatPr defaultRowHeight="15"/>
  <x:cols>
    <x:col min="1" max="1" width="12.4399995803833" hidden="0" customWidth="1"/>
    <x:col min="2" max="2" width="11.670000076293945" hidden="0" customWidth="1"/>
    <x:col min="3" max="3" width="27.219999313354492" hidden="0" customWidth="1"/>
    <x:col min="4" max="4" width="14.109999656677246" hidden="0" customWidth="1"/>
    <x:col min="5" max="5" width="16.670000076293945" hidden="0" customWidth="1"/>
    <x:col min="6" max="6" width="10.5600004196167" hidden="0" customWidth="1"/>
    <x:col min="7" max="7" width="9.779999732971191" hidden="0" customWidth="1"/>
    <x:col min="8" max="8" width="9.779999732971191" hidden="0" customWidth="1"/>
    <x:col min="9" max="9" width="9.779999732971191" hidden="0" customWidth="1"/>
    <x:col min="10" max="10" width="11.4399995803833" hidden="0" customWidth="1"/>
    <x:col min="11" max="11" width="10.890000343322754" hidden="0" customWidth="1"/>
    <x:col min="12" max="12" width="28.329999923706055" hidden="0" customWidth="1"/>
    <x:col min="13" max="13" width="24.440000534057617" hidden="0" customWidth="1"/>
    <x:col min="14" max="14" width="24.440000534057617" hidden="0" customWidth="1"/>
    <x:col min="15" max="15" width="10" hidden="0" customWidth="1"/>
    <x:col min="16" max="16" width="11.109999656677246" hidden="0" customWidth="1"/>
    <x:col min="17" max="17" width="24.440000534057617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 ht="31" customHeight="1">
      <x:c r="A2" s="3" t="str">
        <x:v>Baza posiłków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 ht="25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2"/>
      <x:c r="P3" s="2"/>
      <x:c r="Q3" s="2"/>
    </x:row>
    <x:row r="4" ht="25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</x:row>
    <x:row r="5" ht="25" customHeight="1">
      <x:c r="A5" s="9" t="str">
        <x:v>Wartości odżywcze wpisujemy dla jednej porcji bazowej. NTFY: wartości z opisu konkretnego dania lub etykiety.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</x:row>
    <x:row r="6" ht="25" customHeight="1">
      <x:c r="A6" s="9" t="str">
        <x:v>Jeżeli opis podaje wartości na 100 g, przeliczamy je na rzeczywistą porcję. Błonnik jest polem opcjonalnym.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</x:row>
    <x:row r="7" ht="25" customHeight="1">
      <x:c r="A7" s="9" t="str">
        <x:v>Puste pole oznacza brak danych; 0 jest rzeczywistym zerem. Dla różnych wersji dania zachowujemy odrębne ID.</x:v>
      </x:c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</x:row>
    <x:row r="8" ht="25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</x:row>
    <x:row r="9" ht="49" customHeight="1">
      <x:c r="A9" s="14" t="str">
        <x:v>ID</x:v>
      </x:c>
      <x:c r="B9" s="15" t="str">
        <x:v>Źródło</x:v>
      </x:c>
      <x:c r="C9" s="15" t="str">
        <x:v>Nazwa posiłku</x:v>
      </x:c>
      <x:c r="D9" s="15" t="str">
        <x:v>Dostawa NTFY</x:v>
      </x:c>
      <x:c r="E9" s="15" t="str">
        <x:v>Porcja bazowa</x:v>
      </x:c>
      <x:c r="F9" s="15" t="str">
        <x:v>kcal / porcja</x:v>
      </x:c>
      <x:c r="G9" s="15" t="str">
        <x:v>Białko (g)</x:v>
      </x:c>
      <x:c r="H9" s="15" t="str">
        <x:v>Węglow. (g)</x:v>
      </x:c>
      <x:c r="I9" s="15" t="str">
        <x:v>Tłuszcz (g)</x:v>
      </x:c>
      <x:c r="J9" s="15" t="str">
        <x:v>Cukry ogółem (g)</x:v>
      </x:c>
      <x:c r="K9" s="15" t="str">
        <x:v>Błonnik (g, opcj.)</x:v>
      </x:c>
      <x:c r="L9" s="15" t="str">
        <x:v>Skład / przygotowanie</x:v>
      </x:c>
      <x:c r="M9" s="15" t="str">
        <x:v>Link / etykieta</x:v>
      </x:c>
      <x:c r="N9" s="16" t="str">
        <x:v>Uwagi</x:v>
      </x:c>
      <x:c r="O9" s="2"/>
      <x:c r="P9" s="2"/>
      <x:c r="Q9" s="2"/>
    </x:row>
    <x:row r="10" ht="25" customHeight="1">
      <x:c r="A10" s="5" t="str">
        <x:v>M001</x:v>
      </x:c>
      <x:c r="B10" s="5"/>
      <x:c r="C10" s="18"/>
      <x:c r="D10" s="29"/>
      <x:c r="E10" s="18"/>
      <x:c r="F10" s="28"/>
      <x:c r="G10" s="27"/>
      <x:c r="H10" s="27"/>
      <x:c r="I10" s="27"/>
      <x:c r="J10" s="27"/>
      <x:c r="K10" s="27"/>
      <x:c r="L10" s="18"/>
      <x:c r="M10" s="18"/>
      <x:c r="N10" s="18"/>
      <x:c r="O10" s="2"/>
      <x:c r="P10" s="2"/>
      <x:c r="Q10" s="2"/>
    </x:row>
    <x:row r="11" ht="25" customHeight="1">
      <x:c r="A11" s="5" t="str">
        <x:v>M002</x:v>
      </x:c>
      <x:c r="B11" s="5"/>
      <x:c r="C11" s="18"/>
      <x:c r="D11" s="29"/>
      <x:c r="E11" s="18"/>
      <x:c r="F11" s="28"/>
      <x:c r="G11" s="27"/>
      <x:c r="H11" s="27"/>
      <x:c r="I11" s="27"/>
      <x:c r="J11" s="27"/>
      <x:c r="K11" s="27"/>
      <x:c r="L11" s="18"/>
      <x:c r="M11" s="18"/>
      <x:c r="N11" s="18"/>
      <x:c r="O11" s="2"/>
      <x:c r="P11" s="2"/>
      <x:c r="Q11" s="2"/>
    </x:row>
    <x:row r="12" ht="25" customHeight="1">
      <x:c r="A12" s="5" t="str">
        <x:v>M003</x:v>
      </x:c>
      <x:c r="B12" s="5"/>
      <x:c r="C12" s="18"/>
      <x:c r="D12" s="29"/>
      <x:c r="E12" s="18"/>
      <x:c r="F12" s="28"/>
      <x:c r="G12" s="27"/>
      <x:c r="H12" s="27"/>
      <x:c r="I12" s="27"/>
      <x:c r="J12" s="27"/>
      <x:c r="K12" s="27"/>
      <x:c r="L12" s="18"/>
      <x:c r="M12" s="18"/>
      <x:c r="N12" s="18"/>
      <x:c r="O12" s="2"/>
      <x:c r="P12" s="2"/>
      <x:c r="Q12" s="2"/>
    </x:row>
    <x:row r="13" ht="25" customHeight="1">
      <x:c r="A13" s="5" t="str">
        <x:v>M004</x:v>
      </x:c>
      <x:c r="B13" s="5"/>
      <x:c r="C13" s="18"/>
      <x:c r="D13" s="29"/>
      <x:c r="E13" s="18"/>
      <x:c r="F13" s="28"/>
      <x:c r="G13" s="27"/>
      <x:c r="H13" s="27"/>
      <x:c r="I13" s="27"/>
      <x:c r="J13" s="27"/>
      <x:c r="K13" s="27"/>
      <x:c r="L13" s="18"/>
      <x:c r="M13" s="18"/>
      <x:c r="N13" s="18"/>
      <x:c r="O13" s="2"/>
      <x:c r="P13" s="2"/>
      <x:c r="Q13" s="2"/>
    </x:row>
    <x:row r="14" ht="25" customHeight="1">
      <x:c r="A14" s="5" t="str">
        <x:v>M005</x:v>
      </x:c>
      <x:c r="B14" s="5"/>
      <x:c r="C14" s="18"/>
      <x:c r="D14" s="29"/>
      <x:c r="E14" s="18"/>
      <x:c r="F14" s="28"/>
      <x:c r="G14" s="27"/>
      <x:c r="H14" s="27"/>
      <x:c r="I14" s="27"/>
      <x:c r="J14" s="27"/>
      <x:c r="K14" s="27"/>
      <x:c r="L14" s="18"/>
      <x:c r="M14" s="18"/>
      <x:c r="N14" s="18"/>
      <x:c r="O14" s="2"/>
      <x:c r="P14" s="2"/>
      <x:c r="Q14" s="2"/>
    </x:row>
    <x:row r="15" ht="25" customHeight="1">
      <x:c r="A15" s="5" t="str">
        <x:v>M006</x:v>
      </x:c>
      <x:c r="B15" s="5"/>
      <x:c r="C15" s="18"/>
      <x:c r="D15" s="29"/>
      <x:c r="E15" s="18"/>
      <x:c r="F15" s="28"/>
      <x:c r="G15" s="27"/>
      <x:c r="H15" s="27"/>
      <x:c r="I15" s="27"/>
      <x:c r="J15" s="27"/>
      <x:c r="K15" s="27"/>
      <x:c r="L15" s="18"/>
      <x:c r="M15" s="18"/>
      <x:c r="N15" s="18"/>
      <x:c r="O15" s="2"/>
      <x:c r="P15" s="2"/>
      <x:c r="Q15" s="2"/>
    </x:row>
    <x:row r="16" ht="25" customHeight="1">
      <x:c r="A16" s="5" t="str">
        <x:v>M007</x:v>
      </x:c>
      <x:c r="B16" s="5"/>
      <x:c r="C16" s="18"/>
      <x:c r="D16" s="29"/>
      <x:c r="E16" s="18"/>
      <x:c r="F16" s="28"/>
      <x:c r="G16" s="27"/>
      <x:c r="H16" s="27"/>
      <x:c r="I16" s="27"/>
      <x:c r="J16" s="27"/>
      <x:c r="K16" s="27"/>
      <x:c r="L16" s="18"/>
      <x:c r="M16" s="18"/>
      <x:c r="N16" s="18"/>
      <x:c r="O16" s="2"/>
      <x:c r="P16" s="2"/>
      <x:c r="Q16" s="2"/>
    </x:row>
    <x:row r="17" ht="25" customHeight="1">
      <x:c r="A17" s="5" t="str">
        <x:v>M008</x:v>
      </x:c>
      <x:c r="B17" s="5"/>
      <x:c r="C17" s="18"/>
      <x:c r="D17" s="29"/>
      <x:c r="E17" s="18"/>
      <x:c r="F17" s="28"/>
      <x:c r="G17" s="27"/>
      <x:c r="H17" s="27"/>
      <x:c r="I17" s="27"/>
      <x:c r="J17" s="27"/>
      <x:c r="K17" s="27"/>
      <x:c r="L17" s="18"/>
      <x:c r="M17" s="18"/>
      <x:c r="N17" s="18"/>
      <x:c r="O17" s="2"/>
      <x:c r="P17" s="2"/>
      <x:c r="Q17" s="2"/>
    </x:row>
    <x:row r="18" ht="25" customHeight="1">
      <x:c r="A18" s="5" t="str">
        <x:v>M009</x:v>
      </x:c>
      <x:c r="B18" s="5"/>
      <x:c r="C18" s="18"/>
      <x:c r="D18" s="29"/>
      <x:c r="E18" s="18"/>
      <x:c r="F18" s="28"/>
      <x:c r="G18" s="27"/>
      <x:c r="H18" s="27"/>
      <x:c r="I18" s="27"/>
      <x:c r="J18" s="27"/>
      <x:c r="K18" s="27"/>
      <x:c r="L18" s="18"/>
      <x:c r="M18" s="18"/>
      <x:c r="N18" s="18"/>
      <x:c r="O18" s="2"/>
      <x:c r="P18" s="2"/>
      <x:c r="Q18" s="2"/>
    </x:row>
    <x:row r="19" ht="25" customHeight="1">
      <x:c r="A19" s="5" t="str">
        <x:v>M010</x:v>
      </x:c>
      <x:c r="B19" s="5"/>
      <x:c r="C19" s="18"/>
      <x:c r="D19" s="29"/>
      <x:c r="E19" s="18"/>
      <x:c r="F19" s="28"/>
      <x:c r="G19" s="27"/>
      <x:c r="H19" s="27"/>
      <x:c r="I19" s="27"/>
      <x:c r="J19" s="27"/>
      <x:c r="K19" s="27"/>
      <x:c r="L19" s="18"/>
      <x:c r="M19" s="18"/>
      <x:c r="N19" s="18"/>
      <x:c r="O19" s="2"/>
      <x:c r="P19" s="2"/>
      <x:c r="Q19" s="2"/>
    </x:row>
    <x:row r="20" ht="25" customHeight="1">
      <x:c r="A20" s="5" t="str">
        <x:v>M011</x:v>
      </x:c>
      <x:c r="B20" s="5"/>
      <x:c r="C20" s="18"/>
      <x:c r="D20" s="29"/>
      <x:c r="E20" s="18"/>
      <x:c r="F20" s="28"/>
      <x:c r="G20" s="27"/>
      <x:c r="H20" s="27"/>
      <x:c r="I20" s="27"/>
      <x:c r="J20" s="27"/>
      <x:c r="K20" s="27"/>
      <x:c r="L20" s="18"/>
      <x:c r="M20" s="18"/>
      <x:c r="N20" s="18"/>
      <x:c r="O20" s="2"/>
      <x:c r="P20" s="2"/>
      <x:c r="Q20" s="2"/>
    </x:row>
    <x:row r="21" ht="25" customHeight="1">
      <x:c r="A21" s="5" t="str">
        <x:v>M012</x:v>
      </x:c>
      <x:c r="B21" s="5"/>
      <x:c r="C21" s="18"/>
      <x:c r="D21" s="29"/>
      <x:c r="E21" s="18"/>
      <x:c r="F21" s="28"/>
      <x:c r="G21" s="27"/>
      <x:c r="H21" s="27"/>
      <x:c r="I21" s="27"/>
      <x:c r="J21" s="27"/>
      <x:c r="K21" s="27"/>
      <x:c r="L21" s="18"/>
      <x:c r="M21" s="18"/>
      <x:c r="N21" s="18"/>
      <x:c r="O21" s="2"/>
      <x:c r="P21" s="2"/>
      <x:c r="Q21" s="2"/>
    </x:row>
    <x:row r="22" ht="25" customHeight="1">
      <x:c r="A22" s="5" t="str">
        <x:v>M013</x:v>
      </x:c>
      <x:c r="B22" s="5"/>
      <x:c r="C22" s="18"/>
      <x:c r="D22" s="29"/>
      <x:c r="E22" s="18"/>
      <x:c r="F22" s="28"/>
      <x:c r="G22" s="27"/>
      <x:c r="H22" s="27"/>
      <x:c r="I22" s="27"/>
      <x:c r="J22" s="27"/>
      <x:c r="K22" s="27"/>
      <x:c r="L22" s="18"/>
      <x:c r="M22" s="18"/>
      <x:c r="N22" s="18"/>
      <x:c r="O22" s="2"/>
      <x:c r="P22" s="2"/>
      <x:c r="Q22" s="2"/>
    </x:row>
    <x:row r="23" ht="25" customHeight="1">
      <x:c r="A23" s="5" t="str">
        <x:v>M014</x:v>
      </x:c>
      <x:c r="B23" s="5"/>
      <x:c r="C23" s="18"/>
      <x:c r="D23" s="29"/>
      <x:c r="E23" s="18"/>
      <x:c r="F23" s="28"/>
      <x:c r="G23" s="27"/>
      <x:c r="H23" s="27"/>
      <x:c r="I23" s="27"/>
      <x:c r="J23" s="27"/>
      <x:c r="K23" s="27"/>
      <x:c r="L23" s="18"/>
      <x:c r="M23" s="18"/>
      <x:c r="N23" s="18"/>
      <x:c r="O23" s="2"/>
      <x:c r="P23" s="2"/>
      <x:c r="Q23" s="2"/>
    </x:row>
    <x:row r="24" ht="25" customHeight="1">
      <x:c r="A24" s="5" t="str">
        <x:v>M015</x:v>
      </x:c>
      <x:c r="B24" s="5"/>
      <x:c r="C24" s="18"/>
      <x:c r="D24" s="29"/>
      <x:c r="E24" s="18"/>
      <x:c r="F24" s="28"/>
      <x:c r="G24" s="27"/>
      <x:c r="H24" s="27"/>
      <x:c r="I24" s="27"/>
      <x:c r="J24" s="27"/>
      <x:c r="K24" s="27"/>
      <x:c r="L24" s="18"/>
      <x:c r="M24" s="18"/>
      <x:c r="N24" s="18"/>
      <x:c r="O24" s="2"/>
      <x:c r="P24" s="2"/>
      <x:c r="Q24" s="2"/>
    </x:row>
    <x:row r="25" ht="25" customHeight="1">
      <x:c r="A25" s="5" t="str">
        <x:v>M016</x:v>
      </x:c>
      <x:c r="B25" s="5"/>
      <x:c r="C25" s="18"/>
      <x:c r="D25" s="29"/>
      <x:c r="E25" s="18"/>
      <x:c r="F25" s="28"/>
      <x:c r="G25" s="27"/>
      <x:c r="H25" s="27"/>
      <x:c r="I25" s="27"/>
      <x:c r="J25" s="27"/>
      <x:c r="K25" s="27"/>
      <x:c r="L25" s="18"/>
      <x:c r="M25" s="18"/>
      <x:c r="N25" s="18"/>
      <x:c r="O25" s="2"/>
      <x:c r="P25" s="2"/>
      <x:c r="Q25" s="2"/>
    </x:row>
    <x:row r="26" ht="25" customHeight="1">
      <x:c r="A26" s="5" t="str">
        <x:v>M017</x:v>
      </x:c>
      <x:c r="B26" s="5"/>
      <x:c r="C26" s="18"/>
      <x:c r="D26" s="29"/>
      <x:c r="E26" s="18"/>
      <x:c r="F26" s="28"/>
      <x:c r="G26" s="27"/>
      <x:c r="H26" s="27"/>
      <x:c r="I26" s="27"/>
      <x:c r="J26" s="27"/>
      <x:c r="K26" s="27"/>
      <x:c r="L26" s="18"/>
      <x:c r="M26" s="18"/>
      <x:c r="N26" s="18"/>
      <x:c r="O26" s="2"/>
      <x:c r="P26" s="2"/>
      <x:c r="Q26" s="2"/>
    </x:row>
    <x:row r="27" ht="25" customHeight="1">
      <x:c r="A27" s="5" t="str">
        <x:v>M018</x:v>
      </x:c>
      <x:c r="B27" s="5"/>
      <x:c r="C27" s="18"/>
      <x:c r="D27" s="29"/>
      <x:c r="E27" s="18"/>
      <x:c r="F27" s="28"/>
      <x:c r="G27" s="27"/>
      <x:c r="H27" s="27"/>
      <x:c r="I27" s="27"/>
      <x:c r="J27" s="27"/>
      <x:c r="K27" s="27"/>
      <x:c r="L27" s="18"/>
      <x:c r="M27" s="18"/>
      <x:c r="N27" s="18"/>
      <x:c r="O27" s="2"/>
      <x:c r="P27" s="2"/>
      <x:c r="Q27" s="2"/>
    </x:row>
    <x:row r="28" ht="25" customHeight="1">
      <x:c r="A28" s="5" t="str">
        <x:v>M019</x:v>
      </x:c>
      <x:c r="B28" s="5"/>
      <x:c r="C28" s="18"/>
      <x:c r="D28" s="29"/>
      <x:c r="E28" s="18"/>
      <x:c r="F28" s="28"/>
      <x:c r="G28" s="27"/>
      <x:c r="H28" s="27"/>
      <x:c r="I28" s="27"/>
      <x:c r="J28" s="27"/>
      <x:c r="K28" s="27"/>
      <x:c r="L28" s="18"/>
      <x:c r="M28" s="18"/>
      <x:c r="N28" s="18"/>
      <x:c r="O28" s="2"/>
      <x:c r="P28" s="2"/>
      <x:c r="Q28" s="2"/>
    </x:row>
    <x:row r="29" ht="25" customHeight="1">
      <x:c r="A29" s="5" t="str">
        <x:v>M020</x:v>
      </x:c>
      <x:c r="B29" s="5"/>
      <x:c r="C29" s="18"/>
      <x:c r="D29" s="29"/>
      <x:c r="E29" s="18"/>
      <x:c r="F29" s="28"/>
      <x:c r="G29" s="27"/>
      <x:c r="H29" s="27"/>
      <x:c r="I29" s="27"/>
      <x:c r="J29" s="27"/>
      <x:c r="K29" s="27"/>
      <x:c r="L29" s="18"/>
      <x:c r="M29" s="18"/>
      <x:c r="N29" s="18"/>
      <x:c r="O29" s="2"/>
      <x:c r="P29" s="2"/>
      <x:c r="Q29" s="2"/>
    </x:row>
    <x:row r="30" ht="25" customHeight="1">
      <x:c r="A30" s="5" t="str">
        <x:v>M021</x:v>
      </x:c>
      <x:c r="B30" s="5"/>
      <x:c r="C30" s="18"/>
      <x:c r="D30" s="29"/>
      <x:c r="E30" s="18"/>
      <x:c r="F30" s="28"/>
      <x:c r="G30" s="27"/>
      <x:c r="H30" s="27"/>
      <x:c r="I30" s="27"/>
      <x:c r="J30" s="27"/>
      <x:c r="K30" s="27"/>
      <x:c r="L30" s="18"/>
      <x:c r="M30" s="18"/>
      <x:c r="N30" s="18"/>
      <x:c r="O30" s="2"/>
      <x:c r="P30" s="2"/>
      <x:c r="Q30" s="2"/>
    </x:row>
    <x:row r="31" ht="25" customHeight="1">
      <x:c r="A31" s="5" t="str">
        <x:v>M022</x:v>
      </x:c>
      <x:c r="B31" s="5"/>
      <x:c r="C31" s="18"/>
      <x:c r="D31" s="29"/>
      <x:c r="E31" s="18"/>
      <x:c r="F31" s="28"/>
      <x:c r="G31" s="27"/>
      <x:c r="H31" s="27"/>
      <x:c r="I31" s="27"/>
      <x:c r="J31" s="27"/>
      <x:c r="K31" s="27"/>
      <x:c r="L31" s="18"/>
      <x:c r="M31" s="18"/>
      <x:c r="N31" s="18"/>
      <x:c r="O31" s="2"/>
      <x:c r="P31" s="2"/>
      <x:c r="Q31" s="2"/>
    </x:row>
    <x:row r="32" ht="25" customHeight="1">
      <x:c r="A32" s="5" t="str">
        <x:v>M023</x:v>
      </x:c>
      <x:c r="B32" s="5"/>
      <x:c r="C32" s="18"/>
      <x:c r="D32" s="29"/>
      <x:c r="E32" s="18"/>
      <x:c r="F32" s="28"/>
      <x:c r="G32" s="27"/>
      <x:c r="H32" s="27"/>
      <x:c r="I32" s="27"/>
      <x:c r="J32" s="27"/>
      <x:c r="K32" s="27"/>
      <x:c r="L32" s="18"/>
      <x:c r="M32" s="18"/>
      <x:c r="N32" s="18"/>
      <x:c r="O32" s="2"/>
      <x:c r="P32" s="2"/>
      <x:c r="Q32" s="2"/>
    </x:row>
    <x:row r="33" ht="25" customHeight="1">
      <x:c r="A33" s="5" t="str">
        <x:v>M024</x:v>
      </x:c>
      <x:c r="B33" s="5"/>
      <x:c r="C33" s="18"/>
      <x:c r="D33" s="29"/>
      <x:c r="E33" s="18"/>
      <x:c r="F33" s="28"/>
      <x:c r="G33" s="27"/>
      <x:c r="H33" s="27"/>
      <x:c r="I33" s="27"/>
      <x:c r="J33" s="27"/>
      <x:c r="K33" s="27"/>
      <x:c r="L33" s="18"/>
      <x:c r="M33" s="18"/>
      <x:c r="N33" s="18"/>
      <x:c r="O33" s="2"/>
      <x:c r="P33" s="2"/>
      <x:c r="Q33" s="2"/>
    </x:row>
    <x:row r="34" ht="25" customHeight="1">
      <x:c r="A34" s="5" t="str">
        <x:v>M025</x:v>
      </x:c>
      <x:c r="B34" s="5"/>
      <x:c r="C34" s="18"/>
      <x:c r="D34" s="29"/>
      <x:c r="E34" s="18"/>
      <x:c r="F34" s="28"/>
      <x:c r="G34" s="27"/>
      <x:c r="H34" s="27"/>
      <x:c r="I34" s="27"/>
      <x:c r="J34" s="27"/>
      <x:c r="K34" s="27"/>
      <x:c r="L34" s="18"/>
      <x:c r="M34" s="18"/>
      <x:c r="N34" s="18"/>
      <x:c r="O34" s="2"/>
      <x:c r="P34" s="2"/>
      <x:c r="Q34" s="2"/>
    </x:row>
    <x:row r="35" ht="25" customHeight="1">
      <x:c r="A35" s="5" t="str">
        <x:v>M026</x:v>
      </x:c>
      <x:c r="B35" s="5"/>
      <x:c r="C35" s="18"/>
      <x:c r="D35" s="29"/>
      <x:c r="E35" s="18"/>
      <x:c r="F35" s="28"/>
      <x:c r="G35" s="27"/>
      <x:c r="H35" s="27"/>
      <x:c r="I35" s="27"/>
      <x:c r="J35" s="27"/>
      <x:c r="K35" s="27"/>
      <x:c r="L35" s="18"/>
      <x:c r="M35" s="18"/>
      <x:c r="N35" s="18"/>
      <x:c r="O35" s="2"/>
      <x:c r="P35" s="2"/>
      <x:c r="Q35" s="2"/>
    </x:row>
    <x:row r="36" ht="25" customHeight="1">
      <x:c r="A36" s="5" t="str">
        <x:v>M027</x:v>
      </x:c>
      <x:c r="B36" s="5"/>
      <x:c r="C36" s="18"/>
      <x:c r="D36" s="29"/>
      <x:c r="E36" s="18"/>
      <x:c r="F36" s="28"/>
      <x:c r="G36" s="27"/>
      <x:c r="H36" s="27"/>
      <x:c r="I36" s="27"/>
      <x:c r="J36" s="27"/>
      <x:c r="K36" s="27"/>
      <x:c r="L36" s="18"/>
      <x:c r="M36" s="18"/>
      <x:c r="N36" s="18"/>
      <x:c r="O36" s="2"/>
      <x:c r="P36" s="2"/>
      <x:c r="Q36" s="2"/>
    </x:row>
    <x:row r="37" ht="25" customHeight="1">
      <x:c r="A37" s="5" t="str">
        <x:v>M028</x:v>
      </x:c>
      <x:c r="B37" s="5"/>
      <x:c r="C37" s="18"/>
      <x:c r="D37" s="29"/>
      <x:c r="E37" s="18"/>
      <x:c r="F37" s="28"/>
      <x:c r="G37" s="27"/>
      <x:c r="H37" s="27"/>
      <x:c r="I37" s="27"/>
      <x:c r="J37" s="27"/>
      <x:c r="K37" s="27"/>
      <x:c r="L37" s="18"/>
      <x:c r="M37" s="18"/>
      <x:c r="N37" s="18"/>
      <x:c r="O37" s="2"/>
      <x:c r="P37" s="2"/>
      <x:c r="Q37" s="2"/>
    </x:row>
    <x:row r="38" ht="25" customHeight="1">
      <x:c r="A38" s="5" t="str">
        <x:v>M029</x:v>
      </x:c>
      <x:c r="B38" s="5"/>
      <x:c r="C38" s="18"/>
      <x:c r="D38" s="29"/>
      <x:c r="E38" s="18"/>
      <x:c r="F38" s="28"/>
      <x:c r="G38" s="27"/>
      <x:c r="H38" s="27"/>
      <x:c r="I38" s="27"/>
      <x:c r="J38" s="27"/>
      <x:c r="K38" s="27"/>
      <x:c r="L38" s="18"/>
      <x:c r="M38" s="18"/>
      <x:c r="N38" s="18"/>
      <x:c r="O38" s="2"/>
      <x:c r="P38" s="2"/>
      <x:c r="Q38" s="2"/>
    </x:row>
    <x:row r="39" ht="25" customHeight="1">
      <x:c r="A39" s="5" t="str">
        <x:v>M030</x:v>
      </x:c>
      <x:c r="B39" s="5"/>
      <x:c r="C39" s="18"/>
      <x:c r="D39" s="29"/>
      <x:c r="E39" s="18"/>
      <x:c r="F39" s="28"/>
      <x:c r="G39" s="27"/>
      <x:c r="H39" s="27"/>
      <x:c r="I39" s="27"/>
      <x:c r="J39" s="27"/>
      <x:c r="K39" s="27"/>
      <x:c r="L39" s="18"/>
      <x:c r="M39" s="18"/>
      <x:c r="N39" s="18"/>
      <x:c r="O39" s="2"/>
      <x:c r="P39" s="2"/>
      <x:c r="Q39" s="2"/>
    </x:row>
    <x:row r="40" ht="25" customHeight="1">
      <x:c r="A40" s="5" t="str">
        <x:v>M031</x:v>
      </x:c>
      <x:c r="B40" s="5"/>
      <x:c r="C40" s="18"/>
      <x:c r="D40" s="29"/>
      <x:c r="E40" s="18"/>
      <x:c r="F40" s="28"/>
      <x:c r="G40" s="27"/>
      <x:c r="H40" s="27"/>
      <x:c r="I40" s="27"/>
      <x:c r="J40" s="27"/>
      <x:c r="K40" s="27"/>
      <x:c r="L40" s="18"/>
      <x:c r="M40" s="18"/>
      <x:c r="N40" s="18"/>
      <x:c r="O40" s="2"/>
      <x:c r="P40" s="2"/>
      <x:c r="Q40" s="2"/>
    </x:row>
    <x:row r="41" ht="25" customHeight="1">
      <x:c r="A41" s="5" t="str">
        <x:v>M032</x:v>
      </x:c>
      <x:c r="B41" s="5"/>
      <x:c r="C41" s="18"/>
      <x:c r="D41" s="29"/>
      <x:c r="E41" s="18"/>
      <x:c r="F41" s="28"/>
      <x:c r="G41" s="27"/>
      <x:c r="H41" s="27"/>
      <x:c r="I41" s="27"/>
      <x:c r="J41" s="27"/>
      <x:c r="K41" s="27"/>
      <x:c r="L41" s="18"/>
      <x:c r="M41" s="18"/>
      <x:c r="N41" s="18"/>
      <x:c r="O41" s="2"/>
      <x:c r="P41" s="2"/>
      <x:c r="Q41" s="2"/>
    </x:row>
    <x:row r="42" ht="25" customHeight="1">
      <x:c r="A42" s="5" t="str">
        <x:v>M033</x:v>
      </x:c>
      <x:c r="B42" s="5"/>
      <x:c r="C42" s="18"/>
      <x:c r="D42" s="29"/>
      <x:c r="E42" s="18"/>
      <x:c r="F42" s="28"/>
      <x:c r="G42" s="27"/>
      <x:c r="H42" s="27"/>
      <x:c r="I42" s="27"/>
      <x:c r="J42" s="27"/>
      <x:c r="K42" s="27"/>
      <x:c r="L42" s="18"/>
      <x:c r="M42" s="18"/>
      <x:c r="N42" s="18"/>
      <x:c r="O42" s="2"/>
      <x:c r="P42" s="2"/>
      <x:c r="Q42" s="2"/>
    </x:row>
    <x:row r="43" ht="25" customHeight="1">
      <x:c r="A43" s="5" t="str">
        <x:v>M034</x:v>
      </x:c>
      <x:c r="B43" s="5"/>
      <x:c r="C43" s="18"/>
      <x:c r="D43" s="29"/>
      <x:c r="E43" s="18"/>
      <x:c r="F43" s="28"/>
      <x:c r="G43" s="27"/>
      <x:c r="H43" s="27"/>
      <x:c r="I43" s="27"/>
      <x:c r="J43" s="27"/>
      <x:c r="K43" s="27"/>
      <x:c r="L43" s="18"/>
      <x:c r="M43" s="18"/>
      <x:c r="N43" s="18"/>
      <x:c r="O43" s="2"/>
      <x:c r="P43" s="2"/>
      <x:c r="Q43" s="2"/>
    </x:row>
    <x:row r="44" ht="25" customHeight="1">
      <x:c r="A44" s="5" t="str">
        <x:v>M035</x:v>
      </x:c>
      <x:c r="B44" s="5"/>
      <x:c r="C44" s="18"/>
      <x:c r="D44" s="29"/>
      <x:c r="E44" s="18"/>
      <x:c r="F44" s="28"/>
      <x:c r="G44" s="27"/>
      <x:c r="H44" s="27"/>
      <x:c r="I44" s="27"/>
      <x:c r="J44" s="27"/>
      <x:c r="K44" s="27"/>
      <x:c r="L44" s="18"/>
      <x:c r="M44" s="18"/>
      <x:c r="N44" s="18"/>
      <x:c r="O44" s="2"/>
      <x:c r="P44" s="2"/>
      <x:c r="Q44" s="2"/>
    </x:row>
    <x:row r="45" ht="25" customHeight="1">
      <x:c r="A45" s="5" t="str">
        <x:v>M036</x:v>
      </x:c>
      <x:c r="B45" s="5"/>
      <x:c r="C45" s="18"/>
      <x:c r="D45" s="29"/>
      <x:c r="E45" s="18"/>
      <x:c r="F45" s="28"/>
      <x:c r="G45" s="27"/>
      <x:c r="H45" s="27"/>
      <x:c r="I45" s="27"/>
      <x:c r="J45" s="27"/>
      <x:c r="K45" s="27"/>
      <x:c r="L45" s="18"/>
      <x:c r="M45" s="18"/>
      <x:c r="N45" s="18"/>
      <x:c r="O45" s="2"/>
      <x:c r="P45" s="2"/>
      <x:c r="Q45" s="2"/>
    </x:row>
    <x:row r="46" ht="25" customHeight="1">
      <x:c r="A46" s="5" t="str">
        <x:v>M037</x:v>
      </x:c>
      <x:c r="B46" s="5"/>
      <x:c r="C46" s="18"/>
      <x:c r="D46" s="29"/>
      <x:c r="E46" s="18"/>
      <x:c r="F46" s="28"/>
      <x:c r="G46" s="27"/>
      <x:c r="H46" s="27"/>
      <x:c r="I46" s="27"/>
      <x:c r="J46" s="27"/>
      <x:c r="K46" s="27"/>
      <x:c r="L46" s="18"/>
      <x:c r="M46" s="18"/>
      <x:c r="N46" s="18"/>
      <x:c r="O46" s="2"/>
      <x:c r="P46" s="2"/>
      <x:c r="Q46" s="2"/>
    </x:row>
    <x:row r="47" ht="25" customHeight="1">
      <x:c r="A47" s="5" t="str">
        <x:v>M038</x:v>
      </x:c>
      <x:c r="B47" s="5"/>
      <x:c r="C47" s="18"/>
      <x:c r="D47" s="29"/>
      <x:c r="E47" s="18"/>
      <x:c r="F47" s="28"/>
      <x:c r="G47" s="27"/>
      <x:c r="H47" s="27"/>
      <x:c r="I47" s="27"/>
      <x:c r="J47" s="27"/>
      <x:c r="K47" s="27"/>
      <x:c r="L47" s="18"/>
      <x:c r="M47" s="18"/>
      <x:c r="N47" s="18"/>
      <x:c r="O47" s="2"/>
      <x:c r="P47" s="2"/>
      <x:c r="Q47" s="2"/>
    </x:row>
    <x:row r="48" ht="25" customHeight="1">
      <x:c r="A48" s="5" t="str">
        <x:v>M039</x:v>
      </x:c>
      <x:c r="B48" s="5"/>
      <x:c r="C48" s="18"/>
      <x:c r="D48" s="29"/>
      <x:c r="E48" s="18"/>
      <x:c r="F48" s="28"/>
      <x:c r="G48" s="27"/>
      <x:c r="H48" s="27"/>
      <x:c r="I48" s="27"/>
      <x:c r="J48" s="27"/>
      <x:c r="K48" s="27"/>
      <x:c r="L48" s="18"/>
      <x:c r="M48" s="18"/>
      <x:c r="N48" s="18"/>
      <x:c r="O48" s="2"/>
      <x:c r="P48" s="2"/>
      <x:c r="Q48" s="2"/>
    </x:row>
    <x:row r="49" ht="25" customHeight="1">
      <x:c r="A49" s="5" t="str">
        <x:v>M040</x:v>
      </x:c>
      <x:c r="B49" s="5"/>
      <x:c r="C49" s="18"/>
      <x:c r="D49" s="29"/>
      <x:c r="E49" s="18"/>
      <x:c r="F49" s="28"/>
      <x:c r="G49" s="27"/>
      <x:c r="H49" s="27"/>
      <x:c r="I49" s="27"/>
      <x:c r="J49" s="27"/>
      <x:c r="K49" s="27"/>
      <x:c r="L49" s="18"/>
      <x:c r="M49" s="18"/>
      <x:c r="N49" s="18"/>
      <x:c r="O49" s="2"/>
      <x:c r="P49" s="2"/>
      <x:c r="Q49" s="2"/>
    </x:row>
    <x:row r="50" ht="25" customHeight="1">
      <x:c r="A50" s="5" t="str">
        <x:v>M041</x:v>
      </x:c>
      <x:c r="B50" s="5"/>
      <x:c r="C50" s="18"/>
      <x:c r="D50" s="29"/>
      <x:c r="E50" s="18"/>
      <x:c r="F50" s="28"/>
      <x:c r="G50" s="27"/>
      <x:c r="H50" s="27"/>
      <x:c r="I50" s="27"/>
      <x:c r="J50" s="27"/>
      <x:c r="K50" s="27"/>
      <x:c r="L50" s="18"/>
      <x:c r="M50" s="18"/>
      <x:c r="N50" s="18"/>
      <x:c r="O50" s="2"/>
      <x:c r="P50" s="2"/>
      <x:c r="Q50" s="2"/>
    </x:row>
    <x:row r="51" ht="25" customHeight="1">
      <x:c r="A51" s="5" t="str">
        <x:v>M042</x:v>
      </x:c>
      <x:c r="B51" s="5"/>
      <x:c r="C51" s="18"/>
      <x:c r="D51" s="29"/>
      <x:c r="E51" s="18"/>
      <x:c r="F51" s="28"/>
      <x:c r="G51" s="27"/>
      <x:c r="H51" s="27"/>
      <x:c r="I51" s="27"/>
      <x:c r="J51" s="27"/>
      <x:c r="K51" s="27"/>
      <x:c r="L51" s="18"/>
      <x:c r="M51" s="18"/>
      <x:c r="N51" s="18"/>
      <x:c r="O51" s="2"/>
      <x:c r="P51" s="2"/>
      <x:c r="Q51" s="2"/>
    </x:row>
    <x:row r="52" ht="25" customHeight="1">
      <x:c r="A52" s="5" t="str">
        <x:v>M043</x:v>
      </x:c>
      <x:c r="B52" s="5"/>
      <x:c r="C52" s="18"/>
      <x:c r="D52" s="29"/>
      <x:c r="E52" s="18"/>
      <x:c r="F52" s="28"/>
      <x:c r="G52" s="27"/>
      <x:c r="H52" s="27"/>
      <x:c r="I52" s="27"/>
      <x:c r="J52" s="27"/>
      <x:c r="K52" s="27"/>
      <x:c r="L52" s="18"/>
      <x:c r="M52" s="18"/>
      <x:c r="N52" s="18"/>
      <x:c r="O52" s="2"/>
      <x:c r="P52" s="2"/>
      <x:c r="Q52" s="2"/>
    </x:row>
    <x:row r="53" ht="25" customHeight="1">
      <x:c r="A53" s="5" t="str">
        <x:v>M044</x:v>
      </x:c>
      <x:c r="B53" s="5"/>
      <x:c r="C53" s="18"/>
      <x:c r="D53" s="29"/>
      <x:c r="E53" s="18"/>
      <x:c r="F53" s="28"/>
      <x:c r="G53" s="27"/>
      <x:c r="H53" s="27"/>
      <x:c r="I53" s="27"/>
      <x:c r="J53" s="27"/>
      <x:c r="K53" s="27"/>
      <x:c r="L53" s="18"/>
      <x:c r="M53" s="18"/>
      <x:c r="N53" s="18"/>
      <x:c r="O53" s="2"/>
      <x:c r="P53" s="2"/>
      <x:c r="Q53" s="2"/>
    </x:row>
    <x:row r="54" ht="25" customHeight="1">
      <x:c r="A54" s="5" t="str">
        <x:v>M045</x:v>
      </x:c>
      <x:c r="B54" s="5"/>
      <x:c r="C54" s="18"/>
      <x:c r="D54" s="29"/>
      <x:c r="E54" s="18"/>
      <x:c r="F54" s="28"/>
      <x:c r="G54" s="27"/>
      <x:c r="H54" s="27"/>
      <x:c r="I54" s="27"/>
      <x:c r="J54" s="27"/>
      <x:c r="K54" s="27"/>
      <x:c r="L54" s="18"/>
      <x:c r="M54" s="18"/>
      <x:c r="N54" s="18"/>
      <x:c r="O54" s="2"/>
      <x:c r="P54" s="2"/>
      <x:c r="Q54" s="2"/>
    </x:row>
    <x:row r="55" ht="25" customHeight="1">
      <x:c r="A55" s="5" t="str">
        <x:v>M046</x:v>
      </x:c>
      <x:c r="B55" s="5"/>
      <x:c r="C55" s="18"/>
      <x:c r="D55" s="29"/>
      <x:c r="E55" s="18"/>
      <x:c r="F55" s="28"/>
      <x:c r="G55" s="27"/>
      <x:c r="H55" s="27"/>
      <x:c r="I55" s="27"/>
      <x:c r="J55" s="27"/>
      <x:c r="K55" s="27"/>
      <x:c r="L55" s="18"/>
      <x:c r="M55" s="18"/>
      <x:c r="N55" s="18"/>
      <x:c r="O55" s="2"/>
      <x:c r="P55" s="2"/>
      <x:c r="Q55" s="2"/>
    </x:row>
    <x:row r="56" ht="25" customHeight="1">
      <x:c r="A56" s="5" t="str">
        <x:v>M047</x:v>
      </x:c>
      <x:c r="B56" s="5"/>
      <x:c r="C56" s="18"/>
      <x:c r="D56" s="29"/>
      <x:c r="E56" s="18"/>
      <x:c r="F56" s="28"/>
      <x:c r="G56" s="27"/>
      <x:c r="H56" s="27"/>
      <x:c r="I56" s="27"/>
      <x:c r="J56" s="27"/>
      <x:c r="K56" s="27"/>
      <x:c r="L56" s="18"/>
      <x:c r="M56" s="18"/>
      <x:c r="N56" s="18"/>
      <x:c r="O56" s="2"/>
      <x:c r="P56" s="2"/>
      <x:c r="Q56" s="2"/>
    </x:row>
    <x:row r="57" ht="25" customHeight="1">
      <x:c r="A57" s="5" t="str">
        <x:v>M048</x:v>
      </x:c>
      <x:c r="B57" s="5"/>
      <x:c r="C57" s="18"/>
      <x:c r="D57" s="29"/>
      <x:c r="E57" s="18"/>
      <x:c r="F57" s="28"/>
      <x:c r="G57" s="27"/>
      <x:c r="H57" s="27"/>
      <x:c r="I57" s="27"/>
      <x:c r="J57" s="27"/>
      <x:c r="K57" s="27"/>
      <x:c r="L57" s="18"/>
      <x:c r="M57" s="18"/>
      <x:c r="N57" s="18"/>
      <x:c r="O57" s="2"/>
      <x:c r="P57" s="2"/>
      <x:c r="Q57" s="2"/>
    </x:row>
    <x:row r="58" ht="25" customHeight="1">
      <x:c r="A58" s="5" t="str">
        <x:v>M049</x:v>
      </x:c>
      <x:c r="B58" s="5"/>
      <x:c r="C58" s="18"/>
      <x:c r="D58" s="29"/>
      <x:c r="E58" s="18"/>
      <x:c r="F58" s="28"/>
      <x:c r="G58" s="27"/>
      <x:c r="H58" s="27"/>
      <x:c r="I58" s="27"/>
      <x:c r="J58" s="27"/>
      <x:c r="K58" s="27"/>
      <x:c r="L58" s="18"/>
      <x:c r="M58" s="18"/>
      <x:c r="N58" s="18"/>
      <x:c r="O58" s="2"/>
      <x:c r="P58" s="2"/>
      <x:c r="Q58" s="2"/>
    </x:row>
    <x:row r="59" ht="25" customHeight="1">
      <x:c r="A59" s="5" t="str">
        <x:v>M050</x:v>
      </x:c>
      <x:c r="B59" s="5"/>
      <x:c r="C59" s="18"/>
      <x:c r="D59" s="29"/>
      <x:c r="E59" s="18"/>
      <x:c r="F59" s="28"/>
      <x:c r="G59" s="27"/>
      <x:c r="H59" s="27"/>
      <x:c r="I59" s="27"/>
      <x:c r="J59" s="27"/>
      <x:c r="K59" s="27"/>
      <x:c r="L59" s="18"/>
      <x:c r="M59" s="18"/>
      <x:c r="N59" s="18"/>
      <x:c r="O59" s="2"/>
      <x:c r="P59" s="2"/>
      <x:c r="Q59" s="2"/>
    </x:row>
    <x:row r="60" ht="25" customHeight="1">
      <x:c r="A60" s="5" t="str">
        <x:v>M051</x:v>
      </x:c>
      <x:c r="B60" s="5"/>
      <x:c r="C60" s="18"/>
      <x:c r="D60" s="29"/>
      <x:c r="E60" s="18"/>
      <x:c r="F60" s="28"/>
      <x:c r="G60" s="27"/>
      <x:c r="H60" s="27"/>
      <x:c r="I60" s="27"/>
      <x:c r="J60" s="27"/>
      <x:c r="K60" s="27"/>
      <x:c r="L60" s="18"/>
      <x:c r="M60" s="18"/>
      <x:c r="N60" s="18"/>
      <x:c r="O60" s="2"/>
      <x:c r="P60" s="2"/>
      <x:c r="Q60" s="2"/>
    </x:row>
    <x:row r="61" ht="25" customHeight="1">
      <x:c r="A61" s="5" t="str">
        <x:v>M052</x:v>
      </x:c>
      <x:c r="B61" s="5"/>
      <x:c r="C61" s="18"/>
      <x:c r="D61" s="29"/>
      <x:c r="E61" s="18"/>
      <x:c r="F61" s="28"/>
      <x:c r="G61" s="27"/>
      <x:c r="H61" s="27"/>
      <x:c r="I61" s="27"/>
      <x:c r="J61" s="27"/>
      <x:c r="K61" s="27"/>
      <x:c r="L61" s="18"/>
      <x:c r="M61" s="18"/>
      <x:c r="N61" s="18"/>
      <x:c r="O61" s="2"/>
      <x:c r="P61" s="2"/>
      <x:c r="Q61" s="2"/>
    </x:row>
    <x:row r="62" ht="25" customHeight="1">
      <x:c r="A62" s="5" t="str">
        <x:v>M053</x:v>
      </x:c>
      <x:c r="B62" s="5"/>
      <x:c r="C62" s="18"/>
      <x:c r="D62" s="29"/>
      <x:c r="E62" s="18"/>
      <x:c r="F62" s="28"/>
      <x:c r="G62" s="27"/>
      <x:c r="H62" s="27"/>
      <x:c r="I62" s="27"/>
      <x:c r="J62" s="27"/>
      <x:c r="K62" s="27"/>
      <x:c r="L62" s="18"/>
      <x:c r="M62" s="18"/>
      <x:c r="N62" s="18"/>
      <x:c r="O62" s="2"/>
      <x:c r="P62" s="2"/>
      <x:c r="Q62" s="2"/>
    </x:row>
    <x:row r="63" ht="25" customHeight="1">
      <x:c r="A63" s="5" t="str">
        <x:v>M054</x:v>
      </x:c>
      <x:c r="B63" s="5"/>
      <x:c r="C63" s="18"/>
      <x:c r="D63" s="29"/>
      <x:c r="E63" s="18"/>
      <x:c r="F63" s="28"/>
      <x:c r="G63" s="27"/>
      <x:c r="H63" s="27"/>
      <x:c r="I63" s="27"/>
      <x:c r="J63" s="27"/>
      <x:c r="K63" s="27"/>
      <x:c r="L63" s="18"/>
      <x:c r="M63" s="18"/>
      <x:c r="N63" s="18"/>
      <x:c r="O63" s="2"/>
      <x:c r="P63" s="2"/>
      <x:c r="Q63" s="2"/>
    </x:row>
    <x:row r="64" ht="25" customHeight="1">
      <x:c r="A64" s="5" t="str">
        <x:v>M055</x:v>
      </x:c>
      <x:c r="B64" s="5"/>
      <x:c r="C64" s="18"/>
      <x:c r="D64" s="29"/>
      <x:c r="E64" s="18"/>
      <x:c r="F64" s="28"/>
      <x:c r="G64" s="27"/>
      <x:c r="H64" s="27"/>
      <x:c r="I64" s="27"/>
      <x:c r="J64" s="27"/>
      <x:c r="K64" s="27"/>
      <x:c r="L64" s="18"/>
      <x:c r="M64" s="18"/>
      <x:c r="N64" s="18"/>
      <x:c r="O64" s="2"/>
      <x:c r="P64" s="2"/>
      <x:c r="Q64" s="2"/>
    </x:row>
    <x:row r="65" ht="25" customHeight="1">
      <x:c r="A65" s="5" t="str">
        <x:v>M056</x:v>
      </x:c>
      <x:c r="B65" s="5"/>
      <x:c r="C65" s="18"/>
      <x:c r="D65" s="29"/>
      <x:c r="E65" s="18"/>
      <x:c r="F65" s="28"/>
      <x:c r="G65" s="27"/>
      <x:c r="H65" s="27"/>
      <x:c r="I65" s="27"/>
      <x:c r="J65" s="27"/>
      <x:c r="K65" s="27"/>
      <x:c r="L65" s="18"/>
      <x:c r="M65" s="18"/>
      <x:c r="N65" s="18"/>
      <x:c r="O65" s="2"/>
      <x:c r="P65" s="2"/>
      <x:c r="Q65" s="2"/>
    </x:row>
    <x:row r="66" ht="25" customHeight="1">
      <x:c r="A66" s="5" t="str">
        <x:v>M057</x:v>
      </x:c>
      <x:c r="B66" s="5"/>
      <x:c r="C66" s="18"/>
      <x:c r="D66" s="29"/>
      <x:c r="E66" s="18"/>
      <x:c r="F66" s="28"/>
      <x:c r="G66" s="27"/>
      <x:c r="H66" s="27"/>
      <x:c r="I66" s="27"/>
      <x:c r="J66" s="27"/>
      <x:c r="K66" s="27"/>
      <x:c r="L66" s="18"/>
      <x:c r="M66" s="18"/>
      <x:c r="N66" s="18"/>
      <x:c r="O66" s="2"/>
      <x:c r="P66" s="2"/>
      <x:c r="Q66" s="2"/>
    </x:row>
    <x:row r="67" ht="25" customHeight="1">
      <x:c r="A67" s="5" t="str">
        <x:v>M058</x:v>
      </x:c>
      <x:c r="B67" s="5"/>
      <x:c r="C67" s="18"/>
      <x:c r="D67" s="29"/>
      <x:c r="E67" s="18"/>
      <x:c r="F67" s="28"/>
      <x:c r="G67" s="27"/>
      <x:c r="H67" s="27"/>
      <x:c r="I67" s="27"/>
      <x:c r="J67" s="27"/>
      <x:c r="K67" s="27"/>
      <x:c r="L67" s="18"/>
      <x:c r="M67" s="18"/>
      <x:c r="N67" s="18"/>
      <x:c r="O67" s="2"/>
      <x:c r="P67" s="2"/>
      <x:c r="Q67" s="2"/>
    </x:row>
    <x:row r="68" ht="25" customHeight="1">
      <x:c r="A68" s="5" t="str">
        <x:v>M059</x:v>
      </x:c>
      <x:c r="B68" s="5"/>
      <x:c r="C68" s="18"/>
      <x:c r="D68" s="29"/>
      <x:c r="E68" s="18"/>
      <x:c r="F68" s="28"/>
      <x:c r="G68" s="27"/>
      <x:c r="H68" s="27"/>
      <x:c r="I68" s="27"/>
      <x:c r="J68" s="27"/>
      <x:c r="K68" s="27"/>
      <x:c r="L68" s="18"/>
      <x:c r="M68" s="18"/>
      <x:c r="N68" s="18"/>
      <x:c r="O68" s="2"/>
      <x:c r="P68" s="2"/>
      <x:c r="Q68" s="2"/>
    </x:row>
    <x:row r="69" ht="25" customHeight="1">
      <x:c r="A69" s="5" t="str">
        <x:v>M060</x:v>
      </x:c>
      <x:c r="B69" s="5"/>
      <x:c r="C69" s="18"/>
      <x:c r="D69" s="29"/>
      <x:c r="E69" s="18"/>
      <x:c r="F69" s="28"/>
      <x:c r="G69" s="27"/>
      <x:c r="H69" s="27"/>
      <x:c r="I69" s="27"/>
      <x:c r="J69" s="27"/>
      <x:c r="K69" s="27"/>
      <x:c r="L69" s="18"/>
      <x:c r="M69" s="18"/>
      <x:c r="N69" s="18"/>
      <x:c r="O69" s="2"/>
      <x:c r="P69" s="2"/>
      <x:c r="Q69" s="2"/>
    </x:row>
    <x:row r="70" ht="25" customHeight="1">
      <x:c r="A70" s="5" t="str">
        <x:v>M061</x:v>
      </x:c>
      <x:c r="B70" s="5"/>
      <x:c r="C70" s="18"/>
      <x:c r="D70" s="29"/>
      <x:c r="E70" s="18"/>
      <x:c r="F70" s="28"/>
      <x:c r="G70" s="27"/>
      <x:c r="H70" s="27"/>
      <x:c r="I70" s="27"/>
      <x:c r="J70" s="27"/>
      <x:c r="K70" s="27"/>
      <x:c r="L70" s="18"/>
      <x:c r="M70" s="18"/>
      <x:c r="N70" s="18"/>
      <x:c r="O70" s="2"/>
      <x:c r="P70" s="2"/>
      <x:c r="Q70" s="2"/>
    </x:row>
    <x:row r="71" ht="25" customHeight="1">
      <x:c r="A71" s="5" t="str">
        <x:v>M062</x:v>
      </x:c>
      <x:c r="B71" s="5"/>
      <x:c r="C71" s="18"/>
      <x:c r="D71" s="29"/>
      <x:c r="E71" s="18"/>
      <x:c r="F71" s="28"/>
      <x:c r="G71" s="27"/>
      <x:c r="H71" s="27"/>
      <x:c r="I71" s="27"/>
      <x:c r="J71" s="27"/>
      <x:c r="K71" s="27"/>
      <x:c r="L71" s="18"/>
      <x:c r="M71" s="18"/>
      <x:c r="N71" s="18"/>
      <x:c r="O71" s="2"/>
      <x:c r="P71" s="2"/>
      <x:c r="Q71" s="2"/>
    </x:row>
    <x:row r="72" ht="25" customHeight="1">
      <x:c r="A72" s="5" t="str">
        <x:v>M063</x:v>
      </x:c>
      <x:c r="B72" s="5"/>
      <x:c r="C72" s="18"/>
      <x:c r="D72" s="29"/>
      <x:c r="E72" s="18"/>
      <x:c r="F72" s="28"/>
      <x:c r="G72" s="27"/>
      <x:c r="H72" s="27"/>
      <x:c r="I72" s="27"/>
      <x:c r="J72" s="27"/>
      <x:c r="K72" s="27"/>
      <x:c r="L72" s="18"/>
      <x:c r="M72" s="18"/>
      <x:c r="N72" s="18"/>
      <x:c r="O72" s="2"/>
      <x:c r="P72" s="2"/>
      <x:c r="Q72" s="2"/>
    </x:row>
    <x:row r="73" ht="25" customHeight="1">
      <x:c r="A73" s="5" t="str">
        <x:v>M064</x:v>
      </x:c>
      <x:c r="B73" s="5"/>
      <x:c r="C73" s="18"/>
      <x:c r="D73" s="29"/>
      <x:c r="E73" s="18"/>
      <x:c r="F73" s="28"/>
      <x:c r="G73" s="27"/>
      <x:c r="H73" s="27"/>
      <x:c r="I73" s="27"/>
      <x:c r="J73" s="27"/>
      <x:c r="K73" s="27"/>
      <x:c r="L73" s="18"/>
      <x:c r="M73" s="18"/>
      <x:c r="N73" s="18"/>
      <x:c r="O73" s="2"/>
      <x:c r="P73" s="2"/>
      <x:c r="Q73" s="2"/>
    </x:row>
    <x:row r="74" ht="25" customHeight="1">
      <x:c r="A74" s="5" t="str">
        <x:v>M065</x:v>
      </x:c>
      <x:c r="B74" s="5"/>
      <x:c r="C74" s="18"/>
      <x:c r="D74" s="29"/>
      <x:c r="E74" s="18"/>
      <x:c r="F74" s="28"/>
      <x:c r="G74" s="27"/>
      <x:c r="H74" s="27"/>
      <x:c r="I74" s="27"/>
      <x:c r="J74" s="27"/>
      <x:c r="K74" s="27"/>
      <x:c r="L74" s="18"/>
      <x:c r="M74" s="18"/>
      <x:c r="N74" s="18"/>
      <x:c r="O74" s="2"/>
      <x:c r="P74" s="2"/>
      <x:c r="Q74" s="2"/>
    </x:row>
    <x:row r="75" ht="25" customHeight="1">
      <x:c r="A75" s="5" t="str">
        <x:v>M066</x:v>
      </x:c>
      <x:c r="B75" s="5"/>
      <x:c r="C75" s="18"/>
      <x:c r="D75" s="29"/>
      <x:c r="E75" s="18"/>
      <x:c r="F75" s="28"/>
      <x:c r="G75" s="27"/>
      <x:c r="H75" s="27"/>
      <x:c r="I75" s="27"/>
      <x:c r="J75" s="27"/>
      <x:c r="K75" s="27"/>
      <x:c r="L75" s="18"/>
      <x:c r="M75" s="18"/>
      <x:c r="N75" s="18"/>
      <x:c r="O75" s="2"/>
      <x:c r="P75" s="2"/>
      <x:c r="Q75" s="2"/>
    </x:row>
    <x:row r="76" ht="25" customHeight="1">
      <x:c r="A76" s="5" t="str">
        <x:v>M067</x:v>
      </x:c>
      <x:c r="B76" s="5"/>
      <x:c r="C76" s="18"/>
      <x:c r="D76" s="29"/>
      <x:c r="E76" s="18"/>
      <x:c r="F76" s="28"/>
      <x:c r="G76" s="27"/>
      <x:c r="H76" s="27"/>
      <x:c r="I76" s="27"/>
      <x:c r="J76" s="27"/>
      <x:c r="K76" s="27"/>
      <x:c r="L76" s="18"/>
      <x:c r="M76" s="18"/>
      <x:c r="N76" s="18"/>
      <x:c r="O76" s="2"/>
      <x:c r="P76" s="2"/>
      <x:c r="Q76" s="2"/>
    </x:row>
    <x:row r="77" ht="25" customHeight="1">
      <x:c r="A77" s="5" t="str">
        <x:v>M068</x:v>
      </x:c>
      <x:c r="B77" s="5"/>
      <x:c r="C77" s="18"/>
      <x:c r="D77" s="29"/>
      <x:c r="E77" s="18"/>
      <x:c r="F77" s="28"/>
      <x:c r="G77" s="27"/>
      <x:c r="H77" s="27"/>
      <x:c r="I77" s="27"/>
      <x:c r="J77" s="27"/>
      <x:c r="K77" s="27"/>
      <x:c r="L77" s="18"/>
      <x:c r="M77" s="18"/>
      <x:c r="N77" s="18"/>
      <x:c r="O77" s="2"/>
      <x:c r="P77" s="2"/>
      <x:c r="Q77" s="2"/>
    </x:row>
    <x:row r="78" ht="25" customHeight="1">
      <x:c r="A78" s="5" t="str">
        <x:v>M069</x:v>
      </x:c>
      <x:c r="B78" s="5"/>
      <x:c r="C78" s="18"/>
      <x:c r="D78" s="29"/>
      <x:c r="E78" s="18"/>
      <x:c r="F78" s="28"/>
      <x:c r="G78" s="27"/>
      <x:c r="H78" s="27"/>
      <x:c r="I78" s="27"/>
      <x:c r="J78" s="27"/>
      <x:c r="K78" s="27"/>
      <x:c r="L78" s="18"/>
      <x:c r="M78" s="18"/>
      <x:c r="N78" s="18"/>
      <x:c r="O78" s="2"/>
      <x:c r="P78" s="2"/>
      <x:c r="Q78" s="2"/>
    </x:row>
    <x:row r="79" ht="25" customHeight="1">
      <x:c r="A79" s="5" t="str">
        <x:v>M070</x:v>
      </x:c>
      <x:c r="B79" s="5"/>
      <x:c r="C79" s="18"/>
      <x:c r="D79" s="29"/>
      <x:c r="E79" s="18"/>
      <x:c r="F79" s="28"/>
      <x:c r="G79" s="27"/>
      <x:c r="H79" s="27"/>
      <x:c r="I79" s="27"/>
      <x:c r="J79" s="27"/>
      <x:c r="K79" s="27"/>
      <x:c r="L79" s="18"/>
      <x:c r="M79" s="18"/>
      <x:c r="N79" s="18"/>
      <x:c r="O79" s="2"/>
      <x:c r="P79" s="2"/>
      <x:c r="Q79" s="2"/>
    </x:row>
    <x:row r="80" ht="25" customHeight="1">
      <x:c r="A80" s="5" t="str">
        <x:v>M071</x:v>
      </x:c>
      <x:c r="B80" s="5"/>
      <x:c r="C80" s="18"/>
      <x:c r="D80" s="29"/>
      <x:c r="E80" s="18"/>
      <x:c r="F80" s="28"/>
      <x:c r="G80" s="27"/>
      <x:c r="H80" s="27"/>
      <x:c r="I80" s="27"/>
      <x:c r="J80" s="27"/>
      <x:c r="K80" s="27"/>
      <x:c r="L80" s="18"/>
      <x:c r="M80" s="18"/>
      <x:c r="N80" s="18"/>
      <x:c r="O80" s="2"/>
      <x:c r="P80" s="2"/>
      <x:c r="Q80" s="2"/>
    </x:row>
    <x:row r="81" ht="25" customHeight="1">
      <x:c r="A81" s="5" t="str">
        <x:v>M072</x:v>
      </x:c>
      <x:c r="B81" s="5"/>
      <x:c r="C81" s="18"/>
      <x:c r="D81" s="29"/>
      <x:c r="E81" s="18"/>
      <x:c r="F81" s="28"/>
      <x:c r="G81" s="27"/>
      <x:c r="H81" s="27"/>
      <x:c r="I81" s="27"/>
      <x:c r="J81" s="27"/>
      <x:c r="K81" s="27"/>
      <x:c r="L81" s="18"/>
      <x:c r="M81" s="18"/>
      <x:c r="N81" s="18"/>
      <x:c r="O81" s="2"/>
      <x:c r="P81" s="2"/>
      <x:c r="Q81" s="2"/>
    </x:row>
    <x:row r="82" ht="25" customHeight="1">
      <x:c r="A82" s="5" t="str">
        <x:v>M073</x:v>
      </x:c>
      <x:c r="B82" s="5"/>
      <x:c r="C82" s="18"/>
      <x:c r="D82" s="29"/>
      <x:c r="E82" s="18"/>
      <x:c r="F82" s="28"/>
      <x:c r="G82" s="27"/>
      <x:c r="H82" s="27"/>
      <x:c r="I82" s="27"/>
      <x:c r="J82" s="27"/>
      <x:c r="K82" s="27"/>
      <x:c r="L82" s="18"/>
      <x:c r="M82" s="18"/>
      <x:c r="N82" s="18"/>
      <x:c r="O82" s="2"/>
      <x:c r="P82" s="2"/>
      <x:c r="Q82" s="2"/>
    </x:row>
    <x:row r="83" ht="25" customHeight="1">
      <x:c r="A83" s="5" t="str">
        <x:v>M074</x:v>
      </x:c>
      <x:c r="B83" s="5"/>
      <x:c r="C83" s="18"/>
      <x:c r="D83" s="29"/>
      <x:c r="E83" s="18"/>
      <x:c r="F83" s="28"/>
      <x:c r="G83" s="27"/>
      <x:c r="H83" s="27"/>
      <x:c r="I83" s="27"/>
      <x:c r="J83" s="27"/>
      <x:c r="K83" s="27"/>
      <x:c r="L83" s="18"/>
      <x:c r="M83" s="18"/>
      <x:c r="N83" s="18"/>
      <x:c r="O83" s="2"/>
      <x:c r="P83" s="2"/>
      <x:c r="Q83" s="2"/>
    </x:row>
    <x:row r="84" ht="25" customHeight="1">
      <x:c r="A84" s="5" t="str">
        <x:v>M075</x:v>
      </x:c>
      <x:c r="B84" s="5"/>
      <x:c r="C84" s="18"/>
      <x:c r="D84" s="29"/>
      <x:c r="E84" s="18"/>
      <x:c r="F84" s="28"/>
      <x:c r="G84" s="27"/>
      <x:c r="H84" s="27"/>
      <x:c r="I84" s="27"/>
      <x:c r="J84" s="27"/>
      <x:c r="K84" s="27"/>
      <x:c r="L84" s="18"/>
      <x:c r="M84" s="18"/>
      <x:c r="N84" s="18"/>
      <x:c r="O84" s="2"/>
      <x:c r="P84" s="2"/>
      <x:c r="Q84" s="2"/>
    </x:row>
    <x:row r="85" ht="25" customHeight="1">
      <x:c r="A85" s="5" t="str">
        <x:v>M076</x:v>
      </x:c>
      <x:c r="B85" s="5"/>
      <x:c r="C85" s="18"/>
      <x:c r="D85" s="29"/>
      <x:c r="E85" s="18"/>
      <x:c r="F85" s="28"/>
      <x:c r="G85" s="27"/>
      <x:c r="H85" s="27"/>
      <x:c r="I85" s="27"/>
      <x:c r="J85" s="27"/>
      <x:c r="K85" s="27"/>
      <x:c r="L85" s="18"/>
      <x:c r="M85" s="18"/>
      <x:c r="N85" s="18"/>
      <x:c r="O85" s="2"/>
      <x:c r="P85" s="2"/>
      <x:c r="Q85" s="2"/>
    </x:row>
    <x:row r="86" ht="25" customHeight="1">
      <x:c r="A86" s="5" t="str">
        <x:v>M077</x:v>
      </x:c>
      <x:c r="B86" s="5"/>
      <x:c r="C86" s="18"/>
      <x:c r="D86" s="29"/>
      <x:c r="E86" s="18"/>
      <x:c r="F86" s="28"/>
      <x:c r="G86" s="27"/>
      <x:c r="H86" s="27"/>
      <x:c r="I86" s="27"/>
      <x:c r="J86" s="27"/>
      <x:c r="K86" s="27"/>
      <x:c r="L86" s="18"/>
      <x:c r="M86" s="18"/>
      <x:c r="N86" s="18"/>
      <x:c r="O86" s="2"/>
      <x:c r="P86" s="2"/>
      <x:c r="Q86" s="2"/>
    </x:row>
    <x:row r="87" ht="25" customHeight="1">
      <x:c r="A87" s="5" t="str">
        <x:v>M078</x:v>
      </x:c>
      <x:c r="B87" s="5"/>
      <x:c r="C87" s="18"/>
      <x:c r="D87" s="29"/>
      <x:c r="E87" s="18"/>
      <x:c r="F87" s="28"/>
      <x:c r="G87" s="27"/>
      <x:c r="H87" s="27"/>
      <x:c r="I87" s="27"/>
      <x:c r="J87" s="27"/>
      <x:c r="K87" s="27"/>
      <x:c r="L87" s="18"/>
      <x:c r="M87" s="18"/>
      <x:c r="N87" s="18"/>
      <x:c r="O87" s="2"/>
      <x:c r="P87" s="2"/>
      <x:c r="Q87" s="2"/>
    </x:row>
    <x:row r="88" ht="25" customHeight="1">
      <x:c r="A88" s="5" t="str">
        <x:v>M079</x:v>
      </x:c>
      <x:c r="B88" s="5"/>
      <x:c r="C88" s="18"/>
      <x:c r="D88" s="29"/>
      <x:c r="E88" s="18"/>
      <x:c r="F88" s="28"/>
      <x:c r="G88" s="27"/>
      <x:c r="H88" s="27"/>
      <x:c r="I88" s="27"/>
      <x:c r="J88" s="27"/>
      <x:c r="K88" s="27"/>
      <x:c r="L88" s="18"/>
      <x:c r="M88" s="18"/>
      <x:c r="N88" s="18"/>
      <x:c r="O88" s="2"/>
      <x:c r="P88" s="2"/>
      <x:c r="Q88" s="2"/>
    </x:row>
    <x:row r="89" ht="25" customHeight="1">
      <x:c r="A89" s="5" t="str">
        <x:v>M080</x:v>
      </x:c>
      <x:c r="B89" s="5"/>
      <x:c r="C89" s="18"/>
      <x:c r="D89" s="29"/>
      <x:c r="E89" s="18"/>
      <x:c r="F89" s="28"/>
      <x:c r="G89" s="27"/>
      <x:c r="H89" s="27"/>
      <x:c r="I89" s="27"/>
      <x:c r="J89" s="27"/>
      <x:c r="K89" s="27"/>
      <x:c r="L89" s="18"/>
      <x:c r="M89" s="18"/>
      <x:c r="N89" s="18"/>
      <x:c r="O89" s="2"/>
      <x:c r="P89" s="2"/>
      <x:c r="Q89" s="2"/>
    </x:row>
    <x:row r="90" ht="25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</x:row>
    <x:row r="91" ht="25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</x:row>
    <x:row r="92" ht="25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</x:row>
    <x:row r="93" ht="31" customHeight="1">
      <x:c r="A93" s="3" t="str">
        <x:v>Rozpiska jedzenia</x:v>
      </x:c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</x:row>
    <x:row r="94" ht="25" customHeight="1">
      <x:c r="A94" s="9" t="str">
        <x:v>Jedna linia = jeden posiłek. Wybierz ID z bazy, godzinę i liczbę porcji. Wykonanie wpisujemy w „Porcje zjedzone”.</x:v>
      </x:c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</x:row>
    <x:row r="95" ht="25" customHeight="1">
      <x:c r="A95" s="9" t="str">
        <x:v>Żółte pola są edytowalne. Plan i wykonanie są oddzielne. Sumy odczytasz w zakładce Plan i dziennik.</x:v>
      </x:c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</x:row>
    <x:row r="96" ht="49" customHeight="1">
      <x:c r="A96" s="14" t="str">
        <x:v>Data</x:v>
      </x:c>
      <x:c r="B96" s="15" t="str">
        <x:v>Godzina</x:v>
      </x:c>
      <x:c r="C96" s="15" t="str">
        <x:v>ID posiłku</x:v>
      </x:c>
      <x:c r="D96" s="15" t="str">
        <x:v>Status pudełka</x:v>
      </x:c>
      <x:c r="E96" s="15" t="str">
        <x:v>Porcje plan</x:v>
      </x:c>
      <x:c r="F96" s="15" t="str">
        <x:v>Porcje zjedzone</x:v>
      </x:c>
      <x:c r="G96" s="15" t="str">
        <x:v>kcal plan</x:v>
      </x:c>
      <x:c r="H96" s="15" t="str">
        <x:v>Białko plan (g)</x:v>
      </x:c>
      <x:c r="I96" s="15" t="str">
        <x:v>Węglow. plan (g)</x:v>
      </x:c>
      <x:c r="J96" s="15" t="str">
        <x:v>Tłuszcz plan (g)</x:v>
      </x:c>
      <x:c r="K96" s="15" t="str">
        <x:v>Cukry plan (g)</x:v>
      </x:c>
      <x:c r="L96" s="15" t="str">
        <x:v>kcal zjedzone</x:v>
      </x:c>
      <x:c r="M96" s="15" t="str">
        <x:v>Białko zjedzone (g)</x:v>
      </x:c>
      <x:c r="N96" s="15" t="str">
        <x:v>Węglowodany zjedzone (g)</x:v>
      </x:c>
      <x:c r="O96" s="15" t="str">
        <x:v>Tłuszcz zjedzone (g)</x:v>
      </x:c>
      <x:c r="P96" s="15" t="str">
        <x:v>Cukry zjedzone (g)</x:v>
      </x:c>
      <x:c r="Q96" s="16" t="str">
        <x:v>Uwagi</x:v>
      </x:c>
    </x:row>
    <x:row r="97" ht="25" customHeight="1">
      <x:c r="A97" s="6"/>
      <x:c r="B97" s="30"/>
      <x:c r="C97" s="5"/>
      <x:c r="D97" s="5"/>
      <x:c r="E97" s="32"/>
      <x:c r="F97" s="32"/>
      <x:c r="G97" s="24" t="str">
        <x:f>IF($A97="","",IF(AND($C97="",$E97=""),"",IF($E97="","brak danych",IF($E97=0,0,IF(COUNTIFS($A$10:$A$89,$C97)&lt;&gt;1,"brak danych",IF(COUNTIFS($A$10:$A$89,$C97,$F$10:$F$89,"&lt;&gt;")=0,"brak danych",VLOOKUP($C97,$A$10:$J$89,6,FALSE)*$E97))))))</x:f>
      </x:c>
      <x:c r="H97" s="25" t="str">
        <x:f>IF($A97="","",IF(AND($C97="",$E97=""),"",IF($E97="","brak danych",IF($E97=0,0,IF(COUNTIFS($A$10:$A$89,$C97)&lt;&gt;1,"brak danych",IF(COUNTIFS($A$10:$A$89,$C97,$G$10:$G$89,"&lt;&gt;")=0,"brak danych",VLOOKUP($C97,$A$10:$J$89,7,FALSE)*$E97))))))</x:f>
      </x:c>
      <x:c r="I97" s="25" t="str">
        <x:f>IF($A97="","",IF(AND($C97="",$E97=""),"",IF($E97="","brak danych",IF($E97=0,0,IF(COUNTIFS($A$10:$A$89,$C97)&lt;&gt;1,"brak danych",IF(COUNTIFS($A$10:$A$89,$C97,$H$10:$H$89,"&lt;&gt;")=0,"brak danych",VLOOKUP($C97,$A$10:$J$89,8,FALSE)*$E97))))))</x:f>
      </x:c>
      <x:c r="J97" s="25" t="str">
        <x:f>IF($A97="","",IF(AND($C97="",$E97=""),"",IF($E97="","brak danych",IF($E97=0,0,IF(COUNTIFS($A$10:$A$89,$C97)&lt;&gt;1,"brak danych",IF(COUNTIFS($A$10:$A$89,$C97,$I$10:$I$89,"&lt;&gt;")=0,"brak danych",VLOOKUP($C97,$A$10:$J$89,9,FALSE)*$E97))))))</x:f>
      </x:c>
      <x:c r="K97" s="25" t="str">
        <x:f>IF($A97="","",IF(AND($C97="",$E97=""),"",IF($E97="","brak danych",IF($E97=0,0,IF(COUNTIFS($A$10:$A$89,$C97)&lt;&gt;1,"brak danych",IF(COUNTIFS($A$10:$A$89,$C97,$J$10:$J$89,"&lt;&gt;")=0,"brak danych",VLOOKUP($C97,$A$10:$J$89,10,FALSE)*$E97))))))</x:f>
      </x:c>
      <x:c r="L97" s="24" t="str">
        <x:f>IF($A97="","",IF($F97="","",IF($F97=0,0,IF(COUNTIFS($A$10:$A$89,$C97)&lt;&gt;1,"brak danych",IF(COUNTIFS($A$10:$A$89,$C97,$F$10:$F$89,"&lt;&gt;")=0,"brak danych",VLOOKUP($C97,$A$10:$J$89,6,FALSE)*$F97)))))</x:f>
      </x:c>
      <x:c r="M97" s="25" t="str">
        <x:f>IF($A97="","",IF($F97="","",IF($F97=0,0,IF(COUNTIFS($A$10:$A$89,$C97)&lt;&gt;1,"brak danych",IF(COUNTIFS($A$10:$A$89,$C97,$G$10:$G$89,"&lt;&gt;")=0,"brak danych",VLOOKUP($C97,$A$10:$J$89,7,FALSE)*$F97)))))</x:f>
      </x:c>
      <x:c r="N97" s="25" t="str">
        <x:f>IF($A97="","",IF($F97="","",IF($F97=0,0,IF(COUNTIFS($A$10:$A$89,$C97)&lt;&gt;1,"brak danych",IF(COUNTIFS($A$10:$A$89,$C97,$H$10:$H$89,"&lt;&gt;")=0,"brak danych",VLOOKUP($C97,$A$10:$J$89,8,FALSE)*$F97)))))</x:f>
      </x:c>
      <x:c r="O97" s="25" t="str">
        <x:f>IF($A97="","",IF($F97="","",IF($F97=0,0,IF(COUNTIFS($A$10:$A$89,$C97)&lt;&gt;1,"brak danych",IF(COUNTIFS($A$10:$A$89,$C97,$I$10:$I$89,"&lt;&gt;")=0,"brak danych",VLOOKUP($C97,$A$10:$J$89,9,FALSE)*$F97)))))</x:f>
      </x:c>
      <x:c r="P97" s="25" t="str">
        <x:f>IF($A97="","",IF($F97="","",IF($F97=0,0,IF(COUNTIFS($A$10:$A$89,$C97)&lt;&gt;1,"brak danych",IF(COUNTIFS($A$10:$A$89,$C97,$J$10:$J$89,"&lt;&gt;")=0,"brak danych",VLOOKUP($C97,$A$10:$J$89,10,FALSE)*$F97)))))</x:f>
      </x:c>
      <x:c r="Q97" s="18"/>
    </x:row>
    <x:row r="98" ht="25" customHeight="1">
      <x:c r="A98" s="6"/>
      <x:c r="B98" s="30"/>
      <x:c r="C98" s="5"/>
      <x:c r="D98" s="5"/>
      <x:c r="E98" s="32"/>
      <x:c r="F98" s="32"/>
      <x:c r="G98" s="24" t="str">
        <x:f>IF($A98="","",IF(AND($C98="",$E98=""),"",IF($E98="","brak danych",IF($E98=0,0,IF(COUNTIFS($A$10:$A$89,$C98)&lt;&gt;1,"brak danych",IF(COUNTIFS($A$10:$A$89,$C98,$F$10:$F$89,"&lt;&gt;")=0,"brak danych",VLOOKUP($C98,$A$10:$J$89,6,FALSE)*$E98))))))</x:f>
      </x:c>
      <x:c r="H98" s="25" t="str">
        <x:f>IF($A98="","",IF(AND($C98="",$E98=""),"",IF($E98="","brak danych",IF($E98=0,0,IF(COUNTIFS($A$10:$A$89,$C98)&lt;&gt;1,"brak danych",IF(COUNTIFS($A$10:$A$89,$C98,$G$10:$G$89,"&lt;&gt;")=0,"brak danych",VLOOKUP($C98,$A$10:$J$89,7,FALSE)*$E98))))))</x:f>
      </x:c>
      <x:c r="I98" s="25" t="str">
        <x:f>IF($A98="","",IF(AND($C98="",$E98=""),"",IF($E98="","brak danych",IF($E98=0,0,IF(COUNTIFS($A$10:$A$89,$C98)&lt;&gt;1,"brak danych",IF(COUNTIFS($A$10:$A$89,$C98,$H$10:$H$89,"&lt;&gt;")=0,"brak danych",VLOOKUP($C98,$A$10:$J$89,8,FALSE)*$E98))))))</x:f>
      </x:c>
      <x:c r="J98" s="25" t="str">
        <x:f>IF($A98="","",IF(AND($C98="",$E98=""),"",IF($E98="","brak danych",IF($E98=0,0,IF(COUNTIFS($A$10:$A$89,$C98)&lt;&gt;1,"brak danych",IF(COUNTIFS($A$10:$A$89,$C98,$I$10:$I$89,"&lt;&gt;")=0,"brak danych",VLOOKUP($C98,$A$10:$J$89,9,FALSE)*$E98))))))</x:f>
      </x:c>
      <x:c r="K98" s="25" t="str">
        <x:f>IF($A98="","",IF(AND($C98="",$E98=""),"",IF($E98="","brak danych",IF($E98=0,0,IF(COUNTIFS($A$10:$A$89,$C98)&lt;&gt;1,"brak danych",IF(COUNTIFS($A$10:$A$89,$C98,$J$10:$J$89,"&lt;&gt;")=0,"brak danych",VLOOKUP($C98,$A$10:$J$89,10,FALSE)*$E98))))))</x:f>
      </x:c>
      <x:c r="L98" s="24" t="str">
        <x:f>IF($A98="","",IF($F98="","",IF($F98=0,0,IF(COUNTIFS($A$10:$A$89,$C98)&lt;&gt;1,"brak danych",IF(COUNTIFS($A$10:$A$89,$C98,$F$10:$F$89,"&lt;&gt;")=0,"brak danych",VLOOKUP($C98,$A$10:$J$89,6,FALSE)*$F98)))))</x:f>
      </x:c>
      <x:c r="M98" s="25" t="str">
        <x:f>IF($A98="","",IF($F98="","",IF($F98=0,0,IF(COUNTIFS($A$10:$A$89,$C98)&lt;&gt;1,"brak danych",IF(COUNTIFS($A$10:$A$89,$C98,$G$10:$G$89,"&lt;&gt;")=0,"brak danych",VLOOKUP($C98,$A$10:$J$89,7,FALSE)*$F98)))))</x:f>
      </x:c>
      <x:c r="N98" s="25" t="str">
        <x:f>IF($A98="","",IF($F98="","",IF($F98=0,0,IF(COUNTIFS($A$10:$A$89,$C98)&lt;&gt;1,"brak danych",IF(COUNTIFS($A$10:$A$89,$C98,$H$10:$H$89,"&lt;&gt;")=0,"brak danych",VLOOKUP($C98,$A$10:$J$89,8,FALSE)*$F98)))))</x:f>
      </x:c>
      <x:c r="O98" s="25" t="str">
        <x:f>IF($A98="","",IF($F98="","",IF($F98=0,0,IF(COUNTIFS($A$10:$A$89,$C98)&lt;&gt;1,"brak danych",IF(COUNTIFS($A$10:$A$89,$C98,$I$10:$I$89,"&lt;&gt;")=0,"brak danych",VLOOKUP($C98,$A$10:$J$89,9,FALSE)*$F98)))))</x:f>
      </x:c>
      <x:c r="P98" s="25" t="str">
        <x:f>IF($A98="","",IF($F98="","",IF($F98=0,0,IF(COUNTIFS($A$10:$A$89,$C98)&lt;&gt;1,"brak danych",IF(COUNTIFS($A$10:$A$89,$C98,$J$10:$J$89,"&lt;&gt;")=0,"brak danych",VLOOKUP($C98,$A$10:$J$89,10,FALSE)*$F98)))))</x:f>
      </x:c>
      <x:c r="Q98" s="18"/>
    </x:row>
    <x:row r="99" ht="25" customHeight="1">
      <x:c r="A99" s="6"/>
      <x:c r="B99" s="30"/>
      <x:c r="C99" s="5"/>
      <x:c r="D99" s="5"/>
      <x:c r="E99" s="32"/>
      <x:c r="F99" s="32"/>
      <x:c r="G99" s="24" t="str">
        <x:f>IF($A99="","",IF(AND($C99="",$E99=""),"",IF($E99="","brak danych",IF($E99=0,0,IF(COUNTIFS($A$10:$A$89,$C99)&lt;&gt;1,"brak danych",IF(COUNTIFS($A$10:$A$89,$C99,$F$10:$F$89,"&lt;&gt;")=0,"brak danych",VLOOKUP($C99,$A$10:$J$89,6,FALSE)*$E99))))))</x:f>
      </x:c>
      <x:c r="H99" s="25" t="str">
        <x:f>IF($A99="","",IF(AND($C99="",$E99=""),"",IF($E99="","brak danych",IF($E99=0,0,IF(COUNTIFS($A$10:$A$89,$C99)&lt;&gt;1,"brak danych",IF(COUNTIFS($A$10:$A$89,$C99,$G$10:$G$89,"&lt;&gt;")=0,"brak danych",VLOOKUP($C99,$A$10:$J$89,7,FALSE)*$E99))))))</x:f>
      </x:c>
      <x:c r="I99" s="25" t="str">
        <x:f>IF($A99="","",IF(AND($C99="",$E99=""),"",IF($E99="","brak danych",IF($E99=0,0,IF(COUNTIFS($A$10:$A$89,$C99)&lt;&gt;1,"brak danych",IF(COUNTIFS($A$10:$A$89,$C99,$H$10:$H$89,"&lt;&gt;")=0,"brak danych",VLOOKUP($C99,$A$10:$J$89,8,FALSE)*$E99))))))</x:f>
      </x:c>
      <x:c r="J99" s="25" t="str">
        <x:f>IF($A99="","",IF(AND($C99="",$E99=""),"",IF($E99="","brak danych",IF($E99=0,0,IF(COUNTIFS($A$10:$A$89,$C99)&lt;&gt;1,"brak danych",IF(COUNTIFS($A$10:$A$89,$C99,$I$10:$I$89,"&lt;&gt;")=0,"brak danych",VLOOKUP($C99,$A$10:$J$89,9,FALSE)*$E99))))))</x:f>
      </x:c>
      <x:c r="K99" s="25" t="str">
        <x:f>IF($A99="","",IF(AND($C99="",$E99=""),"",IF($E99="","brak danych",IF($E99=0,0,IF(COUNTIFS($A$10:$A$89,$C99)&lt;&gt;1,"brak danych",IF(COUNTIFS($A$10:$A$89,$C99,$J$10:$J$89,"&lt;&gt;")=0,"brak danych",VLOOKUP($C99,$A$10:$J$89,10,FALSE)*$E99))))))</x:f>
      </x:c>
      <x:c r="L99" s="24" t="str">
        <x:f>IF($A99="","",IF($F99="","",IF($F99=0,0,IF(COUNTIFS($A$10:$A$89,$C99)&lt;&gt;1,"brak danych",IF(COUNTIFS($A$10:$A$89,$C99,$F$10:$F$89,"&lt;&gt;")=0,"brak danych",VLOOKUP($C99,$A$10:$J$89,6,FALSE)*$F99)))))</x:f>
      </x:c>
      <x:c r="M99" s="25" t="str">
        <x:f>IF($A99="","",IF($F99="","",IF($F99=0,0,IF(COUNTIFS($A$10:$A$89,$C99)&lt;&gt;1,"brak danych",IF(COUNTIFS($A$10:$A$89,$C99,$G$10:$G$89,"&lt;&gt;")=0,"brak danych",VLOOKUP($C99,$A$10:$J$89,7,FALSE)*$F99)))))</x:f>
      </x:c>
      <x:c r="N99" s="25" t="str">
        <x:f>IF($A99="","",IF($F99="","",IF($F99=0,0,IF(COUNTIFS($A$10:$A$89,$C99)&lt;&gt;1,"brak danych",IF(COUNTIFS($A$10:$A$89,$C99,$H$10:$H$89,"&lt;&gt;")=0,"brak danych",VLOOKUP($C99,$A$10:$J$89,8,FALSE)*$F99)))))</x:f>
      </x:c>
      <x:c r="O99" s="25" t="str">
        <x:f>IF($A99="","",IF($F99="","",IF($F99=0,0,IF(COUNTIFS($A$10:$A$89,$C99)&lt;&gt;1,"brak danych",IF(COUNTIFS($A$10:$A$89,$C99,$I$10:$I$89,"&lt;&gt;")=0,"brak danych",VLOOKUP($C99,$A$10:$J$89,9,FALSE)*$F99)))))</x:f>
      </x:c>
      <x:c r="P99" s="25" t="str">
        <x:f>IF($A99="","",IF($F99="","",IF($F99=0,0,IF(COUNTIFS($A$10:$A$89,$C99)&lt;&gt;1,"brak danych",IF(COUNTIFS($A$10:$A$89,$C99,$J$10:$J$89,"&lt;&gt;")=0,"brak danych",VLOOKUP($C99,$A$10:$J$89,10,FALSE)*$F99)))))</x:f>
      </x:c>
      <x:c r="Q99" s="18"/>
    </x:row>
    <x:row r="100" ht="25" customHeight="1">
      <x:c r="A100" s="6"/>
      <x:c r="B100" s="30"/>
      <x:c r="C100" s="5"/>
      <x:c r="D100" s="5"/>
      <x:c r="E100" s="32"/>
      <x:c r="F100" s="32"/>
      <x:c r="G100" s="24" t="str">
        <x:f>IF($A100="","",IF(AND($C100="",$E100=""),"",IF($E100="","brak danych",IF($E100=0,0,IF(COUNTIFS($A$10:$A$89,$C100)&lt;&gt;1,"brak danych",IF(COUNTIFS($A$10:$A$89,$C100,$F$10:$F$89,"&lt;&gt;")=0,"brak danych",VLOOKUP($C100,$A$10:$J$89,6,FALSE)*$E100))))))</x:f>
      </x:c>
      <x:c r="H100" s="25" t="str">
        <x:f>IF($A100="","",IF(AND($C100="",$E100=""),"",IF($E100="","brak danych",IF($E100=0,0,IF(COUNTIFS($A$10:$A$89,$C100)&lt;&gt;1,"brak danych",IF(COUNTIFS($A$10:$A$89,$C100,$G$10:$G$89,"&lt;&gt;")=0,"brak danych",VLOOKUP($C100,$A$10:$J$89,7,FALSE)*$E100))))))</x:f>
      </x:c>
      <x:c r="I100" s="25" t="str">
        <x:f>IF($A100="","",IF(AND($C100="",$E100=""),"",IF($E100="","brak danych",IF($E100=0,0,IF(COUNTIFS($A$10:$A$89,$C100)&lt;&gt;1,"brak danych",IF(COUNTIFS($A$10:$A$89,$C100,$H$10:$H$89,"&lt;&gt;")=0,"brak danych",VLOOKUP($C100,$A$10:$J$89,8,FALSE)*$E100))))))</x:f>
      </x:c>
      <x:c r="J100" s="25" t="str">
        <x:f>IF($A100="","",IF(AND($C100="",$E100=""),"",IF($E100="","brak danych",IF($E100=0,0,IF(COUNTIFS($A$10:$A$89,$C100)&lt;&gt;1,"brak danych",IF(COUNTIFS($A$10:$A$89,$C100,$I$10:$I$89,"&lt;&gt;")=0,"brak danych",VLOOKUP($C100,$A$10:$J$89,9,FALSE)*$E100))))))</x:f>
      </x:c>
      <x:c r="K100" s="25" t="str">
        <x:f>IF($A100="","",IF(AND($C100="",$E100=""),"",IF($E100="","brak danych",IF($E100=0,0,IF(COUNTIFS($A$10:$A$89,$C100)&lt;&gt;1,"brak danych",IF(COUNTIFS($A$10:$A$89,$C100,$J$10:$J$89,"&lt;&gt;")=0,"brak danych",VLOOKUP($C100,$A$10:$J$89,10,FALSE)*$E100))))))</x:f>
      </x:c>
      <x:c r="L100" s="24" t="str">
        <x:f>IF($A100="","",IF($F100="","",IF($F100=0,0,IF(COUNTIFS($A$10:$A$89,$C100)&lt;&gt;1,"brak danych",IF(COUNTIFS($A$10:$A$89,$C100,$F$10:$F$89,"&lt;&gt;")=0,"brak danych",VLOOKUP($C100,$A$10:$J$89,6,FALSE)*$F100)))))</x:f>
      </x:c>
      <x:c r="M100" s="25" t="str">
        <x:f>IF($A100="","",IF($F100="","",IF($F100=0,0,IF(COUNTIFS($A$10:$A$89,$C100)&lt;&gt;1,"brak danych",IF(COUNTIFS($A$10:$A$89,$C100,$G$10:$G$89,"&lt;&gt;")=0,"brak danych",VLOOKUP($C100,$A$10:$J$89,7,FALSE)*$F100)))))</x:f>
      </x:c>
      <x:c r="N100" s="25" t="str">
        <x:f>IF($A100="","",IF($F100="","",IF($F100=0,0,IF(COUNTIFS($A$10:$A$89,$C100)&lt;&gt;1,"brak danych",IF(COUNTIFS($A$10:$A$89,$C100,$H$10:$H$89,"&lt;&gt;")=0,"brak danych",VLOOKUP($C100,$A$10:$J$89,8,FALSE)*$F100)))))</x:f>
      </x:c>
      <x:c r="O100" s="25" t="str">
        <x:f>IF($A100="","",IF($F100="","",IF($F100=0,0,IF(COUNTIFS($A$10:$A$89,$C100)&lt;&gt;1,"brak danych",IF(COUNTIFS($A$10:$A$89,$C100,$I$10:$I$89,"&lt;&gt;")=0,"brak danych",VLOOKUP($C100,$A$10:$J$89,9,FALSE)*$F100)))))</x:f>
      </x:c>
      <x:c r="P100" s="25" t="str">
        <x:f>IF($A100="","",IF($F100="","",IF($F100=0,0,IF(COUNTIFS($A$10:$A$89,$C100)&lt;&gt;1,"brak danych",IF(COUNTIFS($A$10:$A$89,$C100,$J$10:$J$89,"&lt;&gt;")=0,"brak danych",VLOOKUP($C100,$A$10:$J$89,10,FALSE)*$F100)))))</x:f>
      </x:c>
      <x:c r="Q100" s="18"/>
    </x:row>
    <x:row r="101" ht="25" customHeight="1">
      <x:c r="A101" s="6"/>
      <x:c r="B101" s="30"/>
      <x:c r="C101" s="5"/>
      <x:c r="D101" s="5"/>
      <x:c r="E101" s="32"/>
      <x:c r="F101" s="32"/>
      <x:c r="G101" s="24" t="str">
        <x:f>IF($A101="","",IF(AND($C101="",$E101=""),"",IF($E101="","brak danych",IF($E101=0,0,IF(COUNTIFS($A$10:$A$89,$C101)&lt;&gt;1,"brak danych",IF(COUNTIFS($A$10:$A$89,$C101,$F$10:$F$89,"&lt;&gt;")=0,"brak danych",VLOOKUP($C101,$A$10:$J$89,6,FALSE)*$E101))))))</x:f>
      </x:c>
      <x:c r="H101" s="25" t="str">
        <x:f>IF($A101="","",IF(AND($C101="",$E101=""),"",IF($E101="","brak danych",IF($E101=0,0,IF(COUNTIFS($A$10:$A$89,$C101)&lt;&gt;1,"brak danych",IF(COUNTIFS($A$10:$A$89,$C101,$G$10:$G$89,"&lt;&gt;")=0,"brak danych",VLOOKUP($C101,$A$10:$J$89,7,FALSE)*$E101))))))</x:f>
      </x:c>
      <x:c r="I101" s="25" t="str">
        <x:f>IF($A101="","",IF(AND($C101="",$E101=""),"",IF($E101="","brak danych",IF($E101=0,0,IF(COUNTIFS($A$10:$A$89,$C101)&lt;&gt;1,"brak danych",IF(COUNTIFS($A$10:$A$89,$C101,$H$10:$H$89,"&lt;&gt;")=0,"brak danych",VLOOKUP($C101,$A$10:$J$89,8,FALSE)*$E101))))))</x:f>
      </x:c>
      <x:c r="J101" s="25" t="str">
        <x:f>IF($A101="","",IF(AND($C101="",$E101=""),"",IF($E101="","brak danych",IF($E101=0,0,IF(COUNTIFS($A$10:$A$89,$C101)&lt;&gt;1,"brak danych",IF(COUNTIFS($A$10:$A$89,$C101,$I$10:$I$89,"&lt;&gt;")=0,"brak danych",VLOOKUP($C101,$A$10:$J$89,9,FALSE)*$E101))))))</x:f>
      </x:c>
      <x:c r="K101" s="25" t="str">
        <x:f>IF($A101="","",IF(AND($C101="",$E101=""),"",IF($E101="","brak danych",IF($E101=0,0,IF(COUNTIFS($A$10:$A$89,$C101)&lt;&gt;1,"brak danych",IF(COUNTIFS($A$10:$A$89,$C101,$J$10:$J$89,"&lt;&gt;")=0,"brak danych",VLOOKUP($C101,$A$10:$J$89,10,FALSE)*$E101))))))</x:f>
      </x:c>
      <x:c r="L101" s="24" t="str">
        <x:f>IF($A101="","",IF($F101="","",IF($F101=0,0,IF(COUNTIFS($A$10:$A$89,$C101)&lt;&gt;1,"brak danych",IF(COUNTIFS($A$10:$A$89,$C101,$F$10:$F$89,"&lt;&gt;")=0,"brak danych",VLOOKUP($C101,$A$10:$J$89,6,FALSE)*$F101)))))</x:f>
      </x:c>
      <x:c r="M101" s="25" t="str">
        <x:f>IF($A101="","",IF($F101="","",IF($F101=0,0,IF(COUNTIFS($A$10:$A$89,$C101)&lt;&gt;1,"brak danych",IF(COUNTIFS($A$10:$A$89,$C101,$G$10:$G$89,"&lt;&gt;")=0,"brak danych",VLOOKUP($C101,$A$10:$J$89,7,FALSE)*$F101)))))</x:f>
      </x:c>
      <x:c r="N101" s="25" t="str">
        <x:f>IF($A101="","",IF($F101="","",IF($F101=0,0,IF(COUNTIFS($A$10:$A$89,$C101)&lt;&gt;1,"brak danych",IF(COUNTIFS($A$10:$A$89,$C101,$H$10:$H$89,"&lt;&gt;")=0,"brak danych",VLOOKUP($C101,$A$10:$J$89,8,FALSE)*$F101)))))</x:f>
      </x:c>
      <x:c r="O101" s="25" t="str">
        <x:f>IF($A101="","",IF($F101="","",IF($F101=0,0,IF(COUNTIFS($A$10:$A$89,$C101)&lt;&gt;1,"brak danych",IF(COUNTIFS($A$10:$A$89,$C101,$I$10:$I$89,"&lt;&gt;")=0,"brak danych",VLOOKUP($C101,$A$10:$J$89,9,FALSE)*$F101)))))</x:f>
      </x:c>
      <x:c r="P101" s="25" t="str">
        <x:f>IF($A101="","",IF($F101="","",IF($F101=0,0,IF(COUNTIFS($A$10:$A$89,$C101)&lt;&gt;1,"brak danych",IF(COUNTIFS($A$10:$A$89,$C101,$J$10:$J$89,"&lt;&gt;")=0,"brak danych",VLOOKUP($C101,$A$10:$J$89,10,FALSE)*$F101)))))</x:f>
      </x:c>
      <x:c r="Q101" s="18"/>
    </x:row>
    <x:row r="102" ht="25" customHeight="1">
      <x:c r="A102" s="6"/>
      <x:c r="B102" s="30"/>
      <x:c r="C102" s="5"/>
      <x:c r="D102" s="5"/>
      <x:c r="E102" s="32"/>
      <x:c r="F102" s="32"/>
      <x:c r="G102" s="24" t="str">
        <x:f>IF($A102="","",IF(AND($C102="",$E102=""),"",IF($E102="","brak danych",IF($E102=0,0,IF(COUNTIFS($A$10:$A$89,$C102)&lt;&gt;1,"brak danych",IF(COUNTIFS($A$10:$A$89,$C102,$F$10:$F$89,"&lt;&gt;")=0,"brak danych",VLOOKUP($C102,$A$10:$J$89,6,FALSE)*$E102))))))</x:f>
      </x:c>
      <x:c r="H102" s="25" t="str">
        <x:f>IF($A102="","",IF(AND($C102="",$E102=""),"",IF($E102="","brak danych",IF($E102=0,0,IF(COUNTIFS($A$10:$A$89,$C102)&lt;&gt;1,"brak danych",IF(COUNTIFS($A$10:$A$89,$C102,$G$10:$G$89,"&lt;&gt;")=0,"brak danych",VLOOKUP($C102,$A$10:$J$89,7,FALSE)*$E102))))))</x:f>
      </x:c>
      <x:c r="I102" s="25" t="str">
        <x:f>IF($A102="","",IF(AND($C102="",$E102=""),"",IF($E102="","brak danych",IF($E102=0,0,IF(COUNTIFS($A$10:$A$89,$C102)&lt;&gt;1,"brak danych",IF(COUNTIFS($A$10:$A$89,$C102,$H$10:$H$89,"&lt;&gt;")=0,"brak danych",VLOOKUP($C102,$A$10:$J$89,8,FALSE)*$E102))))))</x:f>
      </x:c>
      <x:c r="J102" s="25" t="str">
        <x:f>IF($A102="","",IF(AND($C102="",$E102=""),"",IF($E102="","brak danych",IF($E102=0,0,IF(COUNTIFS($A$10:$A$89,$C102)&lt;&gt;1,"brak danych",IF(COUNTIFS($A$10:$A$89,$C102,$I$10:$I$89,"&lt;&gt;")=0,"brak danych",VLOOKUP($C102,$A$10:$J$89,9,FALSE)*$E102))))))</x:f>
      </x:c>
      <x:c r="K102" s="25" t="str">
        <x:f>IF($A102="","",IF(AND($C102="",$E102=""),"",IF($E102="","brak danych",IF($E102=0,0,IF(COUNTIFS($A$10:$A$89,$C102)&lt;&gt;1,"brak danych",IF(COUNTIFS($A$10:$A$89,$C102,$J$10:$J$89,"&lt;&gt;")=0,"brak danych",VLOOKUP($C102,$A$10:$J$89,10,FALSE)*$E102))))))</x:f>
      </x:c>
      <x:c r="L102" s="24" t="str">
        <x:f>IF($A102="","",IF($F102="","",IF($F102=0,0,IF(COUNTIFS($A$10:$A$89,$C102)&lt;&gt;1,"brak danych",IF(COUNTIFS($A$10:$A$89,$C102,$F$10:$F$89,"&lt;&gt;")=0,"brak danych",VLOOKUP($C102,$A$10:$J$89,6,FALSE)*$F102)))))</x:f>
      </x:c>
      <x:c r="M102" s="25" t="str">
        <x:f>IF($A102="","",IF($F102="","",IF($F102=0,0,IF(COUNTIFS($A$10:$A$89,$C102)&lt;&gt;1,"brak danych",IF(COUNTIFS($A$10:$A$89,$C102,$G$10:$G$89,"&lt;&gt;")=0,"brak danych",VLOOKUP($C102,$A$10:$J$89,7,FALSE)*$F102)))))</x:f>
      </x:c>
      <x:c r="N102" s="25" t="str">
        <x:f>IF($A102="","",IF($F102="","",IF($F102=0,0,IF(COUNTIFS($A$10:$A$89,$C102)&lt;&gt;1,"brak danych",IF(COUNTIFS($A$10:$A$89,$C102,$H$10:$H$89,"&lt;&gt;")=0,"brak danych",VLOOKUP($C102,$A$10:$J$89,8,FALSE)*$F102)))))</x:f>
      </x:c>
      <x:c r="O102" s="25" t="str">
        <x:f>IF($A102="","",IF($F102="","",IF($F102=0,0,IF(COUNTIFS($A$10:$A$89,$C102)&lt;&gt;1,"brak danych",IF(COUNTIFS($A$10:$A$89,$C102,$I$10:$I$89,"&lt;&gt;")=0,"brak danych",VLOOKUP($C102,$A$10:$J$89,9,FALSE)*$F102)))))</x:f>
      </x:c>
      <x:c r="P102" s="25" t="str">
        <x:f>IF($A102="","",IF($F102="","",IF($F102=0,0,IF(COUNTIFS($A$10:$A$89,$C102)&lt;&gt;1,"brak danych",IF(COUNTIFS($A$10:$A$89,$C102,$J$10:$J$89,"&lt;&gt;")=0,"brak danych",VLOOKUP($C102,$A$10:$J$89,10,FALSE)*$F102)))))</x:f>
      </x:c>
      <x:c r="Q102" s="18"/>
    </x:row>
    <x:row r="103" ht="25" customHeight="1">
      <x:c r="A103" s="6"/>
      <x:c r="B103" s="30"/>
      <x:c r="C103" s="5"/>
      <x:c r="D103" s="5"/>
      <x:c r="E103" s="32"/>
      <x:c r="F103" s="32"/>
      <x:c r="G103" s="24" t="str">
        <x:f>IF($A103="","",IF(AND($C103="",$E103=""),"",IF($E103="","brak danych",IF($E103=0,0,IF(COUNTIFS($A$10:$A$89,$C103)&lt;&gt;1,"brak danych",IF(COUNTIFS($A$10:$A$89,$C103,$F$10:$F$89,"&lt;&gt;")=0,"brak danych",VLOOKUP($C103,$A$10:$J$89,6,FALSE)*$E103))))))</x:f>
      </x:c>
      <x:c r="H103" s="25" t="str">
        <x:f>IF($A103="","",IF(AND($C103="",$E103=""),"",IF($E103="","brak danych",IF($E103=0,0,IF(COUNTIFS($A$10:$A$89,$C103)&lt;&gt;1,"brak danych",IF(COUNTIFS($A$10:$A$89,$C103,$G$10:$G$89,"&lt;&gt;")=0,"brak danych",VLOOKUP($C103,$A$10:$J$89,7,FALSE)*$E103))))))</x:f>
      </x:c>
      <x:c r="I103" s="25" t="str">
        <x:f>IF($A103="","",IF(AND($C103="",$E103=""),"",IF($E103="","brak danych",IF($E103=0,0,IF(COUNTIFS($A$10:$A$89,$C103)&lt;&gt;1,"brak danych",IF(COUNTIFS($A$10:$A$89,$C103,$H$10:$H$89,"&lt;&gt;")=0,"brak danych",VLOOKUP($C103,$A$10:$J$89,8,FALSE)*$E103))))))</x:f>
      </x:c>
      <x:c r="J103" s="25" t="str">
        <x:f>IF($A103="","",IF(AND($C103="",$E103=""),"",IF($E103="","brak danych",IF($E103=0,0,IF(COUNTIFS($A$10:$A$89,$C103)&lt;&gt;1,"brak danych",IF(COUNTIFS($A$10:$A$89,$C103,$I$10:$I$89,"&lt;&gt;")=0,"brak danych",VLOOKUP($C103,$A$10:$J$89,9,FALSE)*$E103))))))</x:f>
      </x:c>
      <x:c r="K103" s="25" t="str">
        <x:f>IF($A103="","",IF(AND($C103="",$E103=""),"",IF($E103="","brak danych",IF($E103=0,0,IF(COUNTIFS($A$10:$A$89,$C103)&lt;&gt;1,"brak danych",IF(COUNTIFS($A$10:$A$89,$C103,$J$10:$J$89,"&lt;&gt;")=0,"brak danych",VLOOKUP($C103,$A$10:$J$89,10,FALSE)*$E103))))))</x:f>
      </x:c>
      <x:c r="L103" s="24" t="str">
        <x:f>IF($A103="","",IF($F103="","",IF($F103=0,0,IF(COUNTIFS($A$10:$A$89,$C103)&lt;&gt;1,"brak danych",IF(COUNTIFS($A$10:$A$89,$C103,$F$10:$F$89,"&lt;&gt;")=0,"brak danych",VLOOKUP($C103,$A$10:$J$89,6,FALSE)*$F103)))))</x:f>
      </x:c>
      <x:c r="M103" s="25" t="str">
        <x:f>IF($A103="","",IF($F103="","",IF($F103=0,0,IF(COUNTIFS($A$10:$A$89,$C103)&lt;&gt;1,"brak danych",IF(COUNTIFS($A$10:$A$89,$C103,$G$10:$G$89,"&lt;&gt;")=0,"brak danych",VLOOKUP($C103,$A$10:$J$89,7,FALSE)*$F103)))))</x:f>
      </x:c>
      <x:c r="N103" s="25" t="str">
        <x:f>IF($A103="","",IF($F103="","",IF($F103=0,0,IF(COUNTIFS($A$10:$A$89,$C103)&lt;&gt;1,"brak danych",IF(COUNTIFS($A$10:$A$89,$C103,$H$10:$H$89,"&lt;&gt;")=0,"brak danych",VLOOKUP($C103,$A$10:$J$89,8,FALSE)*$F103)))))</x:f>
      </x:c>
      <x:c r="O103" s="25" t="str">
        <x:f>IF($A103="","",IF($F103="","",IF($F103=0,0,IF(COUNTIFS($A$10:$A$89,$C103)&lt;&gt;1,"brak danych",IF(COUNTIFS($A$10:$A$89,$C103,$I$10:$I$89,"&lt;&gt;")=0,"brak danych",VLOOKUP($C103,$A$10:$J$89,9,FALSE)*$F103)))))</x:f>
      </x:c>
      <x:c r="P103" s="25" t="str">
        <x:f>IF($A103="","",IF($F103="","",IF($F103=0,0,IF(COUNTIFS($A$10:$A$89,$C103)&lt;&gt;1,"brak danych",IF(COUNTIFS($A$10:$A$89,$C103,$J$10:$J$89,"&lt;&gt;")=0,"brak danych",VLOOKUP($C103,$A$10:$J$89,10,FALSE)*$F103)))))</x:f>
      </x:c>
      <x:c r="Q103" s="18"/>
    </x:row>
    <x:row r="104" ht="25" customHeight="1">
      <x:c r="A104" s="6"/>
      <x:c r="B104" s="30"/>
      <x:c r="C104" s="5"/>
      <x:c r="D104" s="5"/>
      <x:c r="E104" s="32"/>
      <x:c r="F104" s="32"/>
      <x:c r="G104" s="24" t="str">
        <x:f>IF($A104="","",IF(AND($C104="",$E104=""),"",IF($E104="","brak danych",IF($E104=0,0,IF(COUNTIFS($A$10:$A$89,$C104)&lt;&gt;1,"brak danych",IF(COUNTIFS($A$10:$A$89,$C104,$F$10:$F$89,"&lt;&gt;")=0,"brak danych",VLOOKUP($C104,$A$10:$J$89,6,FALSE)*$E104))))))</x:f>
      </x:c>
      <x:c r="H104" s="25" t="str">
        <x:f>IF($A104="","",IF(AND($C104="",$E104=""),"",IF($E104="","brak danych",IF($E104=0,0,IF(COUNTIFS($A$10:$A$89,$C104)&lt;&gt;1,"brak danych",IF(COUNTIFS($A$10:$A$89,$C104,$G$10:$G$89,"&lt;&gt;")=0,"brak danych",VLOOKUP($C104,$A$10:$J$89,7,FALSE)*$E104))))))</x:f>
      </x:c>
      <x:c r="I104" s="25" t="str">
        <x:f>IF($A104="","",IF(AND($C104="",$E104=""),"",IF($E104="","brak danych",IF($E104=0,0,IF(COUNTIFS($A$10:$A$89,$C104)&lt;&gt;1,"brak danych",IF(COUNTIFS($A$10:$A$89,$C104,$H$10:$H$89,"&lt;&gt;")=0,"brak danych",VLOOKUP($C104,$A$10:$J$89,8,FALSE)*$E104))))))</x:f>
      </x:c>
      <x:c r="J104" s="25" t="str">
        <x:f>IF($A104="","",IF(AND($C104="",$E104=""),"",IF($E104="","brak danych",IF($E104=0,0,IF(COUNTIFS($A$10:$A$89,$C104)&lt;&gt;1,"brak danych",IF(COUNTIFS($A$10:$A$89,$C104,$I$10:$I$89,"&lt;&gt;")=0,"brak danych",VLOOKUP($C104,$A$10:$J$89,9,FALSE)*$E104))))))</x:f>
      </x:c>
      <x:c r="K104" s="25" t="str">
        <x:f>IF($A104="","",IF(AND($C104="",$E104=""),"",IF($E104="","brak danych",IF($E104=0,0,IF(COUNTIFS($A$10:$A$89,$C104)&lt;&gt;1,"brak danych",IF(COUNTIFS($A$10:$A$89,$C104,$J$10:$J$89,"&lt;&gt;")=0,"brak danych",VLOOKUP($C104,$A$10:$J$89,10,FALSE)*$E104))))))</x:f>
      </x:c>
      <x:c r="L104" s="24" t="str">
        <x:f>IF($A104="","",IF($F104="","",IF($F104=0,0,IF(COUNTIFS($A$10:$A$89,$C104)&lt;&gt;1,"brak danych",IF(COUNTIFS($A$10:$A$89,$C104,$F$10:$F$89,"&lt;&gt;")=0,"brak danych",VLOOKUP($C104,$A$10:$J$89,6,FALSE)*$F104)))))</x:f>
      </x:c>
      <x:c r="M104" s="25" t="str">
        <x:f>IF($A104="","",IF($F104="","",IF($F104=0,0,IF(COUNTIFS($A$10:$A$89,$C104)&lt;&gt;1,"brak danych",IF(COUNTIFS($A$10:$A$89,$C104,$G$10:$G$89,"&lt;&gt;")=0,"brak danych",VLOOKUP($C104,$A$10:$J$89,7,FALSE)*$F104)))))</x:f>
      </x:c>
      <x:c r="N104" s="25" t="str">
        <x:f>IF($A104="","",IF($F104="","",IF($F104=0,0,IF(COUNTIFS($A$10:$A$89,$C104)&lt;&gt;1,"brak danych",IF(COUNTIFS($A$10:$A$89,$C104,$H$10:$H$89,"&lt;&gt;")=0,"brak danych",VLOOKUP($C104,$A$10:$J$89,8,FALSE)*$F104)))))</x:f>
      </x:c>
      <x:c r="O104" s="25" t="str">
        <x:f>IF($A104="","",IF($F104="","",IF($F104=0,0,IF(COUNTIFS($A$10:$A$89,$C104)&lt;&gt;1,"brak danych",IF(COUNTIFS($A$10:$A$89,$C104,$I$10:$I$89,"&lt;&gt;")=0,"brak danych",VLOOKUP($C104,$A$10:$J$89,9,FALSE)*$F104)))))</x:f>
      </x:c>
      <x:c r="P104" s="25" t="str">
        <x:f>IF($A104="","",IF($F104="","",IF($F104=0,0,IF(COUNTIFS($A$10:$A$89,$C104)&lt;&gt;1,"brak danych",IF(COUNTIFS($A$10:$A$89,$C104,$J$10:$J$89,"&lt;&gt;")=0,"brak danych",VLOOKUP($C104,$A$10:$J$89,10,FALSE)*$F104)))))</x:f>
      </x:c>
      <x:c r="Q104" s="18"/>
    </x:row>
    <x:row r="105" ht="25" customHeight="1">
      <x:c r="A105" s="6"/>
      <x:c r="B105" s="30"/>
      <x:c r="C105" s="5"/>
      <x:c r="D105" s="5"/>
      <x:c r="E105" s="32"/>
      <x:c r="F105" s="32"/>
      <x:c r="G105" s="24" t="str">
        <x:f>IF($A105="","",IF(AND($C105="",$E105=""),"",IF($E105="","brak danych",IF($E105=0,0,IF(COUNTIFS($A$10:$A$89,$C105)&lt;&gt;1,"brak danych",IF(COUNTIFS($A$10:$A$89,$C105,$F$10:$F$89,"&lt;&gt;")=0,"brak danych",VLOOKUP($C105,$A$10:$J$89,6,FALSE)*$E105))))))</x:f>
      </x:c>
      <x:c r="H105" s="25" t="str">
        <x:f>IF($A105="","",IF(AND($C105="",$E105=""),"",IF($E105="","brak danych",IF($E105=0,0,IF(COUNTIFS($A$10:$A$89,$C105)&lt;&gt;1,"brak danych",IF(COUNTIFS($A$10:$A$89,$C105,$G$10:$G$89,"&lt;&gt;")=0,"brak danych",VLOOKUP($C105,$A$10:$J$89,7,FALSE)*$E105))))))</x:f>
      </x:c>
      <x:c r="I105" s="25" t="str">
        <x:f>IF($A105="","",IF(AND($C105="",$E105=""),"",IF($E105="","brak danych",IF($E105=0,0,IF(COUNTIFS($A$10:$A$89,$C105)&lt;&gt;1,"brak danych",IF(COUNTIFS($A$10:$A$89,$C105,$H$10:$H$89,"&lt;&gt;")=0,"brak danych",VLOOKUP($C105,$A$10:$J$89,8,FALSE)*$E105))))))</x:f>
      </x:c>
      <x:c r="J105" s="25" t="str">
        <x:f>IF($A105="","",IF(AND($C105="",$E105=""),"",IF($E105="","brak danych",IF($E105=0,0,IF(COUNTIFS($A$10:$A$89,$C105)&lt;&gt;1,"brak danych",IF(COUNTIFS($A$10:$A$89,$C105,$I$10:$I$89,"&lt;&gt;")=0,"brak danych",VLOOKUP($C105,$A$10:$J$89,9,FALSE)*$E105))))))</x:f>
      </x:c>
      <x:c r="K105" s="25" t="str">
        <x:f>IF($A105="","",IF(AND($C105="",$E105=""),"",IF($E105="","brak danych",IF($E105=0,0,IF(COUNTIFS($A$10:$A$89,$C105)&lt;&gt;1,"brak danych",IF(COUNTIFS($A$10:$A$89,$C105,$J$10:$J$89,"&lt;&gt;")=0,"brak danych",VLOOKUP($C105,$A$10:$J$89,10,FALSE)*$E105))))))</x:f>
      </x:c>
      <x:c r="L105" s="24" t="str">
        <x:f>IF($A105="","",IF($F105="","",IF($F105=0,0,IF(COUNTIFS($A$10:$A$89,$C105)&lt;&gt;1,"brak danych",IF(COUNTIFS($A$10:$A$89,$C105,$F$10:$F$89,"&lt;&gt;")=0,"brak danych",VLOOKUP($C105,$A$10:$J$89,6,FALSE)*$F105)))))</x:f>
      </x:c>
      <x:c r="M105" s="25" t="str">
        <x:f>IF($A105="","",IF($F105="","",IF($F105=0,0,IF(COUNTIFS($A$10:$A$89,$C105)&lt;&gt;1,"brak danych",IF(COUNTIFS($A$10:$A$89,$C105,$G$10:$G$89,"&lt;&gt;")=0,"brak danych",VLOOKUP($C105,$A$10:$J$89,7,FALSE)*$F105)))))</x:f>
      </x:c>
      <x:c r="N105" s="25" t="str">
        <x:f>IF($A105="","",IF($F105="","",IF($F105=0,0,IF(COUNTIFS($A$10:$A$89,$C105)&lt;&gt;1,"brak danych",IF(COUNTIFS($A$10:$A$89,$C105,$H$10:$H$89,"&lt;&gt;")=0,"brak danych",VLOOKUP($C105,$A$10:$J$89,8,FALSE)*$F105)))))</x:f>
      </x:c>
      <x:c r="O105" s="25" t="str">
        <x:f>IF($A105="","",IF($F105="","",IF($F105=0,0,IF(COUNTIFS($A$10:$A$89,$C105)&lt;&gt;1,"brak danych",IF(COUNTIFS($A$10:$A$89,$C105,$I$10:$I$89,"&lt;&gt;")=0,"brak danych",VLOOKUP($C105,$A$10:$J$89,9,FALSE)*$F105)))))</x:f>
      </x:c>
      <x:c r="P105" s="25" t="str">
        <x:f>IF($A105="","",IF($F105="","",IF($F105=0,0,IF(COUNTIFS($A$10:$A$89,$C105)&lt;&gt;1,"brak danych",IF(COUNTIFS($A$10:$A$89,$C105,$J$10:$J$89,"&lt;&gt;")=0,"brak danych",VLOOKUP($C105,$A$10:$J$89,10,FALSE)*$F105)))))</x:f>
      </x:c>
      <x:c r="Q105" s="18"/>
    </x:row>
    <x:row r="106" ht="25" customHeight="1">
      <x:c r="A106" s="6"/>
      <x:c r="B106" s="30"/>
      <x:c r="C106" s="5"/>
      <x:c r="D106" s="5"/>
      <x:c r="E106" s="32"/>
      <x:c r="F106" s="32"/>
      <x:c r="G106" s="24" t="str">
        <x:f>IF($A106="","",IF(AND($C106="",$E106=""),"",IF($E106="","brak danych",IF($E106=0,0,IF(COUNTIFS($A$10:$A$89,$C106)&lt;&gt;1,"brak danych",IF(COUNTIFS($A$10:$A$89,$C106,$F$10:$F$89,"&lt;&gt;")=0,"brak danych",VLOOKUP($C106,$A$10:$J$89,6,FALSE)*$E106))))))</x:f>
      </x:c>
      <x:c r="H106" s="25" t="str">
        <x:f>IF($A106="","",IF(AND($C106="",$E106=""),"",IF($E106="","brak danych",IF($E106=0,0,IF(COUNTIFS($A$10:$A$89,$C106)&lt;&gt;1,"brak danych",IF(COUNTIFS($A$10:$A$89,$C106,$G$10:$G$89,"&lt;&gt;")=0,"brak danych",VLOOKUP($C106,$A$10:$J$89,7,FALSE)*$E106))))))</x:f>
      </x:c>
      <x:c r="I106" s="25" t="str">
        <x:f>IF($A106="","",IF(AND($C106="",$E106=""),"",IF($E106="","brak danych",IF($E106=0,0,IF(COUNTIFS($A$10:$A$89,$C106)&lt;&gt;1,"brak danych",IF(COUNTIFS($A$10:$A$89,$C106,$H$10:$H$89,"&lt;&gt;")=0,"brak danych",VLOOKUP($C106,$A$10:$J$89,8,FALSE)*$E106))))))</x:f>
      </x:c>
      <x:c r="J106" s="25" t="str">
        <x:f>IF($A106="","",IF(AND($C106="",$E106=""),"",IF($E106="","brak danych",IF($E106=0,0,IF(COUNTIFS($A$10:$A$89,$C106)&lt;&gt;1,"brak danych",IF(COUNTIFS($A$10:$A$89,$C106,$I$10:$I$89,"&lt;&gt;")=0,"brak danych",VLOOKUP($C106,$A$10:$J$89,9,FALSE)*$E106))))))</x:f>
      </x:c>
      <x:c r="K106" s="25" t="str">
        <x:f>IF($A106="","",IF(AND($C106="",$E106=""),"",IF($E106="","brak danych",IF($E106=0,0,IF(COUNTIFS($A$10:$A$89,$C106)&lt;&gt;1,"brak danych",IF(COUNTIFS($A$10:$A$89,$C106,$J$10:$J$89,"&lt;&gt;")=0,"brak danych",VLOOKUP($C106,$A$10:$J$89,10,FALSE)*$E106))))))</x:f>
      </x:c>
      <x:c r="L106" s="24" t="str">
        <x:f>IF($A106="","",IF($F106="","",IF($F106=0,0,IF(COUNTIFS($A$10:$A$89,$C106)&lt;&gt;1,"brak danych",IF(COUNTIFS($A$10:$A$89,$C106,$F$10:$F$89,"&lt;&gt;")=0,"brak danych",VLOOKUP($C106,$A$10:$J$89,6,FALSE)*$F106)))))</x:f>
      </x:c>
      <x:c r="M106" s="25" t="str">
        <x:f>IF($A106="","",IF($F106="","",IF($F106=0,0,IF(COUNTIFS($A$10:$A$89,$C106)&lt;&gt;1,"brak danych",IF(COUNTIFS($A$10:$A$89,$C106,$G$10:$G$89,"&lt;&gt;")=0,"brak danych",VLOOKUP($C106,$A$10:$J$89,7,FALSE)*$F106)))))</x:f>
      </x:c>
      <x:c r="N106" s="25" t="str">
        <x:f>IF($A106="","",IF($F106="","",IF($F106=0,0,IF(COUNTIFS($A$10:$A$89,$C106)&lt;&gt;1,"brak danych",IF(COUNTIFS($A$10:$A$89,$C106,$H$10:$H$89,"&lt;&gt;")=0,"brak danych",VLOOKUP($C106,$A$10:$J$89,8,FALSE)*$F106)))))</x:f>
      </x:c>
      <x:c r="O106" s="25" t="str">
        <x:f>IF($A106="","",IF($F106="","",IF($F106=0,0,IF(COUNTIFS($A$10:$A$89,$C106)&lt;&gt;1,"brak danych",IF(COUNTIFS($A$10:$A$89,$C106,$I$10:$I$89,"&lt;&gt;")=0,"brak danych",VLOOKUP($C106,$A$10:$J$89,9,FALSE)*$F106)))))</x:f>
      </x:c>
      <x:c r="P106" s="25" t="str">
        <x:f>IF($A106="","",IF($F106="","",IF($F106=0,0,IF(COUNTIFS($A$10:$A$89,$C106)&lt;&gt;1,"brak danych",IF(COUNTIFS($A$10:$A$89,$C106,$J$10:$J$89,"&lt;&gt;")=0,"brak danych",VLOOKUP($C106,$A$10:$J$89,10,FALSE)*$F106)))))</x:f>
      </x:c>
      <x:c r="Q106" s="18"/>
    </x:row>
    <x:row r="107" ht="25" customHeight="1">
      <x:c r="A107" s="6"/>
      <x:c r="B107" s="30"/>
      <x:c r="C107" s="5"/>
      <x:c r="D107" s="5"/>
      <x:c r="E107" s="32"/>
      <x:c r="F107" s="32"/>
      <x:c r="G107" s="24" t="str">
        <x:f>IF($A107="","",IF(AND($C107="",$E107=""),"",IF($E107="","brak danych",IF($E107=0,0,IF(COUNTIFS($A$10:$A$89,$C107)&lt;&gt;1,"brak danych",IF(COUNTIFS($A$10:$A$89,$C107,$F$10:$F$89,"&lt;&gt;")=0,"brak danych",VLOOKUP($C107,$A$10:$J$89,6,FALSE)*$E107))))))</x:f>
      </x:c>
      <x:c r="H107" s="25" t="str">
        <x:f>IF($A107="","",IF(AND($C107="",$E107=""),"",IF($E107="","brak danych",IF($E107=0,0,IF(COUNTIFS($A$10:$A$89,$C107)&lt;&gt;1,"brak danych",IF(COUNTIFS($A$10:$A$89,$C107,$G$10:$G$89,"&lt;&gt;")=0,"brak danych",VLOOKUP($C107,$A$10:$J$89,7,FALSE)*$E107))))))</x:f>
      </x:c>
      <x:c r="I107" s="25" t="str">
        <x:f>IF($A107="","",IF(AND($C107="",$E107=""),"",IF($E107="","brak danych",IF($E107=0,0,IF(COUNTIFS($A$10:$A$89,$C107)&lt;&gt;1,"brak danych",IF(COUNTIFS($A$10:$A$89,$C107,$H$10:$H$89,"&lt;&gt;")=0,"brak danych",VLOOKUP($C107,$A$10:$J$89,8,FALSE)*$E107))))))</x:f>
      </x:c>
      <x:c r="J107" s="25" t="str">
        <x:f>IF($A107="","",IF(AND($C107="",$E107=""),"",IF($E107="","brak danych",IF($E107=0,0,IF(COUNTIFS($A$10:$A$89,$C107)&lt;&gt;1,"brak danych",IF(COUNTIFS($A$10:$A$89,$C107,$I$10:$I$89,"&lt;&gt;")=0,"brak danych",VLOOKUP($C107,$A$10:$J$89,9,FALSE)*$E107))))))</x:f>
      </x:c>
      <x:c r="K107" s="25" t="str">
        <x:f>IF($A107="","",IF(AND($C107="",$E107=""),"",IF($E107="","brak danych",IF($E107=0,0,IF(COUNTIFS($A$10:$A$89,$C107)&lt;&gt;1,"brak danych",IF(COUNTIFS($A$10:$A$89,$C107,$J$10:$J$89,"&lt;&gt;")=0,"brak danych",VLOOKUP($C107,$A$10:$J$89,10,FALSE)*$E107))))))</x:f>
      </x:c>
      <x:c r="L107" s="24" t="str">
        <x:f>IF($A107="","",IF($F107="","",IF($F107=0,0,IF(COUNTIFS($A$10:$A$89,$C107)&lt;&gt;1,"brak danych",IF(COUNTIFS($A$10:$A$89,$C107,$F$10:$F$89,"&lt;&gt;")=0,"brak danych",VLOOKUP($C107,$A$10:$J$89,6,FALSE)*$F107)))))</x:f>
      </x:c>
      <x:c r="M107" s="25" t="str">
        <x:f>IF($A107="","",IF($F107="","",IF($F107=0,0,IF(COUNTIFS($A$10:$A$89,$C107)&lt;&gt;1,"brak danych",IF(COUNTIFS($A$10:$A$89,$C107,$G$10:$G$89,"&lt;&gt;")=0,"brak danych",VLOOKUP($C107,$A$10:$J$89,7,FALSE)*$F107)))))</x:f>
      </x:c>
      <x:c r="N107" s="25" t="str">
        <x:f>IF($A107="","",IF($F107="","",IF($F107=0,0,IF(COUNTIFS($A$10:$A$89,$C107)&lt;&gt;1,"brak danych",IF(COUNTIFS($A$10:$A$89,$C107,$H$10:$H$89,"&lt;&gt;")=0,"brak danych",VLOOKUP($C107,$A$10:$J$89,8,FALSE)*$F107)))))</x:f>
      </x:c>
      <x:c r="O107" s="25" t="str">
        <x:f>IF($A107="","",IF($F107="","",IF($F107=0,0,IF(COUNTIFS($A$10:$A$89,$C107)&lt;&gt;1,"brak danych",IF(COUNTIFS($A$10:$A$89,$C107,$I$10:$I$89,"&lt;&gt;")=0,"brak danych",VLOOKUP($C107,$A$10:$J$89,9,FALSE)*$F107)))))</x:f>
      </x:c>
      <x:c r="P107" s="25" t="str">
        <x:f>IF($A107="","",IF($F107="","",IF($F107=0,0,IF(COUNTIFS($A$10:$A$89,$C107)&lt;&gt;1,"brak danych",IF(COUNTIFS($A$10:$A$89,$C107,$J$10:$J$89,"&lt;&gt;")=0,"brak danych",VLOOKUP($C107,$A$10:$J$89,10,FALSE)*$F107)))))</x:f>
      </x:c>
      <x:c r="Q107" s="18"/>
    </x:row>
    <x:row r="108" ht="25" customHeight="1">
      <x:c r="A108" s="6"/>
      <x:c r="B108" s="30"/>
      <x:c r="C108" s="5"/>
      <x:c r="D108" s="5"/>
      <x:c r="E108" s="32"/>
      <x:c r="F108" s="32"/>
      <x:c r="G108" s="24" t="str">
        <x:f>IF($A108="","",IF(AND($C108="",$E108=""),"",IF($E108="","brak danych",IF($E108=0,0,IF(COUNTIFS($A$10:$A$89,$C108)&lt;&gt;1,"brak danych",IF(COUNTIFS($A$10:$A$89,$C108,$F$10:$F$89,"&lt;&gt;")=0,"brak danych",VLOOKUP($C108,$A$10:$J$89,6,FALSE)*$E108))))))</x:f>
      </x:c>
      <x:c r="H108" s="25" t="str">
        <x:f>IF($A108="","",IF(AND($C108="",$E108=""),"",IF($E108="","brak danych",IF($E108=0,0,IF(COUNTIFS($A$10:$A$89,$C108)&lt;&gt;1,"brak danych",IF(COUNTIFS($A$10:$A$89,$C108,$G$10:$G$89,"&lt;&gt;")=0,"brak danych",VLOOKUP($C108,$A$10:$J$89,7,FALSE)*$E108))))))</x:f>
      </x:c>
      <x:c r="I108" s="25" t="str">
        <x:f>IF($A108="","",IF(AND($C108="",$E108=""),"",IF($E108="","brak danych",IF($E108=0,0,IF(COUNTIFS($A$10:$A$89,$C108)&lt;&gt;1,"brak danych",IF(COUNTIFS($A$10:$A$89,$C108,$H$10:$H$89,"&lt;&gt;")=0,"brak danych",VLOOKUP($C108,$A$10:$J$89,8,FALSE)*$E108))))))</x:f>
      </x:c>
      <x:c r="J108" s="25" t="str">
        <x:f>IF($A108="","",IF(AND($C108="",$E108=""),"",IF($E108="","brak danych",IF($E108=0,0,IF(COUNTIFS($A$10:$A$89,$C108)&lt;&gt;1,"brak danych",IF(COUNTIFS($A$10:$A$89,$C108,$I$10:$I$89,"&lt;&gt;")=0,"brak danych",VLOOKUP($C108,$A$10:$J$89,9,FALSE)*$E108))))))</x:f>
      </x:c>
      <x:c r="K108" s="25" t="str">
        <x:f>IF($A108="","",IF(AND($C108="",$E108=""),"",IF($E108="","brak danych",IF($E108=0,0,IF(COUNTIFS($A$10:$A$89,$C108)&lt;&gt;1,"brak danych",IF(COUNTIFS($A$10:$A$89,$C108,$J$10:$J$89,"&lt;&gt;")=0,"brak danych",VLOOKUP($C108,$A$10:$J$89,10,FALSE)*$E108))))))</x:f>
      </x:c>
      <x:c r="L108" s="24" t="str">
        <x:f>IF($A108="","",IF($F108="","",IF($F108=0,0,IF(COUNTIFS($A$10:$A$89,$C108)&lt;&gt;1,"brak danych",IF(COUNTIFS($A$10:$A$89,$C108,$F$10:$F$89,"&lt;&gt;")=0,"brak danych",VLOOKUP($C108,$A$10:$J$89,6,FALSE)*$F108)))))</x:f>
      </x:c>
      <x:c r="M108" s="25" t="str">
        <x:f>IF($A108="","",IF($F108="","",IF($F108=0,0,IF(COUNTIFS($A$10:$A$89,$C108)&lt;&gt;1,"brak danych",IF(COUNTIFS($A$10:$A$89,$C108,$G$10:$G$89,"&lt;&gt;")=0,"brak danych",VLOOKUP($C108,$A$10:$J$89,7,FALSE)*$F108)))))</x:f>
      </x:c>
      <x:c r="N108" s="25" t="str">
        <x:f>IF($A108="","",IF($F108="","",IF($F108=0,0,IF(COUNTIFS($A$10:$A$89,$C108)&lt;&gt;1,"brak danych",IF(COUNTIFS($A$10:$A$89,$C108,$H$10:$H$89,"&lt;&gt;")=0,"brak danych",VLOOKUP($C108,$A$10:$J$89,8,FALSE)*$F108)))))</x:f>
      </x:c>
      <x:c r="O108" s="25" t="str">
        <x:f>IF($A108="","",IF($F108="","",IF($F108=0,0,IF(COUNTIFS($A$10:$A$89,$C108)&lt;&gt;1,"brak danych",IF(COUNTIFS($A$10:$A$89,$C108,$I$10:$I$89,"&lt;&gt;")=0,"brak danych",VLOOKUP($C108,$A$10:$J$89,9,FALSE)*$F108)))))</x:f>
      </x:c>
      <x:c r="P108" s="25" t="str">
        <x:f>IF($A108="","",IF($F108="","",IF($F108=0,0,IF(COUNTIFS($A$10:$A$89,$C108)&lt;&gt;1,"brak danych",IF(COUNTIFS($A$10:$A$89,$C108,$J$10:$J$89,"&lt;&gt;")=0,"brak danych",VLOOKUP($C108,$A$10:$J$89,10,FALSE)*$F108)))))</x:f>
      </x:c>
      <x:c r="Q108" s="18"/>
    </x:row>
    <x:row r="109" ht="25" customHeight="1">
      <x:c r="A109" s="6"/>
      <x:c r="B109" s="30"/>
      <x:c r="C109" s="5"/>
      <x:c r="D109" s="5"/>
      <x:c r="E109" s="32"/>
      <x:c r="F109" s="32"/>
      <x:c r="G109" s="24" t="str">
        <x:f>IF($A109="","",IF(AND($C109="",$E109=""),"",IF($E109="","brak danych",IF($E109=0,0,IF(COUNTIFS($A$10:$A$89,$C109)&lt;&gt;1,"brak danych",IF(COUNTIFS($A$10:$A$89,$C109,$F$10:$F$89,"&lt;&gt;")=0,"brak danych",VLOOKUP($C109,$A$10:$J$89,6,FALSE)*$E109))))))</x:f>
      </x:c>
      <x:c r="H109" s="25" t="str">
        <x:f>IF($A109="","",IF(AND($C109="",$E109=""),"",IF($E109="","brak danych",IF($E109=0,0,IF(COUNTIFS($A$10:$A$89,$C109)&lt;&gt;1,"brak danych",IF(COUNTIFS($A$10:$A$89,$C109,$G$10:$G$89,"&lt;&gt;")=0,"brak danych",VLOOKUP($C109,$A$10:$J$89,7,FALSE)*$E109))))))</x:f>
      </x:c>
      <x:c r="I109" s="25" t="str">
        <x:f>IF($A109="","",IF(AND($C109="",$E109=""),"",IF($E109="","brak danych",IF($E109=0,0,IF(COUNTIFS($A$10:$A$89,$C109)&lt;&gt;1,"brak danych",IF(COUNTIFS($A$10:$A$89,$C109,$H$10:$H$89,"&lt;&gt;")=0,"brak danych",VLOOKUP($C109,$A$10:$J$89,8,FALSE)*$E109))))))</x:f>
      </x:c>
      <x:c r="J109" s="25" t="str">
        <x:f>IF($A109="","",IF(AND($C109="",$E109=""),"",IF($E109="","brak danych",IF($E109=0,0,IF(COUNTIFS($A$10:$A$89,$C109)&lt;&gt;1,"brak danych",IF(COUNTIFS($A$10:$A$89,$C109,$I$10:$I$89,"&lt;&gt;")=0,"brak danych",VLOOKUP($C109,$A$10:$J$89,9,FALSE)*$E109))))))</x:f>
      </x:c>
      <x:c r="K109" s="25" t="str">
        <x:f>IF($A109="","",IF(AND($C109="",$E109=""),"",IF($E109="","brak danych",IF($E109=0,0,IF(COUNTIFS($A$10:$A$89,$C109)&lt;&gt;1,"brak danych",IF(COUNTIFS($A$10:$A$89,$C109,$J$10:$J$89,"&lt;&gt;")=0,"brak danych",VLOOKUP($C109,$A$10:$J$89,10,FALSE)*$E109))))))</x:f>
      </x:c>
      <x:c r="L109" s="24" t="str">
        <x:f>IF($A109="","",IF($F109="","",IF($F109=0,0,IF(COUNTIFS($A$10:$A$89,$C109)&lt;&gt;1,"brak danych",IF(COUNTIFS($A$10:$A$89,$C109,$F$10:$F$89,"&lt;&gt;")=0,"brak danych",VLOOKUP($C109,$A$10:$J$89,6,FALSE)*$F109)))))</x:f>
      </x:c>
      <x:c r="M109" s="25" t="str">
        <x:f>IF($A109="","",IF($F109="","",IF($F109=0,0,IF(COUNTIFS($A$10:$A$89,$C109)&lt;&gt;1,"brak danych",IF(COUNTIFS($A$10:$A$89,$C109,$G$10:$G$89,"&lt;&gt;")=0,"brak danych",VLOOKUP($C109,$A$10:$J$89,7,FALSE)*$F109)))))</x:f>
      </x:c>
      <x:c r="N109" s="25" t="str">
        <x:f>IF($A109="","",IF($F109="","",IF($F109=0,0,IF(COUNTIFS($A$10:$A$89,$C109)&lt;&gt;1,"brak danych",IF(COUNTIFS($A$10:$A$89,$C109,$H$10:$H$89,"&lt;&gt;")=0,"brak danych",VLOOKUP($C109,$A$10:$J$89,8,FALSE)*$F109)))))</x:f>
      </x:c>
      <x:c r="O109" s="25" t="str">
        <x:f>IF($A109="","",IF($F109="","",IF($F109=0,0,IF(COUNTIFS($A$10:$A$89,$C109)&lt;&gt;1,"brak danych",IF(COUNTIFS($A$10:$A$89,$C109,$I$10:$I$89,"&lt;&gt;")=0,"brak danych",VLOOKUP($C109,$A$10:$J$89,9,FALSE)*$F109)))))</x:f>
      </x:c>
      <x:c r="P109" s="25" t="str">
        <x:f>IF($A109="","",IF($F109="","",IF($F109=0,0,IF(COUNTIFS($A$10:$A$89,$C109)&lt;&gt;1,"brak danych",IF(COUNTIFS($A$10:$A$89,$C109,$J$10:$J$89,"&lt;&gt;")=0,"brak danych",VLOOKUP($C109,$A$10:$J$89,10,FALSE)*$F109)))))</x:f>
      </x:c>
      <x:c r="Q109" s="18"/>
    </x:row>
    <x:row r="110" ht="25" customHeight="1">
      <x:c r="A110" s="6"/>
      <x:c r="B110" s="30"/>
      <x:c r="C110" s="5"/>
      <x:c r="D110" s="5"/>
      <x:c r="E110" s="32"/>
      <x:c r="F110" s="32"/>
      <x:c r="G110" s="24" t="str">
        <x:f>IF($A110="","",IF(AND($C110="",$E110=""),"",IF($E110="","brak danych",IF($E110=0,0,IF(COUNTIFS($A$10:$A$89,$C110)&lt;&gt;1,"brak danych",IF(COUNTIFS($A$10:$A$89,$C110,$F$10:$F$89,"&lt;&gt;")=0,"brak danych",VLOOKUP($C110,$A$10:$J$89,6,FALSE)*$E110))))))</x:f>
      </x:c>
      <x:c r="H110" s="25" t="str">
        <x:f>IF($A110="","",IF(AND($C110="",$E110=""),"",IF($E110="","brak danych",IF($E110=0,0,IF(COUNTIFS($A$10:$A$89,$C110)&lt;&gt;1,"brak danych",IF(COUNTIFS($A$10:$A$89,$C110,$G$10:$G$89,"&lt;&gt;")=0,"brak danych",VLOOKUP($C110,$A$10:$J$89,7,FALSE)*$E110))))))</x:f>
      </x:c>
      <x:c r="I110" s="25" t="str">
        <x:f>IF($A110="","",IF(AND($C110="",$E110=""),"",IF($E110="","brak danych",IF($E110=0,0,IF(COUNTIFS($A$10:$A$89,$C110)&lt;&gt;1,"brak danych",IF(COUNTIFS($A$10:$A$89,$C110,$H$10:$H$89,"&lt;&gt;")=0,"brak danych",VLOOKUP($C110,$A$10:$J$89,8,FALSE)*$E110))))))</x:f>
      </x:c>
      <x:c r="J110" s="25" t="str">
        <x:f>IF($A110="","",IF(AND($C110="",$E110=""),"",IF($E110="","brak danych",IF($E110=0,0,IF(COUNTIFS($A$10:$A$89,$C110)&lt;&gt;1,"brak danych",IF(COUNTIFS($A$10:$A$89,$C110,$I$10:$I$89,"&lt;&gt;")=0,"brak danych",VLOOKUP($C110,$A$10:$J$89,9,FALSE)*$E110))))))</x:f>
      </x:c>
      <x:c r="K110" s="25" t="str">
        <x:f>IF($A110="","",IF(AND($C110="",$E110=""),"",IF($E110="","brak danych",IF($E110=0,0,IF(COUNTIFS($A$10:$A$89,$C110)&lt;&gt;1,"brak danych",IF(COUNTIFS($A$10:$A$89,$C110,$J$10:$J$89,"&lt;&gt;")=0,"brak danych",VLOOKUP($C110,$A$10:$J$89,10,FALSE)*$E110))))))</x:f>
      </x:c>
      <x:c r="L110" s="24" t="str">
        <x:f>IF($A110="","",IF($F110="","",IF($F110=0,0,IF(COUNTIFS($A$10:$A$89,$C110)&lt;&gt;1,"brak danych",IF(COUNTIFS($A$10:$A$89,$C110,$F$10:$F$89,"&lt;&gt;")=0,"brak danych",VLOOKUP($C110,$A$10:$J$89,6,FALSE)*$F110)))))</x:f>
      </x:c>
      <x:c r="M110" s="25" t="str">
        <x:f>IF($A110="","",IF($F110="","",IF($F110=0,0,IF(COUNTIFS($A$10:$A$89,$C110)&lt;&gt;1,"brak danych",IF(COUNTIFS($A$10:$A$89,$C110,$G$10:$G$89,"&lt;&gt;")=0,"brak danych",VLOOKUP($C110,$A$10:$J$89,7,FALSE)*$F110)))))</x:f>
      </x:c>
      <x:c r="N110" s="25" t="str">
        <x:f>IF($A110="","",IF($F110="","",IF($F110=0,0,IF(COUNTIFS($A$10:$A$89,$C110)&lt;&gt;1,"brak danych",IF(COUNTIFS($A$10:$A$89,$C110,$H$10:$H$89,"&lt;&gt;")=0,"brak danych",VLOOKUP($C110,$A$10:$J$89,8,FALSE)*$F110)))))</x:f>
      </x:c>
      <x:c r="O110" s="25" t="str">
        <x:f>IF($A110="","",IF($F110="","",IF($F110=0,0,IF(COUNTIFS($A$10:$A$89,$C110)&lt;&gt;1,"brak danych",IF(COUNTIFS($A$10:$A$89,$C110,$I$10:$I$89,"&lt;&gt;")=0,"brak danych",VLOOKUP($C110,$A$10:$J$89,9,FALSE)*$F110)))))</x:f>
      </x:c>
      <x:c r="P110" s="25" t="str">
        <x:f>IF($A110="","",IF($F110="","",IF($F110=0,0,IF(COUNTIFS($A$10:$A$89,$C110)&lt;&gt;1,"brak danych",IF(COUNTIFS($A$10:$A$89,$C110,$J$10:$J$89,"&lt;&gt;")=0,"brak danych",VLOOKUP($C110,$A$10:$J$89,10,FALSE)*$F110)))))</x:f>
      </x:c>
      <x:c r="Q110" s="18"/>
    </x:row>
    <x:row r="111" ht="25" customHeight="1">
      <x:c r="A111" s="6"/>
      <x:c r="B111" s="30"/>
      <x:c r="C111" s="5"/>
      <x:c r="D111" s="5"/>
      <x:c r="E111" s="32"/>
      <x:c r="F111" s="32"/>
      <x:c r="G111" s="24" t="str">
        <x:f>IF($A111="","",IF(AND($C111="",$E111=""),"",IF($E111="","brak danych",IF($E111=0,0,IF(COUNTIFS($A$10:$A$89,$C111)&lt;&gt;1,"brak danych",IF(COUNTIFS($A$10:$A$89,$C111,$F$10:$F$89,"&lt;&gt;")=0,"brak danych",VLOOKUP($C111,$A$10:$J$89,6,FALSE)*$E111))))))</x:f>
      </x:c>
      <x:c r="H111" s="25" t="str">
        <x:f>IF($A111="","",IF(AND($C111="",$E111=""),"",IF($E111="","brak danych",IF($E111=0,0,IF(COUNTIFS($A$10:$A$89,$C111)&lt;&gt;1,"brak danych",IF(COUNTIFS($A$10:$A$89,$C111,$G$10:$G$89,"&lt;&gt;")=0,"brak danych",VLOOKUP($C111,$A$10:$J$89,7,FALSE)*$E111))))))</x:f>
      </x:c>
      <x:c r="I111" s="25" t="str">
        <x:f>IF($A111="","",IF(AND($C111="",$E111=""),"",IF($E111="","brak danych",IF($E111=0,0,IF(COUNTIFS($A$10:$A$89,$C111)&lt;&gt;1,"brak danych",IF(COUNTIFS($A$10:$A$89,$C111,$H$10:$H$89,"&lt;&gt;")=0,"brak danych",VLOOKUP($C111,$A$10:$J$89,8,FALSE)*$E111))))))</x:f>
      </x:c>
      <x:c r="J111" s="25" t="str">
        <x:f>IF($A111="","",IF(AND($C111="",$E111=""),"",IF($E111="","brak danych",IF($E111=0,0,IF(COUNTIFS($A$10:$A$89,$C111)&lt;&gt;1,"brak danych",IF(COUNTIFS($A$10:$A$89,$C111,$I$10:$I$89,"&lt;&gt;")=0,"brak danych",VLOOKUP($C111,$A$10:$J$89,9,FALSE)*$E111))))))</x:f>
      </x:c>
      <x:c r="K111" s="25" t="str">
        <x:f>IF($A111="","",IF(AND($C111="",$E111=""),"",IF($E111="","brak danych",IF($E111=0,0,IF(COUNTIFS($A$10:$A$89,$C111)&lt;&gt;1,"brak danych",IF(COUNTIFS($A$10:$A$89,$C111,$J$10:$J$89,"&lt;&gt;")=0,"brak danych",VLOOKUP($C111,$A$10:$J$89,10,FALSE)*$E111))))))</x:f>
      </x:c>
      <x:c r="L111" s="24" t="str">
        <x:f>IF($A111="","",IF($F111="","",IF($F111=0,0,IF(COUNTIFS($A$10:$A$89,$C111)&lt;&gt;1,"brak danych",IF(COUNTIFS($A$10:$A$89,$C111,$F$10:$F$89,"&lt;&gt;")=0,"brak danych",VLOOKUP($C111,$A$10:$J$89,6,FALSE)*$F111)))))</x:f>
      </x:c>
      <x:c r="M111" s="25" t="str">
        <x:f>IF($A111="","",IF($F111="","",IF($F111=0,0,IF(COUNTIFS($A$10:$A$89,$C111)&lt;&gt;1,"brak danych",IF(COUNTIFS($A$10:$A$89,$C111,$G$10:$G$89,"&lt;&gt;")=0,"brak danych",VLOOKUP($C111,$A$10:$J$89,7,FALSE)*$F111)))))</x:f>
      </x:c>
      <x:c r="N111" s="25" t="str">
        <x:f>IF($A111="","",IF($F111="","",IF($F111=0,0,IF(COUNTIFS($A$10:$A$89,$C111)&lt;&gt;1,"brak danych",IF(COUNTIFS($A$10:$A$89,$C111,$H$10:$H$89,"&lt;&gt;")=0,"brak danych",VLOOKUP($C111,$A$10:$J$89,8,FALSE)*$F111)))))</x:f>
      </x:c>
      <x:c r="O111" s="25" t="str">
        <x:f>IF($A111="","",IF($F111="","",IF($F111=0,0,IF(COUNTIFS($A$10:$A$89,$C111)&lt;&gt;1,"brak danych",IF(COUNTIFS($A$10:$A$89,$C111,$I$10:$I$89,"&lt;&gt;")=0,"brak danych",VLOOKUP($C111,$A$10:$J$89,9,FALSE)*$F111)))))</x:f>
      </x:c>
      <x:c r="P111" s="25" t="str">
        <x:f>IF($A111="","",IF($F111="","",IF($F111=0,0,IF(COUNTIFS($A$10:$A$89,$C111)&lt;&gt;1,"brak danych",IF(COUNTIFS($A$10:$A$89,$C111,$J$10:$J$89,"&lt;&gt;")=0,"brak danych",VLOOKUP($C111,$A$10:$J$89,10,FALSE)*$F111)))))</x:f>
      </x:c>
      <x:c r="Q111" s="18"/>
    </x:row>
    <x:row r="112" ht="25" customHeight="1">
      <x:c r="A112" s="6"/>
      <x:c r="B112" s="30"/>
      <x:c r="C112" s="5"/>
      <x:c r="D112" s="5"/>
      <x:c r="E112" s="32"/>
      <x:c r="F112" s="32"/>
      <x:c r="G112" s="24" t="str">
        <x:f>IF($A112="","",IF(AND($C112="",$E112=""),"",IF($E112="","brak danych",IF($E112=0,0,IF(COUNTIFS($A$10:$A$89,$C112)&lt;&gt;1,"brak danych",IF(COUNTIFS($A$10:$A$89,$C112,$F$10:$F$89,"&lt;&gt;")=0,"brak danych",VLOOKUP($C112,$A$10:$J$89,6,FALSE)*$E112))))))</x:f>
      </x:c>
      <x:c r="H112" s="25" t="str">
        <x:f>IF($A112="","",IF(AND($C112="",$E112=""),"",IF($E112="","brak danych",IF($E112=0,0,IF(COUNTIFS($A$10:$A$89,$C112)&lt;&gt;1,"brak danych",IF(COUNTIFS($A$10:$A$89,$C112,$G$10:$G$89,"&lt;&gt;")=0,"brak danych",VLOOKUP($C112,$A$10:$J$89,7,FALSE)*$E112))))))</x:f>
      </x:c>
      <x:c r="I112" s="25" t="str">
        <x:f>IF($A112="","",IF(AND($C112="",$E112=""),"",IF($E112="","brak danych",IF($E112=0,0,IF(COUNTIFS($A$10:$A$89,$C112)&lt;&gt;1,"brak danych",IF(COUNTIFS($A$10:$A$89,$C112,$H$10:$H$89,"&lt;&gt;")=0,"brak danych",VLOOKUP($C112,$A$10:$J$89,8,FALSE)*$E112))))))</x:f>
      </x:c>
      <x:c r="J112" s="25" t="str">
        <x:f>IF($A112="","",IF(AND($C112="",$E112=""),"",IF($E112="","brak danych",IF($E112=0,0,IF(COUNTIFS($A$10:$A$89,$C112)&lt;&gt;1,"brak danych",IF(COUNTIFS($A$10:$A$89,$C112,$I$10:$I$89,"&lt;&gt;")=0,"brak danych",VLOOKUP($C112,$A$10:$J$89,9,FALSE)*$E112))))))</x:f>
      </x:c>
      <x:c r="K112" s="25" t="str">
        <x:f>IF($A112="","",IF(AND($C112="",$E112=""),"",IF($E112="","brak danych",IF($E112=0,0,IF(COUNTIFS($A$10:$A$89,$C112)&lt;&gt;1,"brak danych",IF(COUNTIFS($A$10:$A$89,$C112,$J$10:$J$89,"&lt;&gt;")=0,"brak danych",VLOOKUP($C112,$A$10:$J$89,10,FALSE)*$E112))))))</x:f>
      </x:c>
      <x:c r="L112" s="24" t="str">
        <x:f>IF($A112="","",IF($F112="","",IF($F112=0,0,IF(COUNTIFS($A$10:$A$89,$C112)&lt;&gt;1,"brak danych",IF(COUNTIFS($A$10:$A$89,$C112,$F$10:$F$89,"&lt;&gt;")=0,"brak danych",VLOOKUP($C112,$A$10:$J$89,6,FALSE)*$F112)))))</x:f>
      </x:c>
      <x:c r="M112" s="25" t="str">
        <x:f>IF($A112="","",IF($F112="","",IF($F112=0,0,IF(COUNTIFS($A$10:$A$89,$C112)&lt;&gt;1,"brak danych",IF(COUNTIFS($A$10:$A$89,$C112,$G$10:$G$89,"&lt;&gt;")=0,"brak danych",VLOOKUP($C112,$A$10:$J$89,7,FALSE)*$F112)))))</x:f>
      </x:c>
      <x:c r="N112" s="25" t="str">
        <x:f>IF($A112="","",IF($F112="","",IF($F112=0,0,IF(COUNTIFS($A$10:$A$89,$C112)&lt;&gt;1,"brak danych",IF(COUNTIFS($A$10:$A$89,$C112,$H$10:$H$89,"&lt;&gt;")=0,"brak danych",VLOOKUP($C112,$A$10:$J$89,8,FALSE)*$F112)))))</x:f>
      </x:c>
      <x:c r="O112" s="25" t="str">
        <x:f>IF($A112="","",IF($F112="","",IF($F112=0,0,IF(COUNTIFS($A$10:$A$89,$C112)&lt;&gt;1,"brak danych",IF(COUNTIFS($A$10:$A$89,$C112,$I$10:$I$89,"&lt;&gt;")=0,"brak danych",VLOOKUP($C112,$A$10:$J$89,9,FALSE)*$F112)))))</x:f>
      </x:c>
      <x:c r="P112" s="25" t="str">
        <x:f>IF($A112="","",IF($F112="","",IF($F112=0,0,IF(COUNTIFS($A$10:$A$89,$C112)&lt;&gt;1,"brak danych",IF(COUNTIFS($A$10:$A$89,$C112,$J$10:$J$89,"&lt;&gt;")=0,"brak danych",VLOOKUP($C112,$A$10:$J$89,10,FALSE)*$F112)))))</x:f>
      </x:c>
      <x:c r="Q112" s="18"/>
    </x:row>
    <x:row r="113" ht="25" customHeight="1">
      <x:c r="A113" s="6"/>
      <x:c r="B113" s="30"/>
      <x:c r="C113" s="5"/>
      <x:c r="D113" s="5"/>
      <x:c r="E113" s="32"/>
      <x:c r="F113" s="32"/>
      <x:c r="G113" s="24" t="str">
        <x:f>IF($A113="","",IF(AND($C113="",$E113=""),"",IF($E113="","brak danych",IF($E113=0,0,IF(COUNTIFS($A$10:$A$89,$C113)&lt;&gt;1,"brak danych",IF(COUNTIFS($A$10:$A$89,$C113,$F$10:$F$89,"&lt;&gt;")=0,"brak danych",VLOOKUP($C113,$A$10:$J$89,6,FALSE)*$E113))))))</x:f>
      </x:c>
      <x:c r="H113" s="25" t="str">
        <x:f>IF($A113="","",IF(AND($C113="",$E113=""),"",IF($E113="","brak danych",IF($E113=0,0,IF(COUNTIFS($A$10:$A$89,$C113)&lt;&gt;1,"brak danych",IF(COUNTIFS($A$10:$A$89,$C113,$G$10:$G$89,"&lt;&gt;")=0,"brak danych",VLOOKUP($C113,$A$10:$J$89,7,FALSE)*$E113))))))</x:f>
      </x:c>
      <x:c r="I113" s="25" t="str">
        <x:f>IF($A113="","",IF(AND($C113="",$E113=""),"",IF($E113="","brak danych",IF($E113=0,0,IF(COUNTIFS($A$10:$A$89,$C113)&lt;&gt;1,"brak danych",IF(COUNTIFS($A$10:$A$89,$C113,$H$10:$H$89,"&lt;&gt;")=0,"brak danych",VLOOKUP($C113,$A$10:$J$89,8,FALSE)*$E113))))))</x:f>
      </x:c>
      <x:c r="J113" s="25" t="str">
        <x:f>IF($A113="","",IF(AND($C113="",$E113=""),"",IF($E113="","brak danych",IF($E113=0,0,IF(COUNTIFS($A$10:$A$89,$C113)&lt;&gt;1,"brak danych",IF(COUNTIFS($A$10:$A$89,$C113,$I$10:$I$89,"&lt;&gt;")=0,"brak danych",VLOOKUP($C113,$A$10:$J$89,9,FALSE)*$E113))))))</x:f>
      </x:c>
      <x:c r="K113" s="25" t="str">
        <x:f>IF($A113="","",IF(AND($C113="",$E113=""),"",IF($E113="","brak danych",IF($E113=0,0,IF(COUNTIFS($A$10:$A$89,$C113)&lt;&gt;1,"brak danych",IF(COUNTIFS($A$10:$A$89,$C113,$J$10:$J$89,"&lt;&gt;")=0,"brak danych",VLOOKUP($C113,$A$10:$J$89,10,FALSE)*$E113))))))</x:f>
      </x:c>
      <x:c r="L113" s="24" t="str">
        <x:f>IF($A113="","",IF($F113="","",IF($F113=0,0,IF(COUNTIFS($A$10:$A$89,$C113)&lt;&gt;1,"brak danych",IF(COUNTIFS($A$10:$A$89,$C113,$F$10:$F$89,"&lt;&gt;")=0,"brak danych",VLOOKUP($C113,$A$10:$J$89,6,FALSE)*$F113)))))</x:f>
      </x:c>
      <x:c r="M113" s="25" t="str">
        <x:f>IF($A113="","",IF($F113="","",IF($F113=0,0,IF(COUNTIFS($A$10:$A$89,$C113)&lt;&gt;1,"brak danych",IF(COUNTIFS($A$10:$A$89,$C113,$G$10:$G$89,"&lt;&gt;")=0,"brak danych",VLOOKUP($C113,$A$10:$J$89,7,FALSE)*$F113)))))</x:f>
      </x:c>
      <x:c r="N113" s="25" t="str">
        <x:f>IF($A113="","",IF($F113="","",IF($F113=0,0,IF(COUNTIFS($A$10:$A$89,$C113)&lt;&gt;1,"brak danych",IF(COUNTIFS($A$10:$A$89,$C113,$H$10:$H$89,"&lt;&gt;")=0,"brak danych",VLOOKUP($C113,$A$10:$J$89,8,FALSE)*$F113)))))</x:f>
      </x:c>
      <x:c r="O113" s="25" t="str">
        <x:f>IF($A113="","",IF($F113="","",IF($F113=0,0,IF(COUNTIFS($A$10:$A$89,$C113)&lt;&gt;1,"brak danych",IF(COUNTIFS($A$10:$A$89,$C113,$I$10:$I$89,"&lt;&gt;")=0,"brak danych",VLOOKUP($C113,$A$10:$J$89,9,FALSE)*$F113)))))</x:f>
      </x:c>
      <x:c r="P113" s="25" t="str">
        <x:f>IF($A113="","",IF($F113="","",IF($F113=0,0,IF(COUNTIFS($A$10:$A$89,$C113)&lt;&gt;1,"brak danych",IF(COUNTIFS($A$10:$A$89,$C113,$J$10:$J$89,"&lt;&gt;")=0,"brak danych",VLOOKUP($C113,$A$10:$J$89,10,FALSE)*$F113)))))</x:f>
      </x:c>
      <x:c r="Q113" s="18"/>
    </x:row>
    <x:row r="114" ht="25" customHeight="1">
      <x:c r="A114" s="6"/>
      <x:c r="B114" s="30"/>
      <x:c r="C114" s="5"/>
      <x:c r="D114" s="5"/>
      <x:c r="E114" s="32"/>
      <x:c r="F114" s="32"/>
      <x:c r="G114" s="24" t="str">
        <x:f>IF($A114="","",IF(AND($C114="",$E114=""),"",IF($E114="","brak danych",IF($E114=0,0,IF(COUNTIFS($A$10:$A$89,$C114)&lt;&gt;1,"brak danych",IF(COUNTIFS($A$10:$A$89,$C114,$F$10:$F$89,"&lt;&gt;")=0,"brak danych",VLOOKUP($C114,$A$10:$J$89,6,FALSE)*$E114))))))</x:f>
      </x:c>
      <x:c r="H114" s="25" t="str">
        <x:f>IF($A114="","",IF(AND($C114="",$E114=""),"",IF($E114="","brak danych",IF($E114=0,0,IF(COUNTIFS($A$10:$A$89,$C114)&lt;&gt;1,"brak danych",IF(COUNTIFS($A$10:$A$89,$C114,$G$10:$G$89,"&lt;&gt;")=0,"brak danych",VLOOKUP($C114,$A$10:$J$89,7,FALSE)*$E114))))))</x:f>
      </x:c>
      <x:c r="I114" s="25" t="str">
        <x:f>IF($A114="","",IF(AND($C114="",$E114=""),"",IF($E114="","brak danych",IF($E114=0,0,IF(COUNTIFS($A$10:$A$89,$C114)&lt;&gt;1,"brak danych",IF(COUNTIFS($A$10:$A$89,$C114,$H$10:$H$89,"&lt;&gt;")=0,"brak danych",VLOOKUP($C114,$A$10:$J$89,8,FALSE)*$E114))))))</x:f>
      </x:c>
      <x:c r="J114" s="25" t="str">
        <x:f>IF($A114="","",IF(AND($C114="",$E114=""),"",IF($E114="","brak danych",IF($E114=0,0,IF(COUNTIFS($A$10:$A$89,$C114)&lt;&gt;1,"brak danych",IF(COUNTIFS($A$10:$A$89,$C114,$I$10:$I$89,"&lt;&gt;")=0,"brak danych",VLOOKUP($C114,$A$10:$J$89,9,FALSE)*$E114))))))</x:f>
      </x:c>
      <x:c r="K114" s="25" t="str">
        <x:f>IF($A114="","",IF(AND($C114="",$E114=""),"",IF($E114="","brak danych",IF($E114=0,0,IF(COUNTIFS($A$10:$A$89,$C114)&lt;&gt;1,"brak danych",IF(COUNTIFS($A$10:$A$89,$C114,$J$10:$J$89,"&lt;&gt;")=0,"brak danych",VLOOKUP($C114,$A$10:$J$89,10,FALSE)*$E114))))))</x:f>
      </x:c>
      <x:c r="L114" s="24" t="str">
        <x:f>IF($A114="","",IF($F114="","",IF($F114=0,0,IF(COUNTIFS($A$10:$A$89,$C114)&lt;&gt;1,"brak danych",IF(COUNTIFS($A$10:$A$89,$C114,$F$10:$F$89,"&lt;&gt;")=0,"brak danych",VLOOKUP($C114,$A$10:$J$89,6,FALSE)*$F114)))))</x:f>
      </x:c>
      <x:c r="M114" s="25" t="str">
        <x:f>IF($A114="","",IF($F114="","",IF($F114=0,0,IF(COUNTIFS($A$10:$A$89,$C114)&lt;&gt;1,"brak danych",IF(COUNTIFS($A$10:$A$89,$C114,$G$10:$G$89,"&lt;&gt;")=0,"brak danych",VLOOKUP($C114,$A$10:$J$89,7,FALSE)*$F114)))))</x:f>
      </x:c>
      <x:c r="N114" s="25" t="str">
        <x:f>IF($A114="","",IF($F114="","",IF($F114=0,0,IF(COUNTIFS($A$10:$A$89,$C114)&lt;&gt;1,"brak danych",IF(COUNTIFS($A$10:$A$89,$C114,$H$10:$H$89,"&lt;&gt;")=0,"brak danych",VLOOKUP($C114,$A$10:$J$89,8,FALSE)*$F114)))))</x:f>
      </x:c>
      <x:c r="O114" s="25" t="str">
        <x:f>IF($A114="","",IF($F114="","",IF($F114=0,0,IF(COUNTIFS($A$10:$A$89,$C114)&lt;&gt;1,"brak danych",IF(COUNTIFS($A$10:$A$89,$C114,$I$10:$I$89,"&lt;&gt;")=0,"brak danych",VLOOKUP($C114,$A$10:$J$89,9,FALSE)*$F114)))))</x:f>
      </x:c>
      <x:c r="P114" s="25" t="str">
        <x:f>IF($A114="","",IF($F114="","",IF($F114=0,0,IF(COUNTIFS($A$10:$A$89,$C114)&lt;&gt;1,"brak danych",IF(COUNTIFS($A$10:$A$89,$C114,$J$10:$J$89,"&lt;&gt;")=0,"brak danych",VLOOKUP($C114,$A$10:$J$89,10,FALSE)*$F114)))))</x:f>
      </x:c>
      <x:c r="Q114" s="18"/>
    </x:row>
    <x:row r="115" ht="25" customHeight="1">
      <x:c r="A115" s="6"/>
      <x:c r="B115" s="30"/>
      <x:c r="C115" s="5"/>
      <x:c r="D115" s="5"/>
      <x:c r="E115" s="32"/>
      <x:c r="F115" s="32"/>
      <x:c r="G115" s="24" t="str">
        <x:f>IF($A115="","",IF(AND($C115="",$E115=""),"",IF($E115="","brak danych",IF($E115=0,0,IF(COUNTIFS($A$10:$A$89,$C115)&lt;&gt;1,"brak danych",IF(COUNTIFS($A$10:$A$89,$C115,$F$10:$F$89,"&lt;&gt;")=0,"brak danych",VLOOKUP($C115,$A$10:$J$89,6,FALSE)*$E115))))))</x:f>
      </x:c>
      <x:c r="H115" s="25" t="str">
        <x:f>IF($A115="","",IF(AND($C115="",$E115=""),"",IF($E115="","brak danych",IF($E115=0,0,IF(COUNTIFS($A$10:$A$89,$C115)&lt;&gt;1,"brak danych",IF(COUNTIFS($A$10:$A$89,$C115,$G$10:$G$89,"&lt;&gt;")=0,"brak danych",VLOOKUP($C115,$A$10:$J$89,7,FALSE)*$E115))))))</x:f>
      </x:c>
      <x:c r="I115" s="25" t="str">
        <x:f>IF($A115="","",IF(AND($C115="",$E115=""),"",IF($E115="","brak danych",IF($E115=0,0,IF(COUNTIFS($A$10:$A$89,$C115)&lt;&gt;1,"brak danych",IF(COUNTIFS($A$10:$A$89,$C115,$H$10:$H$89,"&lt;&gt;")=0,"brak danych",VLOOKUP($C115,$A$10:$J$89,8,FALSE)*$E115))))))</x:f>
      </x:c>
      <x:c r="J115" s="25" t="str">
        <x:f>IF($A115="","",IF(AND($C115="",$E115=""),"",IF($E115="","brak danych",IF($E115=0,0,IF(COUNTIFS($A$10:$A$89,$C115)&lt;&gt;1,"brak danych",IF(COUNTIFS($A$10:$A$89,$C115,$I$10:$I$89,"&lt;&gt;")=0,"brak danych",VLOOKUP($C115,$A$10:$J$89,9,FALSE)*$E115))))))</x:f>
      </x:c>
      <x:c r="K115" s="25" t="str">
        <x:f>IF($A115="","",IF(AND($C115="",$E115=""),"",IF($E115="","brak danych",IF($E115=0,0,IF(COUNTIFS($A$10:$A$89,$C115)&lt;&gt;1,"brak danych",IF(COUNTIFS($A$10:$A$89,$C115,$J$10:$J$89,"&lt;&gt;")=0,"brak danych",VLOOKUP($C115,$A$10:$J$89,10,FALSE)*$E115))))))</x:f>
      </x:c>
      <x:c r="L115" s="24" t="str">
        <x:f>IF($A115="","",IF($F115="","",IF($F115=0,0,IF(COUNTIFS($A$10:$A$89,$C115)&lt;&gt;1,"brak danych",IF(COUNTIFS($A$10:$A$89,$C115,$F$10:$F$89,"&lt;&gt;")=0,"brak danych",VLOOKUP($C115,$A$10:$J$89,6,FALSE)*$F115)))))</x:f>
      </x:c>
      <x:c r="M115" s="25" t="str">
        <x:f>IF($A115="","",IF($F115="","",IF($F115=0,0,IF(COUNTIFS($A$10:$A$89,$C115)&lt;&gt;1,"brak danych",IF(COUNTIFS($A$10:$A$89,$C115,$G$10:$G$89,"&lt;&gt;")=0,"brak danych",VLOOKUP($C115,$A$10:$J$89,7,FALSE)*$F115)))))</x:f>
      </x:c>
      <x:c r="N115" s="25" t="str">
        <x:f>IF($A115="","",IF($F115="","",IF($F115=0,0,IF(COUNTIFS($A$10:$A$89,$C115)&lt;&gt;1,"brak danych",IF(COUNTIFS($A$10:$A$89,$C115,$H$10:$H$89,"&lt;&gt;")=0,"brak danych",VLOOKUP($C115,$A$10:$J$89,8,FALSE)*$F115)))))</x:f>
      </x:c>
      <x:c r="O115" s="25" t="str">
        <x:f>IF($A115="","",IF($F115="","",IF($F115=0,0,IF(COUNTIFS($A$10:$A$89,$C115)&lt;&gt;1,"brak danych",IF(COUNTIFS($A$10:$A$89,$C115,$I$10:$I$89,"&lt;&gt;")=0,"brak danych",VLOOKUP($C115,$A$10:$J$89,9,FALSE)*$F115)))))</x:f>
      </x:c>
      <x:c r="P115" s="25" t="str">
        <x:f>IF($A115="","",IF($F115="","",IF($F115=0,0,IF(COUNTIFS($A$10:$A$89,$C115)&lt;&gt;1,"brak danych",IF(COUNTIFS($A$10:$A$89,$C115,$J$10:$J$89,"&lt;&gt;")=0,"brak danych",VLOOKUP($C115,$A$10:$J$89,10,FALSE)*$F115)))))</x:f>
      </x:c>
      <x:c r="Q115" s="18"/>
    </x:row>
    <x:row r="116" ht="25" customHeight="1">
      <x:c r="A116" s="6"/>
      <x:c r="B116" s="30"/>
      <x:c r="C116" s="5"/>
      <x:c r="D116" s="5"/>
      <x:c r="E116" s="32"/>
      <x:c r="F116" s="32"/>
      <x:c r="G116" s="24" t="str">
        <x:f>IF($A116="","",IF(AND($C116="",$E116=""),"",IF($E116="","brak danych",IF($E116=0,0,IF(COUNTIFS($A$10:$A$89,$C116)&lt;&gt;1,"brak danych",IF(COUNTIFS($A$10:$A$89,$C116,$F$10:$F$89,"&lt;&gt;")=0,"brak danych",VLOOKUP($C116,$A$10:$J$89,6,FALSE)*$E116))))))</x:f>
      </x:c>
      <x:c r="H116" s="25" t="str">
        <x:f>IF($A116="","",IF(AND($C116="",$E116=""),"",IF($E116="","brak danych",IF($E116=0,0,IF(COUNTIFS($A$10:$A$89,$C116)&lt;&gt;1,"brak danych",IF(COUNTIFS($A$10:$A$89,$C116,$G$10:$G$89,"&lt;&gt;")=0,"brak danych",VLOOKUP($C116,$A$10:$J$89,7,FALSE)*$E116))))))</x:f>
      </x:c>
      <x:c r="I116" s="25" t="str">
        <x:f>IF($A116="","",IF(AND($C116="",$E116=""),"",IF($E116="","brak danych",IF($E116=0,0,IF(COUNTIFS($A$10:$A$89,$C116)&lt;&gt;1,"brak danych",IF(COUNTIFS($A$10:$A$89,$C116,$H$10:$H$89,"&lt;&gt;")=0,"brak danych",VLOOKUP($C116,$A$10:$J$89,8,FALSE)*$E116))))))</x:f>
      </x:c>
      <x:c r="J116" s="25" t="str">
        <x:f>IF($A116="","",IF(AND($C116="",$E116=""),"",IF($E116="","brak danych",IF($E116=0,0,IF(COUNTIFS($A$10:$A$89,$C116)&lt;&gt;1,"brak danych",IF(COUNTIFS($A$10:$A$89,$C116,$I$10:$I$89,"&lt;&gt;")=0,"brak danych",VLOOKUP($C116,$A$10:$J$89,9,FALSE)*$E116))))))</x:f>
      </x:c>
      <x:c r="K116" s="25" t="str">
        <x:f>IF($A116="","",IF(AND($C116="",$E116=""),"",IF($E116="","brak danych",IF($E116=0,0,IF(COUNTIFS($A$10:$A$89,$C116)&lt;&gt;1,"brak danych",IF(COUNTIFS($A$10:$A$89,$C116,$J$10:$J$89,"&lt;&gt;")=0,"brak danych",VLOOKUP($C116,$A$10:$J$89,10,FALSE)*$E116))))))</x:f>
      </x:c>
      <x:c r="L116" s="24" t="str">
        <x:f>IF($A116="","",IF($F116="","",IF($F116=0,0,IF(COUNTIFS($A$10:$A$89,$C116)&lt;&gt;1,"brak danych",IF(COUNTIFS($A$10:$A$89,$C116,$F$10:$F$89,"&lt;&gt;")=0,"brak danych",VLOOKUP($C116,$A$10:$J$89,6,FALSE)*$F116)))))</x:f>
      </x:c>
      <x:c r="M116" s="25" t="str">
        <x:f>IF($A116="","",IF($F116="","",IF($F116=0,0,IF(COUNTIFS($A$10:$A$89,$C116)&lt;&gt;1,"brak danych",IF(COUNTIFS($A$10:$A$89,$C116,$G$10:$G$89,"&lt;&gt;")=0,"brak danych",VLOOKUP($C116,$A$10:$J$89,7,FALSE)*$F116)))))</x:f>
      </x:c>
      <x:c r="N116" s="25" t="str">
        <x:f>IF($A116="","",IF($F116="","",IF($F116=0,0,IF(COUNTIFS($A$10:$A$89,$C116)&lt;&gt;1,"brak danych",IF(COUNTIFS($A$10:$A$89,$C116,$H$10:$H$89,"&lt;&gt;")=0,"brak danych",VLOOKUP($C116,$A$10:$J$89,8,FALSE)*$F116)))))</x:f>
      </x:c>
      <x:c r="O116" s="25" t="str">
        <x:f>IF($A116="","",IF($F116="","",IF($F116=0,0,IF(COUNTIFS($A$10:$A$89,$C116)&lt;&gt;1,"brak danych",IF(COUNTIFS($A$10:$A$89,$C116,$I$10:$I$89,"&lt;&gt;")=0,"brak danych",VLOOKUP($C116,$A$10:$J$89,9,FALSE)*$F116)))))</x:f>
      </x:c>
      <x:c r="P116" s="25" t="str">
        <x:f>IF($A116="","",IF($F116="","",IF($F116=0,0,IF(COUNTIFS($A$10:$A$89,$C116)&lt;&gt;1,"brak danych",IF(COUNTIFS($A$10:$A$89,$C116,$J$10:$J$89,"&lt;&gt;")=0,"brak danych",VLOOKUP($C116,$A$10:$J$89,10,FALSE)*$F116)))))</x:f>
      </x:c>
      <x:c r="Q116" s="18"/>
    </x:row>
    <x:row r="117" ht="25" customHeight="1">
      <x:c r="A117" s="6"/>
      <x:c r="B117" s="30"/>
      <x:c r="C117" s="5"/>
      <x:c r="D117" s="5"/>
      <x:c r="E117" s="32"/>
      <x:c r="F117" s="32"/>
      <x:c r="G117" s="24" t="str">
        <x:f>IF($A117="","",IF(AND($C117="",$E117=""),"",IF($E117="","brak danych",IF($E117=0,0,IF(COUNTIFS($A$10:$A$89,$C117)&lt;&gt;1,"brak danych",IF(COUNTIFS($A$10:$A$89,$C117,$F$10:$F$89,"&lt;&gt;")=0,"brak danych",VLOOKUP($C117,$A$10:$J$89,6,FALSE)*$E117))))))</x:f>
      </x:c>
      <x:c r="H117" s="25" t="str">
        <x:f>IF($A117="","",IF(AND($C117="",$E117=""),"",IF($E117="","brak danych",IF($E117=0,0,IF(COUNTIFS($A$10:$A$89,$C117)&lt;&gt;1,"brak danych",IF(COUNTIFS($A$10:$A$89,$C117,$G$10:$G$89,"&lt;&gt;")=0,"brak danych",VLOOKUP($C117,$A$10:$J$89,7,FALSE)*$E117))))))</x:f>
      </x:c>
      <x:c r="I117" s="25" t="str">
        <x:f>IF($A117="","",IF(AND($C117="",$E117=""),"",IF($E117="","brak danych",IF($E117=0,0,IF(COUNTIFS($A$10:$A$89,$C117)&lt;&gt;1,"brak danych",IF(COUNTIFS($A$10:$A$89,$C117,$H$10:$H$89,"&lt;&gt;")=0,"brak danych",VLOOKUP($C117,$A$10:$J$89,8,FALSE)*$E117))))))</x:f>
      </x:c>
      <x:c r="J117" s="25" t="str">
        <x:f>IF($A117="","",IF(AND($C117="",$E117=""),"",IF($E117="","brak danych",IF($E117=0,0,IF(COUNTIFS($A$10:$A$89,$C117)&lt;&gt;1,"brak danych",IF(COUNTIFS($A$10:$A$89,$C117,$I$10:$I$89,"&lt;&gt;")=0,"brak danych",VLOOKUP($C117,$A$10:$J$89,9,FALSE)*$E117))))))</x:f>
      </x:c>
      <x:c r="K117" s="25" t="str">
        <x:f>IF($A117="","",IF(AND($C117="",$E117=""),"",IF($E117="","brak danych",IF($E117=0,0,IF(COUNTIFS($A$10:$A$89,$C117)&lt;&gt;1,"brak danych",IF(COUNTIFS($A$10:$A$89,$C117,$J$10:$J$89,"&lt;&gt;")=0,"brak danych",VLOOKUP($C117,$A$10:$J$89,10,FALSE)*$E117))))))</x:f>
      </x:c>
      <x:c r="L117" s="24" t="str">
        <x:f>IF($A117="","",IF($F117="","",IF($F117=0,0,IF(COUNTIFS($A$10:$A$89,$C117)&lt;&gt;1,"brak danych",IF(COUNTIFS($A$10:$A$89,$C117,$F$10:$F$89,"&lt;&gt;")=0,"brak danych",VLOOKUP($C117,$A$10:$J$89,6,FALSE)*$F117)))))</x:f>
      </x:c>
      <x:c r="M117" s="25" t="str">
        <x:f>IF($A117="","",IF($F117="","",IF($F117=0,0,IF(COUNTIFS($A$10:$A$89,$C117)&lt;&gt;1,"brak danych",IF(COUNTIFS($A$10:$A$89,$C117,$G$10:$G$89,"&lt;&gt;")=0,"brak danych",VLOOKUP($C117,$A$10:$J$89,7,FALSE)*$F117)))))</x:f>
      </x:c>
      <x:c r="N117" s="25" t="str">
        <x:f>IF($A117="","",IF($F117="","",IF($F117=0,0,IF(COUNTIFS($A$10:$A$89,$C117)&lt;&gt;1,"brak danych",IF(COUNTIFS($A$10:$A$89,$C117,$H$10:$H$89,"&lt;&gt;")=0,"brak danych",VLOOKUP($C117,$A$10:$J$89,8,FALSE)*$F117)))))</x:f>
      </x:c>
      <x:c r="O117" s="25" t="str">
        <x:f>IF($A117="","",IF($F117="","",IF($F117=0,0,IF(COUNTIFS($A$10:$A$89,$C117)&lt;&gt;1,"brak danych",IF(COUNTIFS($A$10:$A$89,$C117,$I$10:$I$89,"&lt;&gt;")=0,"brak danych",VLOOKUP($C117,$A$10:$J$89,9,FALSE)*$F117)))))</x:f>
      </x:c>
      <x:c r="P117" s="25" t="str">
        <x:f>IF($A117="","",IF($F117="","",IF($F117=0,0,IF(COUNTIFS($A$10:$A$89,$C117)&lt;&gt;1,"brak danych",IF(COUNTIFS($A$10:$A$89,$C117,$J$10:$J$89,"&lt;&gt;")=0,"brak danych",VLOOKUP($C117,$A$10:$J$89,10,FALSE)*$F117)))))</x:f>
      </x:c>
      <x:c r="Q117" s="18"/>
    </x:row>
    <x:row r="118" ht="25" customHeight="1">
      <x:c r="A118" s="6"/>
      <x:c r="B118" s="30"/>
      <x:c r="C118" s="5"/>
      <x:c r="D118" s="5"/>
      <x:c r="E118" s="32"/>
      <x:c r="F118" s="32"/>
      <x:c r="G118" s="24" t="str">
        <x:f>IF($A118="","",IF(AND($C118="",$E118=""),"",IF($E118="","brak danych",IF($E118=0,0,IF(COUNTIFS($A$10:$A$89,$C118)&lt;&gt;1,"brak danych",IF(COUNTIFS($A$10:$A$89,$C118,$F$10:$F$89,"&lt;&gt;")=0,"brak danych",VLOOKUP($C118,$A$10:$J$89,6,FALSE)*$E118))))))</x:f>
      </x:c>
      <x:c r="H118" s="25" t="str">
        <x:f>IF($A118="","",IF(AND($C118="",$E118=""),"",IF($E118="","brak danych",IF($E118=0,0,IF(COUNTIFS($A$10:$A$89,$C118)&lt;&gt;1,"brak danych",IF(COUNTIFS($A$10:$A$89,$C118,$G$10:$G$89,"&lt;&gt;")=0,"brak danych",VLOOKUP($C118,$A$10:$J$89,7,FALSE)*$E118))))))</x:f>
      </x:c>
      <x:c r="I118" s="25" t="str">
        <x:f>IF($A118="","",IF(AND($C118="",$E118=""),"",IF($E118="","brak danych",IF($E118=0,0,IF(COUNTIFS($A$10:$A$89,$C118)&lt;&gt;1,"brak danych",IF(COUNTIFS($A$10:$A$89,$C118,$H$10:$H$89,"&lt;&gt;")=0,"brak danych",VLOOKUP($C118,$A$10:$J$89,8,FALSE)*$E118))))))</x:f>
      </x:c>
      <x:c r="J118" s="25" t="str">
        <x:f>IF($A118="","",IF(AND($C118="",$E118=""),"",IF($E118="","brak danych",IF($E118=0,0,IF(COUNTIFS($A$10:$A$89,$C118)&lt;&gt;1,"brak danych",IF(COUNTIFS($A$10:$A$89,$C118,$I$10:$I$89,"&lt;&gt;")=0,"brak danych",VLOOKUP($C118,$A$10:$J$89,9,FALSE)*$E118))))))</x:f>
      </x:c>
      <x:c r="K118" s="25" t="str">
        <x:f>IF($A118="","",IF(AND($C118="",$E118=""),"",IF($E118="","brak danych",IF($E118=0,0,IF(COUNTIFS($A$10:$A$89,$C118)&lt;&gt;1,"brak danych",IF(COUNTIFS($A$10:$A$89,$C118,$J$10:$J$89,"&lt;&gt;")=0,"brak danych",VLOOKUP($C118,$A$10:$J$89,10,FALSE)*$E118))))))</x:f>
      </x:c>
      <x:c r="L118" s="24" t="str">
        <x:f>IF($A118="","",IF($F118="","",IF($F118=0,0,IF(COUNTIFS($A$10:$A$89,$C118)&lt;&gt;1,"brak danych",IF(COUNTIFS($A$10:$A$89,$C118,$F$10:$F$89,"&lt;&gt;")=0,"brak danych",VLOOKUP($C118,$A$10:$J$89,6,FALSE)*$F118)))))</x:f>
      </x:c>
      <x:c r="M118" s="25" t="str">
        <x:f>IF($A118="","",IF($F118="","",IF($F118=0,0,IF(COUNTIFS($A$10:$A$89,$C118)&lt;&gt;1,"brak danych",IF(COUNTIFS($A$10:$A$89,$C118,$G$10:$G$89,"&lt;&gt;")=0,"brak danych",VLOOKUP($C118,$A$10:$J$89,7,FALSE)*$F118)))))</x:f>
      </x:c>
      <x:c r="N118" s="25" t="str">
        <x:f>IF($A118="","",IF($F118="","",IF($F118=0,0,IF(COUNTIFS($A$10:$A$89,$C118)&lt;&gt;1,"brak danych",IF(COUNTIFS($A$10:$A$89,$C118,$H$10:$H$89,"&lt;&gt;")=0,"brak danych",VLOOKUP($C118,$A$10:$J$89,8,FALSE)*$F118)))))</x:f>
      </x:c>
      <x:c r="O118" s="25" t="str">
        <x:f>IF($A118="","",IF($F118="","",IF($F118=0,0,IF(COUNTIFS($A$10:$A$89,$C118)&lt;&gt;1,"brak danych",IF(COUNTIFS($A$10:$A$89,$C118,$I$10:$I$89,"&lt;&gt;")=0,"brak danych",VLOOKUP($C118,$A$10:$J$89,9,FALSE)*$F118)))))</x:f>
      </x:c>
      <x:c r="P118" s="25" t="str">
        <x:f>IF($A118="","",IF($F118="","",IF($F118=0,0,IF(COUNTIFS($A$10:$A$89,$C118)&lt;&gt;1,"brak danych",IF(COUNTIFS($A$10:$A$89,$C118,$J$10:$J$89,"&lt;&gt;")=0,"brak danych",VLOOKUP($C118,$A$10:$J$89,10,FALSE)*$F118)))))</x:f>
      </x:c>
      <x:c r="Q118" s="18"/>
    </x:row>
    <x:row r="119" ht="25" customHeight="1">
      <x:c r="A119" s="6"/>
      <x:c r="B119" s="30"/>
      <x:c r="C119" s="5"/>
      <x:c r="D119" s="5"/>
      <x:c r="E119" s="32"/>
      <x:c r="F119" s="32"/>
      <x:c r="G119" s="24" t="str">
        <x:f>IF($A119="","",IF(AND($C119="",$E119=""),"",IF($E119="","brak danych",IF($E119=0,0,IF(COUNTIFS($A$10:$A$89,$C119)&lt;&gt;1,"brak danych",IF(COUNTIFS($A$10:$A$89,$C119,$F$10:$F$89,"&lt;&gt;")=0,"brak danych",VLOOKUP($C119,$A$10:$J$89,6,FALSE)*$E119))))))</x:f>
      </x:c>
      <x:c r="H119" s="25" t="str">
        <x:f>IF($A119="","",IF(AND($C119="",$E119=""),"",IF($E119="","brak danych",IF($E119=0,0,IF(COUNTIFS($A$10:$A$89,$C119)&lt;&gt;1,"brak danych",IF(COUNTIFS($A$10:$A$89,$C119,$G$10:$G$89,"&lt;&gt;")=0,"brak danych",VLOOKUP($C119,$A$10:$J$89,7,FALSE)*$E119))))))</x:f>
      </x:c>
      <x:c r="I119" s="25" t="str">
        <x:f>IF($A119="","",IF(AND($C119="",$E119=""),"",IF($E119="","brak danych",IF($E119=0,0,IF(COUNTIFS($A$10:$A$89,$C119)&lt;&gt;1,"brak danych",IF(COUNTIFS($A$10:$A$89,$C119,$H$10:$H$89,"&lt;&gt;")=0,"brak danych",VLOOKUP($C119,$A$10:$J$89,8,FALSE)*$E119))))))</x:f>
      </x:c>
      <x:c r="J119" s="25" t="str">
        <x:f>IF($A119="","",IF(AND($C119="",$E119=""),"",IF($E119="","brak danych",IF($E119=0,0,IF(COUNTIFS($A$10:$A$89,$C119)&lt;&gt;1,"brak danych",IF(COUNTIFS($A$10:$A$89,$C119,$I$10:$I$89,"&lt;&gt;")=0,"brak danych",VLOOKUP($C119,$A$10:$J$89,9,FALSE)*$E119))))))</x:f>
      </x:c>
      <x:c r="K119" s="25" t="str">
        <x:f>IF($A119="","",IF(AND($C119="",$E119=""),"",IF($E119="","brak danych",IF($E119=0,0,IF(COUNTIFS($A$10:$A$89,$C119)&lt;&gt;1,"brak danych",IF(COUNTIFS($A$10:$A$89,$C119,$J$10:$J$89,"&lt;&gt;")=0,"brak danych",VLOOKUP($C119,$A$10:$J$89,10,FALSE)*$E119))))))</x:f>
      </x:c>
      <x:c r="L119" s="24" t="str">
        <x:f>IF($A119="","",IF($F119="","",IF($F119=0,0,IF(COUNTIFS($A$10:$A$89,$C119)&lt;&gt;1,"brak danych",IF(COUNTIFS($A$10:$A$89,$C119,$F$10:$F$89,"&lt;&gt;")=0,"brak danych",VLOOKUP($C119,$A$10:$J$89,6,FALSE)*$F119)))))</x:f>
      </x:c>
      <x:c r="M119" s="25" t="str">
        <x:f>IF($A119="","",IF($F119="","",IF($F119=0,0,IF(COUNTIFS($A$10:$A$89,$C119)&lt;&gt;1,"brak danych",IF(COUNTIFS($A$10:$A$89,$C119,$G$10:$G$89,"&lt;&gt;")=0,"brak danych",VLOOKUP($C119,$A$10:$J$89,7,FALSE)*$F119)))))</x:f>
      </x:c>
      <x:c r="N119" s="25" t="str">
        <x:f>IF($A119="","",IF($F119="","",IF($F119=0,0,IF(COUNTIFS($A$10:$A$89,$C119)&lt;&gt;1,"brak danych",IF(COUNTIFS($A$10:$A$89,$C119,$H$10:$H$89,"&lt;&gt;")=0,"brak danych",VLOOKUP($C119,$A$10:$J$89,8,FALSE)*$F119)))))</x:f>
      </x:c>
      <x:c r="O119" s="25" t="str">
        <x:f>IF($A119="","",IF($F119="","",IF($F119=0,0,IF(COUNTIFS($A$10:$A$89,$C119)&lt;&gt;1,"brak danych",IF(COUNTIFS($A$10:$A$89,$C119,$I$10:$I$89,"&lt;&gt;")=0,"brak danych",VLOOKUP($C119,$A$10:$J$89,9,FALSE)*$F119)))))</x:f>
      </x:c>
      <x:c r="P119" s="25" t="str">
        <x:f>IF($A119="","",IF($F119="","",IF($F119=0,0,IF(COUNTIFS($A$10:$A$89,$C119)&lt;&gt;1,"brak danych",IF(COUNTIFS($A$10:$A$89,$C119,$J$10:$J$89,"&lt;&gt;")=0,"brak danych",VLOOKUP($C119,$A$10:$J$89,10,FALSE)*$F119)))))</x:f>
      </x:c>
      <x:c r="Q119" s="18"/>
    </x:row>
    <x:row r="120" ht="25" customHeight="1">
      <x:c r="A120" s="6"/>
      <x:c r="B120" s="30"/>
      <x:c r="C120" s="5"/>
      <x:c r="D120" s="5"/>
      <x:c r="E120" s="32"/>
      <x:c r="F120" s="32"/>
      <x:c r="G120" s="24" t="str">
        <x:f>IF($A120="","",IF(AND($C120="",$E120=""),"",IF($E120="","brak danych",IF($E120=0,0,IF(COUNTIFS($A$10:$A$89,$C120)&lt;&gt;1,"brak danych",IF(COUNTIFS($A$10:$A$89,$C120,$F$10:$F$89,"&lt;&gt;")=0,"brak danych",VLOOKUP($C120,$A$10:$J$89,6,FALSE)*$E120))))))</x:f>
      </x:c>
      <x:c r="H120" s="25" t="str">
        <x:f>IF($A120="","",IF(AND($C120="",$E120=""),"",IF($E120="","brak danych",IF($E120=0,0,IF(COUNTIFS($A$10:$A$89,$C120)&lt;&gt;1,"brak danych",IF(COUNTIFS($A$10:$A$89,$C120,$G$10:$G$89,"&lt;&gt;")=0,"brak danych",VLOOKUP($C120,$A$10:$J$89,7,FALSE)*$E120))))))</x:f>
      </x:c>
      <x:c r="I120" s="25" t="str">
        <x:f>IF($A120="","",IF(AND($C120="",$E120=""),"",IF($E120="","brak danych",IF($E120=0,0,IF(COUNTIFS($A$10:$A$89,$C120)&lt;&gt;1,"brak danych",IF(COUNTIFS($A$10:$A$89,$C120,$H$10:$H$89,"&lt;&gt;")=0,"brak danych",VLOOKUP($C120,$A$10:$J$89,8,FALSE)*$E120))))))</x:f>
      </x:c>
      <x:c r="J120" s="25" t="str">
        <x:f>IF($A120="","",IF(AND($C120="",$E120=""),"",IF($E120="","brak danych",IF($E120=0,0,IF(COUNTIFS($A$10:$A$89,$C120)&lt;&gt;1,"brak danych",IF(COUNTIFS($A$10:$A$89,$C120,$I$10:$I$89,"&lt;&gt;")=0,"brak danych",VLOOKUP($C120,$A$10:$J$89,9,FALSE)*$E120))))))</x:f>
      </x:c>
      <x:c r="K120" s="25" t="str">
        <x:f>IF($A120="","",IF(AND($C120="",$E120=""),"",IF($E120="","brak danych",IF($E120=0,0,IF(COUNTIFS($A$10:$A$89,$C120)&lt;&gt;1,"brak danych",IF(COUNTIFS($A$10:$A$89,$C120,$J$10:$J$89,"&lt;&gt;")=0,"brak danych",VLOOKUP($C120,$A$10:$J$89,10,FALSE)*$E120))))))</x:f>
      </x:c>
      <x:c r="L120" s="24" t="str">
        <x:f>IF($A120="","",IF($F120="","",IF($F120=0,0,IF(COUNTIFS($A$10:$A$89,$C120)&lt;&gt;1,"brak danych",IF(COUNTIFS($A$10:$A$89,$C120,$F$10:$F$89,"&lt;&gt;")=0,"brak danych",VLOOKUP($C120,$A$10:$J$89,6,FALSE)*$F120)))))</x:f>
      </x:c>
      <x:c r="M120" s="25" t="str">
        <x:f>IF($A120="","",IF($F120="","",IF($F120=0,0,IF(COUNTIFS($A$10:$A$89,$C120)&lt;&gt;1,"brak danych",IF(COUNTIFS($A$10:$A$89,$C120,$G$10:$G$89,"&lt;&gt;")=0,"brak danych",VLOOKUP($C120,$A$10:$J$89,7,FALSE)*$F120)))))</x:f>
      </x:c>
      <x:c r="N120" s="25" t="str">
        <x:f>IF($A120="","",IF($F120="","",IF($F120=0,0,IF(COUNTIFS($A$10:$A$89,$C120)&lt;&gt;1,"brak danych",IF(COUNTIFS($A$10:$A$89,$C120,$H$10:$H$89,"&lt;&gt;")=0,"brak danych",VLOOKUP($C120,$A$10:$J$89,8,FALSE)*$F120)))))</x:f>
      </x:c>
      <x:c r="O120" s="25" t="str">
        <x:f>IF($A120="","",IF($F120="","",IF($F120=0,0,IF(COUNTIFS($A$10:$A$89,$C120)&lt;&gt;1,"brak danych",IF(COUNTIFS($A$10:$A$89,$C120,$I$10:$I$89,"&lt;&gt;")=0,"brak danych",VLOOKUP($C120,$A$10:$J$89,9,FALSE)*$F120)))))</x:f>
      </x:c>
      <x:c r="P120" s="25" t="str">
        <x:f>IF($A120="","",IF($F120="","",IF($F120=0,0,IF(COUNTIFS($A$10:$A$89,$C120)&lt;&gt;1,"brak danych",IF(COUNTIFS($A$10:$A$89,$C120,$J$10:$J$89,"&lt;&gt;")=0,"brak danych",VLOOKUP($C120,$A$10:$J$89,10,FALSE)*$F120)))))</x:f>
      </x:c>
      <x:c r="Q120" s="18"/>
    </x:row>
    <x:row r="121" ht="25" customHeight="1">
      <x:c r="A121" s="6"/>
      <x:c r="B121" s="30"/>
      <x:c r="C121" s="5"/>
      <x:c r="D121" s="5"/>
      <x:c r="E121" s="32"/>
      <x:c r="F121" s="32"/>
      <x:c r="G121" s="24" t="str">
        <x:f>IF($A121="","",IF(AND($C121="",$E121=""),"",IF($E121="","brak danych",IF($E121=0,0,IF(COUNTIFS($A$10:$A$89,$C121)&lt;&gt;1,"brak danych",IF(COUNTIFS($A$10:$A$89,$C121,$F$10:$F$89,"&lt;&gt;")=0,"brak danych",VLOOKUP($C121,$A$10:$J$89,6,FALSE)*$E121))))))</x:f>
      </x:c>
      <x:c r="H121" s="25" t="str">
        <x:f>IF($A121="","",IF(AND($C121="",$E121=""),"",IF($E121="","brak danych",IF($E121=0,0,IF(COUNTIFS($A$10:$A$89,$C121)&lt;&gt;1,"brak danych",IF(COUNTIFS($A$10:$A$89,$C121,$G$10:$G$89,"&lt;&gt;")=0,"brak danych",VLOOKUP($C121,$A$10:$J$89,7,FALSE)*$E121))))))</x:f>
      </x:c>
      <x:c r="I121" s="25" t="str">
        <x:f>IF($A121="","",IF(AND($C121="",$E121=""),"",IF($E121="","brak danych",IF($E121=0,0,IF(COUNTIFS($A$10:$A$89,$C121)&lt;&gt;1,"brak danych",IF(COUNTIFS($A$10:$A$89,$C121,$H$10:$H$89,"&lt;&gt;")=0,"brak danych",VLOOKUP($C121,$A$10:$J$89,8,FALSE)*$E121))))))</x:f>
      </x:c>
      <x:c r="J121" s="25" t="str">
        <x:f>IF($A121="","",IF(AND($C121="",$E121=""),"",IF($E121="","brak danych",IF($E121=0,0,IF(COUNTIFS($A$10:$A$89,$C121)&lt;&gt;1,"brak danych",IF(COUNTIFS($A$10:$A$89,$C121,$I$10:$I$89,"&lt;&gt;")=0,"brak danych",VLOOKUP($C121,$A$10:$J$89,9,FALSE)*$E121))))))</x:f>
      </x:c>
      <x:c r="K121" s="25" t="str">
        <x:f>IF($A121="","",IF(AND($C121="",$E121=""),"",IF($E121="","brak danych",IF($E121=0,0,IF(COUNTIFS($A$10:$A$89,$C121)&lt;&gt;1,"brak danych",IF(COUNTIFS($A$10:$A$89,$C121,$J$10:$J$89,"&lt;&gt;")=0,"brak danych",VLOOKUP($C121,$A$10:$J$89,10,FALSE)*$E121))))))</x:f>
      </x:c>
      <x:c r="L121" s="24" t="str">
        <x:f>IF($A121="","",IF($F121="","",IF($F121=0,0,IF(COUNTIFS($A$10:$A$89,$C121)&lt;&gt;1,"brak danych",IF(COUNTIFS($A$10:$A$89,$C121,$F$10:$F$89,"&lt;&gt;")=0,"brak danych",VLOOKUP($C121,$A$10:$J$89,6,FALSE)*$F121)))))</x:f>
      </x:c>
      <x:c r="M121" s="25" t="str">
        <x:f>IF($A121="","",IF($F121="","",IF($F121=0,0,IF(COUNTIFS($A$10:$A$89,$C121)&lt;&gt;1,"brak danych",IF(COUNTIFS($A$10:$A$89,$C121,$G$10:$G$89,"&lt;&gt;")=0,"brak danych",VLOOKUP($C121,$A$10:$J$89,7,FALSE)*$F121)))))</x:f>
      </x:c>
      <x:c r="N121" s="25" t="str">
        <x:f>IF($A121="","",IF($F121="","",IF($F121=0,0,IF(COUNTIFS($A$10:$A$89,$C121)&lt;&gt;1,"brak danych",IF(COUNTIFS($A$10:$A$89,$C121,$H$10:$H$89,"&lt;&gt;")=0,"brak danych",VLOOKUP($C121,$A$10:$J$89,8,FALSE)*$F121)))))</x:f>
      </x:c>
      <x:c r="O121" s="25" t="str">
        <x:f>IF($A121="","",IF($F121="","",IF($F121=0,0,IF(COUNTIFS($A$10:$A$89,$C121)&lt;&gt;1,"brak danych",IF(COUNTIFS($A$10:$A$89,$C121,$I$10:$I$89,"&lt;&gt;")=0,"brak danych",VLOOKUP($C121,$A$10:$J$89,9,FALSE)*$F121)))))</x:f>
      </x:c>
      <x:c r="P121" s="25" t="str">
        <x:f>IF($A121="","",IF($F121="","",IF($F121=0,0,IF(COUNTIFS($A$10:$A$89,$C121)&lt;&gt;1,"brak danych",IF(COUNTIFS($A$10:$A$89,$C121,$J$10:$J$89,"&lt;&gt;")=0,"brak danych",VLOOKUP($C121,$A$10:$J$89,10,FALSE)*$F121)))))</x:f>
      </x:c>
      <x:c r="Q121" s="18"/>
    </x:row>
    <x:row r="122" ht="25" customHeight="1">
      <x:c r="A122" s="6"/>
      <x:c r="B122" s="30"/>
      <x:c r="C122" s="5"/>
      <x:c r="D122" s="5"/>
      <x:c r="E122" s="32"/>
      <x:c r="F122" s="32"/>
      <x:c r="G122" s="24" t="str">
        <x:f>IF($A122="","",IF(AND($C122="",$E122=""),"",IF($E122="","brak danych",IF($E122=0,0,IF(COUNTIFS($A$10:$A$89,$C122)&lt;&gt;1,"brak danych",IF(COUNTIFS($A$10:$A$89,$C122,$F$10:$F$89,"&lt;&gt;")=0,"brak danych",VLOOKUP($C122,$A$10:$J$89,6,FALSE)*$E122))))))</x:f>
      </x:c>
      <x:c r="H122" s="25" t="str">
        <x:f>IF($A122="","",IF(AND($C122="",$E122=""),"",IF($E122="","brak danych",IF($E122=0,0,IF(COUNTIFS($A$10:$A$89,$C122)&lt;&gt;1,"brak danych",IF(COUNTIFS($A$10:$A$89,$C122,$G$10:$G$89,"&lt;&gt;")=0,"brak danych",VLOOKUP($C122,$A$10:$J$89,7,FALSE)*$E122))))))</x:f>
      </x:c>
      <x:c r="I122" s="25" t="str">
        <x:f>IF($A122="","",IF(AND($C122="",$E122=""),"",IF($E122="","brak danych",IF($E122=0,0,IF(COUNTIFS($A$10:$A$89,$C122)&lt;&gt;1,"brak danych",IF(COUNTIFS($A$10:$A$89,$C122,$H$10:$H$89,"&lt;&gt;")=0,"brak danych",VLOOKUP($C122,$A$10:$J$89,8,FALSE)*$E122))))))</x:f>
      </x:c>
      <x:c r="J122" s="25" t="str">
        <x:f>IF($A122="","",IF(AND($C122="",$E122=""),"",IF($E122="","brak danych",IF($E122=0,0,IF(COUNTIFS($A$10:$A$89,$C122)&lt;&gt;1,"brak danych",IF(COUNTIFS($A$10:$A$89,$C122,$I$10:$I$89,"&lt;&gt;")=0,"brak danych",VLOOKUP($C122,$A$10:$J$89,9,FALSE)*$E122))))))</x:f>
      </x:c>
      <x:c r="K122" s="25" t="str">
        <x:f>IF($A122="","",IF(AND($C122="",$E122=""),"",IF($E122="","brak danych",IF($E122=0,0,IF(COUNTIFS($A$10:$A$89,$C122)&lt;&gt;1,"brak danych",IF(COUNTIFS($A$10:$A$89,$C122,$J$10:$J$89,"&lt;&gt;")=0,"brak danych",VLOOKUP($C122,$A$10:$J$89,10,FALSE)*$E122))))))</x:f>
      </x:c>
      <x:c r="L122" s="24" t="str">
        <x:f>IF($A122="","",IF($F122="","",IF($F122=0,0,IF(COUNTIFS($A$10:$A$89,$C122)&lt;&gt;1,"brak danych",IF(COUNTIFS($A$10:$A$89,$C122,$F$10:$F$89,"&lt;&gt;")=0,"brak danych",VLOOKUP($C122,$A$10:$J$89,6,FALSE)*$F122)))))</x:f>
      </x:c>
      <x:c r="M122" s="25" t="str">
        <x:f>IF($A122="","",IF($F122="","",IF($F122=0,0,IF(COUNTIFS($A$10:$A$89,$C122)&lt;&gt;1,"brak danych",IF(COUNTIFS($A$10:$A$89,$C122,$G$10:$G$89,"&lt;&gt;")=0,"brak danych",VLOOKUP($C122,$A$10:$J$89,7,FALSE)*$F122)))))</x:f>
      </x:c>
      <x:c r="N122" s="25" t="str">
        <x:f>IF($A122="","",IF($F122="","",IF($F122=0,0,IF(COUNTIFS($A$10:$A$89,$C122)&lt;&gt;1,"brak danych",IF(COUNTIFS($A$10:$A$89,$C122,$H$10:$H$89,"&lt;&gt;")=0,"brak danych",VLOOKUP($C122,$A$10:$J$89,8,FALSE)*$F122)))))</x:f>
      </x:c>
      <x:c r="O122" s="25" t="str">
        <x:f>IF($A122="","",IF($F122="","",IF($F122=0,0,IF(COUNTIFS($A$10:$A$89,$C122)&lt;&gt;1,"brak danych",IF(COUNTIFS($A$10:$A$89,$C122,$I$10:$I$89,"&lt;&gt;")=0,"brak danych",VLOOKUP($C122,$A$10:$J$89,9,FALSE)*$F122)))))</x:f>
      </x:c>
      <x:c r="P122" s="25" t="str">
        <x:f>IF($A122="","",IF($F122="","",IF($F122=0,0,IF(COUNTIFS($A$10:$A$89,$C122)&lt;&gt;1,"brak danych",IF(COUNTIFS($A$10:$A$89,$C122,$J$10:$J$89,"&lt;&gt;")=0,"brak danych",VLOOKUP($C122,$A$10:$J$89,10,FALSE)*$F122)))))</x:f>
      </x:c>
      <x:c r="Q122" s="18"/>
    </x:row>
    <x:row r="123" ht="25" customHeight="1">
      <x:c r="A123" s="6"/>
      <x:c r="B123" s="30"/>
      <x:c r="C123" s="5"/>
      <x:c r="D123" s="5"/>
      <x:c r="E123" s="32"/>
      <x:c r="F123" s="32"/>
      <x:c r="G123" s="24" t="str">
        <x:f>IF($A123="","",IF(AND($C123="",$E123=""),"",IF($E123="","brak danych",IF($E123=0,0,IF(COUNTIFS($A$10:$A$89,$C123)&lt;&gt;1,"brak danych",IF(COUNTIFS($A$10:$A$89,$C123,$F$10:$F$89,"&lt;&gt;")=0,"brak danych",VLOOKUP($C123,$A$10:$J$89,6,FALSE)*$E123))))))</x:f>
      </x:c>
      <x:c r="H123" s="25" t="str">
        <x:f>IF($A123="","",IF(AND($C123="",$E123=""),"",IF($E123="","brak danych",IF($E123=0,0,IF(COUNTIFS($A$10:$A$89,$C123)&lt;&gt;1,"brak danych",IF(COUNTIFS($A$10:$A$89,$C123,$G$10:$G$89,"&lt;&gt;")=0,"brak danych",VLOOKUP($C123,$A$10:$J$89,7,FALSE)*$E123))))))</x:f>
      </x:c>
      <x:c r="I123" s="25" t="str">
        <x:f>IF($A123="","",IF(AND($C123="",$E123=""),"",IF($E123="","brak danych",IF($E123=0,0,IF(COUNTIFS($A$10:$A$89,$C123)&lt;&gt;1,"brak danych",IF(COUNTIFS($A$10:$A$89,$C123,$H$10:$H$89,"&lt;&gt;")=0,"brak danych",VLOOKUP($C123,$A$10:$J$89,8,FALSE)*$E123))))))</x:f>
      </x:c>
      <x:c r="J123" s="25" t="str">
        <x:f>IF($A123="","",IF(AND($C123="",$E123=""),"",IF($E123="","brak danych",IF($E123=0,0,IF(COUNTIFS($A$10:$A$89,$C123)&lt;&gt;1,"brak danych",IF(COUNTIFS($A$10:$A$89,$C123,$I$10:$I$89,"&lt;&gt;")=0,"brak danych",VLOOKUP($C123,$A$10:$J$89,9,FALSE)*$E123))))))</x:f>
      </x:c>
      <x:c r="K123" s="25" t="str">
        <x:f>IF($A123="","",IF(AND($C123="",$E123=""),"",IF($E123="","brak danych",IF($E123=0,0,IF(COUNTIFS($A$10:$A$89,$C123)&lt;&gt;1,"brak danych",IF(COUNTIFS($A$10:$A$89,$C123,$J$10:$J$89,"&lt;&gt;")=0,"brak danych",VLOOKUP($C123,$A$10:$J$89,10,FALSE)*$E123))))))</x:f>
      </x:c>
      <x:c r="L123" s="24" t="str">
        <x:f>IF($A123="","",IF($F123="","",IF($F123=0,0,IF(COUNTIFS($A$10:$A$89,$C123)&lt;&gt;1,"brak danych",IF(COUNTIFS($A$10:$A$89,$C123,$F$10:$F$89,"&lt;&gt;")=0,"brak danych",VLOOKUP($C123,$A$10:$J$89,6,FALSE)*$F123)))))</x:f>
      </x:c>
      <x:c r="M123" s="25" t="str">
        <x:f>IF($A123="","",IF($F123="","",IF($F123=0,0,IF(COUNTIFS($A$10:$A$89,$C123)&lt;&gt;1,"brak danych",IF(COUNTIFS($A$10:$A$89,$C123,$G$10:$G$89,"&lt;&gt;")=0,"brak danych",VLOOKUP($C123,$A$10:$J$89,7,FALSE)*$F123)))))</x:f>
      </x:c>
      <x:c r="N123" s="25" t="str">
        <x:f>IF($A123="","",IF($F123="","",IF($F123=0,0,IF(COUNTIFS($A$10:$A$89,$C123)&lt;&gt;1,"brak danych",IF(COUNTIFS($A$10:$A$89,$C123,$H$10:$H$89,"&lt;&gt;")=0,"brak danych",VLOOKUP($C123,$A$10:$J$89,8,FALSE)*$F123)))))</x:f>
      </x:c>
      <x:c r="O123" s="25" t="str">
        <x:f>IF($A123="","",IF($F123="","",IF($F123=0,0,IF(COUNTIFS($A$10:$A$89,$C123)&lt;&gt;1,"brak danych",IF(COUNTIFS($A$10:$A$89,$C123,$I$10:$I$89,"&lt;&gt;")=0,"brak danych",VLOOKUP($C123,$A$10:$J$89,9,FALSE)*$F123)))))</x:f>
      </x:c>
      <x:c r="P123" s="25" t="str">
        <x:f>IF($A123="","",IF($F123="","",IF($F123=0,0,IF(COUNTIFS($A$10:$A$89,$C123)&lt;&gt;1,"brak danych",IF(COUNTIFS($A$10:$A$89,$C123,$J$10:$J$89,"&lt;&gt;")=0,"brak danych",VLOOKUP($C123,$A$10:$J$89,10,FALSE)*$F123)))))</x:f>
      </x:c>
      <x:c r="Q123" s="18"/>
    </x:row>
    <x:row r="124" ht="25" customHeight="1">
      <x:c r="A124" s="6"/>
      <x:c r="B124" s="30"/>
      <x:c r="C124" s="5"/>
      <x:c r="D124" s="5"/>
      <x:c r="E124" s="32"/>
      <x:c r="F124" s="32"/>
      <x:c r="G124" s="24" t="str">
        <x:f>IF($A124="","",IF(AND($C124="",$E124=""),"",IF($E124="","brak danych",IF($E124=0,0,IF(COUNTIFS($A$10:$A$89,$C124)&lt;&gt;1,"brak danych",IF(COUNTIFS($A$10:$A$89,$C124,$F$10:$F$89,"&lt;&gt;")=0,"brak danych",VLOOKUP($C124,$A$10:$J$89,6,FALSE)*$E124))))))</x:f>
      </x:c>
      <x:c r="H124" s="25" t="str">
        <x:f>IF($A124="","",IF(AND($C124="",$E124=""),"",IF($E124="","brak danych",IF($E124=0,0,IF(COUNTIFS($A$10:$A$89,$C124)&lt;&gt;1,"brak danych",IF(COUNTIFS($A$10:$A$89,$C124,$G$10:$G$89,"&lt;&gt;")=0,"brak danych",VLOOKUP($C124,$A$10:$J$89,7,FALSE)*$E124))))))</x:f>
      </x:c>
      <x:c r="I124" s="25" t="str">
        <x:f>IF($A124="","",IF(AND($C124="",$E124=""),"",IF($E124="","brak danych",IF($E124=0,0,IF(COUNTIFS($A$10:$A$89,$C124)&lt;&gt;1,"brak danych",IF(COUNTIFS($A$10:$A$89,$C124,$H$10:$H$89,"&lt;&gt;")=0,"brak danych",VLOOKUP($C124,$A$10:$J$89,8,FALSE)*$E124))))))</x:f>
      </x:c>
      <x:c r="J124" s="25" t="str">
        <x:f>IF($A124="","",IF(AND($C124="",$E124=""),"",IF($E124="","brak danych",IF($E124=0,0,IF(COUNTIFS($A$10:$A$89,$C124)&lt;&gt;1,"brak danych",IF(COUNTIFS($A$10:$A$89,$C124,$I$10:$I$89,"&lt;&gt;")=0,"brak danych",VLOOKUP($C124,$A$10:$J$89,9,FALSE)*$E124))))))</x:f>
      </x:c>
      <x:c r="K124" s="25" t="str">
        <x:f>IF($A124="","",IF(AND($C124="",$E124=""),"",IF($E124="","brak danych",IF($E124=0,0,IF(COUNTIFS($A$10:$A$89,$C124)&lt;&gt;1,"brak danych",IF(COUNTIFS($A$10:$A$89,$C124,$J$10:$J$89,"&lt;&gt;")=0,"brak danych",VLOOKUP($C124,$A$10:$J$89,10,FALSE)*$E124))))))</x:f>
      </x:c>
      <x:c r="L124" s="24" t="str">
        <x:f>IF($A124="","",IF($F124="","",IF($F124=0,0,IF(COUNTIFS($A$10:$A$89,$C124)&lt;&gt;1,"brak danych",IF(COUNTIFS($A$10:$A$89,$C124,$F$10:$F$89,"&lt;&gt;")=0,"brak danych",VLOOKUP($C124,$A$10:$J$89,6,FALSE)*$F124)))))</x:f>
      </x:c>
      <x:c r="M124" s="25" t="str">
        <x:f>IF($A124="","",IF($F124="","",IF($F124=0,0,IF(COUNTIFS($A$10:$A$89,$C124)&lt;&gt;1,"brak danych",IF(COUNTIFS($A$10:$A$89,$C124,$G$10:$G$89,"&lt;&gt;")=0,"brak danych",VLOOKUP($C124,$A$10:$J$89,7,FALSE)*$F124)))))</x:f>
      </x:c>
      <x:c r="N124" s="25" t="str">
        <x:f>IF($A124="","",IF($F124="","",IF($F124=0,0,IF(COUNTIFS($A$10:$A$89,$C124)&lt;&gt;1,"brak danych",IF(COUNTIFS($A$10:$A$89,$C124,$H$10:$H$89,"&lt;&gt;")=0,"brak danych",VLOOKUP($C124,$A$10:$J$89,8,FALSE)*$F124)))))</x:f>
      </x:c>
      <x:c r="O124" s="25" t="str">
        <x:f>IF($A124="","",IF($F124="","",IF($F124=0,0,IF(COUNTIFS($A$10:$A$89,$C124)&lt;&gt;1,"brak danych",IF(COUNTIFS($A$10:$A$89,$C124,$I$10:$I$89,"&lt;&gt;")=0,"brak danych",VLOOKUP($C124,$A$10:$J$89,9,FALSE)*$F124)))))</x:f>
      </x:c>
      <x:c r="P124" s="25" t="str">
        <x:f>IF($A124="","",IF($F124="","",IF($F124=0,0,IF(COUNTIFS($A$10:$A$89,$C124)&lt;&gt;1,"brak danych",IF(COUNTIFS($A$10:$A$89,$C124,$J$10:$J$89,"&lt;&gt;")=0,"brak danych",VLOOKUP($C124,$A$10:$J$89,10,FALSE)*$F124)))))</x:f>
      </x:c>
      <x:c r="Q124" s="18"/>
    </x:row>
    <x:row r="125" ht="25" customHeight="1">
      <x:c r="A125" s="6"/>
      <x:c r="B125" s="30"/>
      <x:c r="C125" s="5"/>
      <x:c r="D125" s="5"/>
      <x:c r="E125" s="32"/>
      <x:c r="F125" s="32"/>
      <x:c r="G125" s="24" t="str">
        <x:f>IF($A125="","",IF(AND($C125="",$E125=""),"",IF($E125="","brak danych",IF($E125=0,0,IF(COUNTIFS($A$10:$A$89,$C125)&lt;&gt;1,"brak danych",IF(COUNTIFS($A$10:$A$89,$C125,$F$10:$F$89,"&lt;&gt;")=0,"brak danych",VLOOKUP($C125,$A$10:$J$89,6,FALSE)*$E125))))))</x:f>
      </x:c>
      <x:c r="H125" s="25" t="str">
        <x:f>IF($A125="","",IF(AND($C125="",$E125=""),"",IF($E125="","brak danych",IF($E125=0,0,IF(COUNTIFS($A$10:$A$89,$C125)&lt;&gt;1,"brak danych",IF(COUNTIFS($A$10:$A$89,$C125,$G$10:$G$89,"&lt;&gt;")=0,"brak danych",VLOOKUP($C125,$A$10:$J$89,7,FALSE)*$E125))))))</x:f>
      </x:c>
      <x:c r="I125" s="25" t="str">
        <x:f>IF($A125="","",IF(AND($C125="",$E125=""),"",IF($E125="","brak danych",IF($E125=0,0,IF(COUNTIFS($A$10:$A$89,$C125)&lt;&gt;1,"brak danych",IF(COUNTIFS($A$10:$A$89,$C125,$H$10:$H$89,"&lt;&gt;")=0,"brak danych",VLOOKUP($C125,$A$10:$J$89,8,FALSE)*$E125))))))</x:f>
      </x:c>
      <x:c r="J125" s="25" t="str">
        <x:f>IF($A125="","",IF(AND($C125="",$E125=""),"",IF($E125="","brak danych",IF($E125=0,0,IF(COUNTIFS($A$10:$A$89,$C125)&lt;&gt;1,"brak danych",IF(COUNTIFS($A$10:$A$89,$C125,$I$10:$I$89,"&lt;&gt;")=0,"brak danych",VLOOKUP($C125,$A$10:$J$89,9,FALSE)*$E125))))))</x:f>
      </x:c>
      <x:c r="K125" s="25" t="str">
        <x:f>IF($A125="","",IF(AND($C125="",$E125=""),"",IF($E125="","brak danych",IF($E125=0,0,IF(COUNTIFS($A$10:$A$89,$C125)&lt;&gt;1,"brak danych",IF(COUNTIFS($A$10:$A$89,$C125,$J$10:$J$89,"&lt;&gt;")=0,"brak danych",VLOOKUP($C125,$A$10:$J$89,10,FALSE)*$E125))))))</x:f>
      </x:c>
      <x:c r="L125" s="24" t="str">
        <x:f>IF($A125="","",IF($F125="","",IF($F125=0,0,IF(COUNTIFS($A$10:$A$89,$C125)&lt;&gt;1,"brak danych",IF(COUNTIFS($A$10:$A$89,$C125,$F$10:$F$89,"&lt;&gt;")=0,"brak danych",VLOOKUP($C125,$A$10:$J$89,6,FALSE)*$F125)))))</x:f>
      </x:c>
      <x:c r="M125" s="25" t="str">
        <x:f>IF($A125="","",IF($F125="","",IF($F125=0,0,IF(COUNTIFS($A$10:$A$89,$C125)&lt;&gt;1,"brak danych",IF(COUNTIFS($A$10:$A$89,$C125,$G$10:$G$89,"&lt;&gt;")=0,"brak danych",VLOOKUP($C125,$A$10:$J$89,7,FALSE)*$F125)))))</x:f>
      </x:c>
      <x:c r="N125" s="25" t="str">
        <x:f>IF($A125="","",IF($F125="","",IF($F125=0,0,IF(COUNTIFS($A$10:$A$89,$C125)&lt;&gt;1,"brak danych",IF(COUNTIFS($A$10:$A$89,$C125,$H$10:$H$89,"&lt;&gt;")=0,"brak danych",VLOOKUP($C125,$A$10:$J$89,8,FALSE)*$F125)))))</x:f>
      </x:c>
      <x:c r="O125" s="25" t="str">
        <x:f>IF($A125="","",IF($F125="","",IF($F125=0,0,IF(COUNTIFS($A$10:$A$89,$C125)&lt;&gt;1,"brak danych",IF(COUNTIFS($A$10:$A$89,$C125,$I$10:$I$89,"&lt;&gt;")=0,"brak danych",VLOOKUP($C125,$A$10:$J$89,9,FALSE)*$F125)))))</x:f>
      </x:c>
      <x:c r="P125" s="25" t="str">
        <x:f>IF($A125="","",IF($F125="","",IF($F125=0,0,IF(COUNTIFS($A$10:$A$89,$C125)&lt;&gt;1,"brak danych",IF(COUNTIFS($A$10:$A$89,$C125,$J$10:$J$89,"&lt;&gt;")=0,"brak danych",VLOOKUP($C125,$A$10:$J$89,10,FALSE)*$F125)))))</x:f>
      </x:c>
      <x:c r="Q125" s="18"/>
    </x:row>
    <x:row r="126" ht="25" customHeight="1">
      <x:c r="A126" s="6"/>
      <x:c r="B126" s="30"/>
      <x:c r="C126" s="5"/>
      <x:c r="D126" s="5"/>
      <x:c r="E126" s="32"/>
      <x:c r="F126" s="32"/>
      <x:c r="G126" s="24" t="str">
        <x:f>IF($A126="","",IF(AND($C126="",$E126=""),"",IF($E126="","brak danych",IF($E126=0,0,IF(COUNTIFS($A$10:$A$89,$C126)&lt;&gt;1,"brak danych",IF(COUNTIFS($A$10:$A$89,$C126,$F$10:$F$89,"&lt;&gt;")=0,"brak danych",VLOOKUP($C126,$A$10:$J$89,6,FALSE)*$E126))))))</x:f>
      </x:c>
      <x:c r="H126" s="25" t="str">
        <x:f>IF($A126="","",IF(AND($C126="",$E126=""),"",IF($E126="","brak danych",IF($E126=0,0,IF(COUNTIFS($A$10:$A$89,$C126)&lt;&gt;1,"brak danych",IF(COUNTIFS($A$10:$A$89,$C126,$G$10:$G$89,"&lt;&gt;")=0,"brak danych",VLOOKUP($C126,$A$10:$J$89,7,FALSE)*$E126))))))</x:f>
      </x:c>
      <x:c r="I126" s="25" t="str">
        <x:f>IF($A126="","",IF(AND($C126="",$E126=""),"",IF($E126="","brak danych",IF($E126=0,0,IF(COUNTIFS($A$10:$A$89,$C126)&lt;&gt;1,"brak danych",IF(COUNTIFS($A$10:$A$89,$C126,$H$10:$H$89,"&lt;&gt;")=0,"brak danych",VLOOKUP($C126,$A$10:$J$89,8,FALSE)*$E126))))))</x:f>
      </x:c>
      <x:c r="J126" s="25" t="str">
        <x:f>IF($A126="","",IF(AND($C126="",$E126=""),"",IF($E126="","brak danych",IF($E126=0,0,IF(COUNTIFS($A$10:$A$89,$C126)&lt;&gt;1,"brak danych",IF(COUNTIFS($A$10:$A$89,$C126,$I$10:$I$89,"&lt;&gt;")=0,"brak danych",VLOOKUP($C126,$A$10:$J$89,9,FALSE)*$E126))))))</x:f>
      </x:c>
      <x:c r="K126" s="25" t="str">
        <x:f>IF($A126="","",IF(AND($C126="",$E126=""),"",IF($E126="","brak danych",IF($E126=0,0,IF(COUNTIFS($A$10:$A$89,$C126)&lt;&gt;1,"brak danych",IF(COUNTIFS($A$10:$A$89,$C126,$J$10:$J$89,"&lt;&gt;")=0,"brak danych",VLOOKUP($C126,$A$10:$J$89,10,FALSE)*$E126))))))</x:f>
      </x:c>
      <x:c r="L126" s="24" t="str">
        <x:f>IF($A126="","",IF($F126="","",IF($F126=0,0,IF(COUNTIFS($A$10:$A$89,$C126)&lt;&gt;1,"brak danych",IF(COUNTIFS($A$10:$A$89,$C126,$F$10:$F$89,"&lt;&gt;")=0,"brak danych",VLOOKUP($C126,$A$10:$J$89,6,FALSE)*$F126)))))</x:f>
      </x:c>
      <x:c r="M126" s="25" t="str">
        <x:f>IF($A126="","",IF($F126="","",IF($F126=0,0,IF(COUNTIFS($A$10:$A$89,$C126)&lt;&gt;1,"brak danych",IF(COUNTIFS($A$10:$A$89,$C126,$G$10:$G$89,"&lt;&gt;")=0,"brak danych",VLOOKUP($C126,$A$10:$J$89,7,FALSE)*$F126)))))</x:f>
      </x:c>
      <x:c r="N126" s="25" t="str">
        <x:f>IF($A126="","",IF($F126="","",IF($F126=0,0,IF(COUNTIFS($A$10:$A$89,$C126)&lt;&gt;1,"brak danych",IF(COUNTIFS($A$10:$A$89,$C126,$H$10:$H$89,"&lt;&gt;")=0,"brak danych",VLOOKUP($C126,$A$10:$J$89,8,FALSE)*$F126)))))</x:f>
      </x:c>
      <x:c r="O126" s="25" t="str">
        <x:f>IF($A126="","",IF($F126="","",IF($F126=0,0,IF(COUNTIFS($A$10:$A$89,$C126)&lt;&gt;1,"brak danych",IF(COUNTIFS($A$10:$A$89,$C126,$I$10:$I$89,"&lt;&gt;")=0,"brak danych",VLOOKUP($C126,$A$10:$J$89,9,FALSE)*$F126)))))</x:f>
      </x:c>
      <x:c r="P126" s="25" t="str">
        <x:f>IF($A126="","",IF($F126="","",IF($F126=0,0,IF(COUNTIFS($A$10:$A$89,$C126)&lt;&gt;1,"brak danych",IF(COUNTIFS($A$10:$A$89,$C126,$J$10:$J$89,"&lt;&gt;")=0,"brak danych",VLOOKUP($C126,$A$10:$J$89,10,FALSE)*$F126)))))</x:f>
      </x:c>
      <x:c r="Q126" s="18"/>
    </x:row>
    <x:row r="127" ht="25" customHeight="1">
      <x:c r="A127" s="6"/>
      <x:c r="B127" s="30"/>
      <x:c r="C127" s="5"/>
      <x:c r="D127" s="5"/>
      <x:c r="E127" s="32"/>
      <x:c r="F127" s="32"/>
      <x:c r="G127" s="24" t="str">
        <x:f>IF($A127="","",IF(AND($C127="",$E127=""),"",IF($E127="","brak danych",IF($E127=0,0,IF(COUNTIFS($A$10:$A$89,$C127)&lt;&gt;1,"brak danych",IF(COUNTIFS($A$10:$A$89,$C127,$F$10:$F$89,"&lt;&gt;")=0,"brak danych",VLOOKUP($C127,$A$10:$J$89,6,FALSE)*$E127))))))</x:f>
      </x:c>
      <x:c r="H127" s="25" t="str">
        <x:f>IF($A127="","",IF(AND($C127="",$E127=""),"",IF($E127="","brak danych",IF($E127=0,0,IF(COUNTIFS($A$10:$A$89,$C127)&lt;&gt;1,"brak danych",IF(COUNTIFS($A$10:$A$89,$C127,$G$10:$G$89,"&lt;&gt;")=0,"brak danych",VLOOKUP($C127,$A$10:$J$89,7,FALSE)*$E127))))))</x:f>
      </x:c>
      <x:c r="I127" s="25" t="str">
        <x:f>IF($A127="","",IF(AND($C127="",$E127=""),"",IF($E127="","brak danych",IF($E127=0,0,IF(COUNTIFS($A$10:$A$89,$C127)&lt;&gt;1,"brak danych",IF(COUNTIFS($A$10:$A$89,$C127,$H$10:$H$89,"&lt;&gt;")=0,"brak danych",VLOOKUP($C127,$A$10:$J$89,8,FALSE)*$E127))))))</x:f>
      </x:c>
      <x:c r="J127" s="25" t="str">
        <x:f>IF($A127="","",IF(AND($C127="",$E127=""),"",IF($E127="","brak danych",IF($E127=0,0,IF(COUNTIFS($A$10:$A$89,$C127)&lt;&gt;1,"brak danych",IF(COUNTIFS($A$10:$A$89,$C127,$I$10:$I$89,"&lt;&gt;")=0,"brak danych",VLOOKUP($C127,$A$10:$J$89,9,FALSE)*$E127))))))</x:f>
      </x:c>
      <x:c r="K127" s="25" t="str">
        <x:f>IF($A127="","",IF(AND($C127="",$E127=""),"",IF($E127="","brak danych",IF($E127=0,0,IF(COUNTIFS($A$10:$A$89,$C127)&lt;&gt;1,"brak danych",IF(COUNTIFS($A$10:$A$89,$C127,$J$10:$J$89,"&lt;&gt;")=0,"brak danych",VLOOKUP($C127,$A$10:$J$89,10,FALSE)*$E127))))))</x:f>
      </x:c>
      <x:c r="L127" s="24" t="str">
        <x:f>IF($A127="","",IF($F127="","",IF($F127=0,0,IF(COUNTIFS($A$10:$A$89,$C127)&lt;&gt;1,"brak danych",IF(COUNTIFS($A$10:$A$89,$C127,$F$10:$F$89,"&lt;&gt;")=0,"brak danych",VLOOKUP($C127,$A$10:$J$89,6,FALSE)*$F127)))))</x:f>
      </x:c>
      <x:c r="M127" s="25" t="str">
        <x:f>IF($A127="","",IF($F127="","",IF($F127=0,0,IF(COUNTIFS($A$10:$A$89,$C127)&lt;&gt;1,"brak danych",IF(COUNTIFS($A$10:$A$89,$C127,$G$10:$G$89,"&lt;&gt;")=0,"brak danych",VLOOKUP($C127,$A$10:$J$89,7,FALSE)*$F127)))))</x:f>
      </x:c>
      <x:c r="N127" s="25" t="str">
        <x:f>IF($A127="","",IF($F127="","",IF($F127=0,0,IF(COUNTIFS($A$10:$A$89,$C127)&lt;&gt;1,"brak danych",IF(COUNTIFS($A$10:$A$89,$C127,$H$10:$H$89,"&lt;&gt;")=0,"brak danych",VLOOKUP($C127,$A$10:$J$89,8,FALSE)*$F127)))))</x:f>
      </x:c>
      <x:c r="O127" s="25" t="str">
        <x:f>IF($A127="","",IF($F127="","",IF($F127=0,0,IF(COUNTIFS($A$10:$A$89,$C127)&lt;&gt;1,"brak danych",IF(COUNTIFS($A$10:$A$89,$C127,$I$10:$I$89,"&lt;&gt;")=0,"brak danych",VLOOKUP($C127,$A$10:$J$89,9,FALSE)*$F127)))))</x:f>
      </x:c>
      <x:c r="P127" s="25" t="str">
        <x:f>IF($A127="","",IF($F127="","",IF($F127=0,0,IF(COUNTIFS($A$10:$A$89,$C127)&lt;&gt;1,"brak danych",IF(COUNTIFS($A$10:$A$89,$C127,$J$10:$J$89,"&lt;&gt;")=0,"brak danych",VLOOKUP($C127,$A$10:$J$89,10,FALSE)*$F127)))))</x:f>
      </x:c>
      <x:c r="Q127" s="18"/>
    </x:row>
    <x:row r="128" ht="25" customHeight="1">
      <x:c r="A128" s="6"/>
      <x:c r="B128" s="30"/>
      <x:c r="C128" s="5"/>
      <x:c r="D128" s="5"/>
      <x:c r="E128" s="32"/>
      <x:c r="F128" s="32"/>
      <x:c r="G128" s="24" t="str">
        <x:f>IF($A128="","",IF(AND($C128="",$E128=""),"",IF($E128="","brak danych",IF($E128=0,0,IF(COUNTIFS($A$10:$A$89,$C128)&lt;&gt;1,"brak danych",IF(COUNTIFS($A$10:$A$89,$C128,$F$10:$F$89,"&lt;&gt;")=0,"brak danych",VLOOKUP($C128,$A$10:$J$89,6,FALSE)*$E128))))))</x:f>
      </x:c>
      <x:c r="H128" s="25" t="str">
        <x:f>IF($A128="","",IF(AND($C128="",$E128=""),"",IF($E128="","brak danych",IF($E128=0,0,IF(COUNTIFS($A$10:$A$89,$C128)&lt;&gt;1,"brak danych",IF(COUNTIFS($A$10:$A$89,$C128,$G$10:$G$89,"&lt;&gt;")=0,"brak danych",VLOOKUP($C128,$A$10:$J$89,7,FALSE)*$E128))))))</x:f>
      </x:c>
      <x:c r="I128" s="25" t="str">
        <x:f>IF($A128="","",IF(AND($C128="",$E128=""),"",IF($E128="","brak danych",IF($E128=0,0,IF(COUNTIFS($A$10:$A$89,$C128)&lt;&gt;1,"brak danych",IF(COUNTIFS($A$10:$A$89,$C128,$H$10:$H$89,"&lt;&gt;")=0,"brak danych",VLOOKUP($C128,$A$10:$J$89,8,FALSE)*$E128))))))</x:f>
      </x:c>
      <x:c r="J128" s="25" t="str">
        <x:f>IF($A128="","",IF(AND($C128="",$E128=""),"",IF($E128="","brak danych",IF($E128=0,0,IF(COUNTIFS($A$10:$A$89,$C128)&lt;&gt;1,"brak danych",IF(COUNTIFS($A$10:$A$89,$C128,$I$10:$I$89,"&lt;&gt;")=0,"brak danych",VLOOKUP($C128,$A$10:$J$89,9,FALSE)*$E128))))))</x:f>
      </x:c>
      <x:c r="K128" s="25" t="str">
        <x:f>IF($A128="","",IF(AND($C128="",$E128=""),"",IF($E128="","brak danych",IF($E128=0,0,IF(COUNTIFS($A$10:$A$89,$C128)&lt;&gt;1,"brak danych",IF(COUNTIFS($A$10:$A$89,$C128,$J$10:$J$89,"&lt;&gt;")=0,"brak danych",VLOOKUP($C128,$A$10:$J$89,10,FALSE)*$E128))))))</x:f>
      </x:c>
      <x:c r="L128" s="24" t="str">
        <x:f>IF($A128="","",IF($F128="","",IF($F128=0,0,IF(COUNTIFS($A$10:$A$89,$C128)&lt;&gt;1,"brak danych",IF(COUNTIFS($A$10:$A$89,$C128,$F$10:$F$89,"&lt;&gt;")=0,"brak danych",VLOOKUP($C128,$A$10:$J$89,6,FALSE)*$F128)))))</x:f>
      </x:c>
      <x:c r="M128" s="25" t="str">
        <x:f>IF($A128="","",IF($F128="","",IF($F128=0,0,IF(COUNTIFS($A$10:$A$89,$C128)&lt;&gt;1,"brak danych",IF(COUNTIFS($A$10:$A$89,$C128,$G$10:$G$89,"&lt;&gt;")=0,"brak danych",VLOOKUP($C128,$A$10:$J$89,7,FALSE)*$F128)))))</x:f>
      </x:c>
      <x:c r="N128" s="25" t="str">
        <x:f>IF($A128="","",IF($F128="","",IF($F128=0,0,IF(COUNTIFS($A$10:$A$89,$C128)&lt;&gt;1,"brak danych",IF(COUNTIFS($A$10:$A$89,$C128,$H$10:$H$89,"&lt;&gt;")=0,"brak danych",VLOOKUP($C128,$A$10:$J$89,8,FALSE)*$F128)))))</x:f>
      </x:c>
      <x:c r="O128" s="25" t="str">
        <x:f>IF($A128="","",IF($F128="","",IF($F128=0,0,IF(COUNTIFS($A$10:$A$89,$C128)&lt;&gt;1,"brak danych",IF(COUNTIFS($A$10:$A$89,$C128,$I$10:$I$89,"&lt;&gt;")=0,"brak danych",VLOOKUP($C128,$A$10:$J$89,9,FALSE)*$F128)))))</x:f>
      </x:c>
      <x:c r="P128" s="25" t="str">
        <x:f>IF($A128="","",IF($F128="","",IF($F128=0,0,IF(COUNTIFS($A$10:$A$89,$C128)&lt;&gt;1,"brak danych",IF(COUNTIFS($A$10:$A$89,$C128,$J$10:$J$89,"&lt;&gt;")=0,"brak danych",VLOOKUP($C128,$A$10:$J$89,10,FALSE)*$F128)))))</x:f>
      </x:c>
      <x:c r="Q128" s="18"/>
    </x:row>
    <x:row r="129" ht="25" customHeight="1">
      <x:c r="A129" s="6"/>
      <x:c r="B129" s="30"/>
      <x:c r="C129" s="5"/>
      <x:c r="D129" s="5"/>
      <x:c r="E129" s="32"/>
      <x:c r="F129" s="32"/>
      <x:c r="G129" s="24" t="str">
        <x:f>IF($A129="","",IF(AND($C129="",$E129=""),"",IF($E129="","brak danych",IF($E129=0,0,IF(COUNTIFS($A$10:$A$89,$C129)&lt;&gt;1,"brak danych",IF(COUNTIFS($A$10:$A$89,$C129,$F$10:$F$89,"&lt;&gt;")=0,"brak danych",VLOOKUP($C129,$A$10:$J$89,6,FALSE)*$E129))))))</x:f>
      </x:c>
      <x:c r="H129" s="25" t="str">
        <x:f>IF($A129="","",IF(AND($C129="",$E129=""),"",IF($E129="","brak danych",IF($E129=0,0,IF(COUNTIFS($A$10:$A$89,$C129)&lt;&gt;1,"brak danych",IF(COUNTIFS($A$10:$A$89,$C129,$G$10:$G$89,"&lt;&gt;")=0,"brak danych",VLOOKUP($C129,$A$10:$J$89,7,FALSE)*$E129))))))</x:f>
      </x:c>
      <x:c r="I129" s="25" t="str">
        <x:f>IF($A129="","",IF(AND($C129="",$E129=""),"",IF($E129="","brak danych",IF($E129=0,0,IF(COUNTIFS($A$10:$A$89,$C129)&lt;&gt;1,"brak danych",IF(COUNTIFS($A$10:$A$89,$C129,$H$10:$H$89,"&lt;&gt;")=0,"brak danych",VLOOKUP($C129,$A$10:$J$89,8,FALSE)*$E129))))))</x:f>
      </x:c>
      <x:c r="J129" s="25" t="str">
        <x:f>IF($A129="","",IF(AND($C129="",$E129=""),"",IF($E129="","brak danych",IF($E129=0,0,IF(COUNTIFS($A$10:$A$89,$C129)&lt;&gt;1,"brak danych",IF(COUNTIFS($A$10:$A$89,$C129,$I$10:$I$89,"&lt;&gt;")=0,"brak danych",VLOOKUP($C129,$A$10:$J$89,9,FALSE)*$E129))))))</x:f>
      </x:c>
      <x:c r="K129" s="25" t="str">
        <x:f>IF($A129="","",IF(AND($C129="",$E129=""),"",IF($E129="","brak danych",IF($E129=0,0,IF(COUNTIFS($A$10:$A$89,$C129)&lt;&gt;1,"brak danych",IF(COUNTIFS($A$10:$A$89,$C129,$J$10:$J$89,"&lt;&gt;")=0,"brak danych",VLOOKUP($C129,$A$10:$J$89,10,FALSE)*$E129))))))</x:f>
      </x:c>
      <x:c r="L129" s="24" t="str">
        <x:f>IF($A129="","",IF($F129="","",IF($F129=0,0,IF(COUNTIFS($A$10:$A$89,$C129)&lt;&gt;1,"brak danych",IF(COUNTIFS($A$10:$A$89,$C129,$F$10:$F$89,"&lt;&gt;")=0,"brak danych",VLOOKUP($C129,$A$10:$J$89,6,FALSE)*$F129)))))</x:f>
      </x:c>
      <x:c r="M129" s="25" t="str">
        <x:f>IF($A129="","",IF($F129="","",IF($F129=0,0,IF(COUNTIFS($A$10:$A$89,$C129)&lt;&gt;1,"brak danych",IF(COUNTIFS($A$10:$A$89,$C129,$G$10:$G$89,"&lt;&gt;")=0,"brak danych",VLOOKUP($C129,$A$10:$J$89,7,FALSE)*$F129)))))</x:f>
      </x:c>
      <x:c r="N129" s="25" t="str">
        <x:f>IF($A129="","",IF($F129="","",IF($F129=0,0,IF(COUNTIFS($A$10:$A$89,$C129)&lt;&gt;1,"brak danych",IF(COUNTIFS($A$10:$A$89,$C129,$H$10:$H$89,"&lt;&gt;")=0,"brak danych",VLOOKUP($C129,$A$10:$J$89,8,FALSE)*$F129)))))</x:f>
      </x:c>
      <x:c r="O129" s="25" t="str">
        <x:f>IF($A129="","",IF($F129="","",IF($F129=0,0,IF(COUNTIFS($A$10:$A$89,$C129)&lt;&gt;1,"brak danych",IF(COUNTIFS($A$10:$A$89,$C129,$I$10:$I$89,"&lt;&gt;")=0,"brak danych",VLOOKUP($C129,$A$10:$J$89,9,FALSE)*$F129)))))</x:f>
      </x:c>
      <x:c r="P129" s="25" t="str">
        <x:f>IF($A129="","",IF($F129="","",IF($F129=0,0,IF(COUNTIFS($A$10:$A$89,$C129)&lt;&gt;1,"brak danych",IF(COUNTIFS($A$10:$A$89,$C129,$J$10:$J$89,"&lt;&gt;")=0,"brak danych",VLOOKUP($C129,$A$10:$J$89,10,FALSE)*$F129)))))</x:f>
      </x:c>
      <x:c r="Q129" s="18"/>
    </x:row>
    <x:row r="130" ht="25" customHeight="1">
      <x:c r="A130" s="6"/>
      <x:c r="B130" s="30"/>
      <x:c r="C130" s="5"/>
      <x:c r="D130" s="5"/>
      <x:c r="E130" s="32"/>
      <x:c r="F130" s="32"/>
      <x:c r="G130" s="24" t="str">
        <x:f>IF($A130="","",IF(AND($C130="",$E130=""),"",IF($E130="","brak danych",IF($E130=0,0,IF(COUNTIFS($A$10:$A$89,$C130)&lt;&gt;1,"brak danych",IF(COUNTIFS($A$10:$A$89,$C130,$F$10:$F$89,"&lt;&gt;")=0,"brak danych",VLOOKUP($C130,$A$10:$J$89,6,FALSE)*$E130))))))</x:f>
      </x:c>
      <x:c r="H130" s="25" t="str">
        <x:f>IF($A130="","",IF(AND($C130="",$E130=""),"",IF($E130="","brak danych",IF($E130=0,0,IF(COUNTIFS($A$10:$A$89,$C130)&lt;&gt;1,"brak danych",IF(COUNTIFS($A$10:$A$89,$C130,$G$10:$G$89,"&lt;&gt;")=0,"brak danych",VLOOKUP($C130,$A$10:$J$89,7,FALSE)*$E130))))))</x:f>
      </x:c>
      <x:c r="I130" s="25" t="str">
        <x:f>IF($A130="","",IF(AND($C130="",$E130=""),"",IF($E130="","brak danych",IF($E130=0,0,IF(COUNTIFS($A$10:$A$89,$C130)&lt;&gt;1,"brak danych",IF(COUNTIFS($A$10:$A$89,$C130,$H$10:$H$89,"&lt;&gt;")=0,"brak danych",VLOOKUP($C130,$A$10:$J$89,8,FALSE)*$E130))))))</x:f>
      </x:c>
      <x:c r="J130" s="25" t="str">
        <x:f>IF($A130="","",IF(AND($C130="",$E130=""),"",IF($E130="","brak danych",IF($E130=0,0,IF(COUNTIFS($A$10:$A$89,$C130)&lt;&gt;1,"brak danych",IF(COUNTIFS($A$10:$A$89,$C130,$I$10:$I$89,"&lt;&gt;")=0,"brak danych",VLOOKUP($C130,$A$10:$J$89,9,FALSE)*$E130))))))</x:f>
      </x:c>
      <x:c r="K130" s="25" t="str">
        <x:f>IF($A130="","",IF(AND($C130="",$E130=""),"",IF($E130="","brak danych",IF($E130=0,0,IF(COUNTIFS($A$10:$A$89,$C130)&lt;&gt;1,"brak danych",IF(COUNTIFS($A$10:$A$89,$C130,$J$10:$J$89,"&lt;&gt;")=0,"brak danych",VLOOKUP($C130,$A$10:$J$89,10,FALSE)*$E130))))))</x:f>
      </x:c>
      <x:c r="L130" s="24" t="str">
        <x:f>IF($A130="","",IF($F130="","",IF($F130=0,0,IF(COUNTIFS($A$10:$A$89,$C130)&lt;&gt;1,"brak danych",IF(COUNTIFS($A$10:$A$89,$C130,$F$10:$F$89,"&lt;&gt;")=0,"brak danych",VLOOKUP($C130,$A$10:$J$89,6,FALSE)*$F130)))))</x:f>
      </x:c>
      <x:c r="M130" s="25" t="str">
        <x:f>IF($A130="","",IF($F130="","",IF($F130=0,0,IF(COUNTIFS($A$10:$A$89,$C130)&lt;&gt;1,"brak danych",IF(COUNTIFS($A$10:$A$89,$C130,$G$10:$G$89,"&lt;&gt;")=0,"brak danych",VLOOKUP($C130,$A$10:$J$89,7,FALSE)*$F130)))))</x:f>
      </x:c>
      <x:c r="N130" s="25" t="str">
        <x:f>IF($A130="","",IF($F130="","",IF($F130=0,0,IF(COUNTIFS($A$10:$A$89,$C130)&lt;&gt;1,"brak danych",IF(COUNTIFS($A$10:$A$89,$C130,$H$10:$H$89,"&lt;&gt;")=0,"brak danych",VLOOKUP($C130,$A$10:$J$89,8,FALSE)*$F130)))))</x:f>
      </x:c>
      <x:c r="O130" s="25" t="str">
        <x:f>IF($A130="","",IF($F130="","",IF($F130=0,0,IF(COUNTIFS($A$10:$A$89,$C130)&lt;&gt;1,"brak danych",IF(COUNTIFS($A$10:$A$89,$C130,$I$10:$I$89,"&lt;&gt;")=0,"brak danych",VLOOKUP($C130,$A$10:$J$89,9,FALSE)*$F130)))))</x:f>
      </x:c>
      <x:c r="P130" s="25" t="str">
        <x:f>IF($A130="","",IF($F130="","",IF($F130=0,0,IF(COUNTIFS($A$10:$A$89,$C130)&lt;&gt;1,"brak danych",IF(COUNTIFS($A$10:$A$89,$C130,$J$10:$J$89,"&lt;&gt;")=0,"brak danych",VLOOKUP($C130,$A$10:$J$89,10,FALSE)*$F130)))))</x:f>
      </x:c>
      <x:c r="Q130" s="18"/>
    </x:row>
    <x:row r="131" ht="25" customHeight="1">
      <x:c r="A131" s="6"/>
      <x:c r="B131" s="30"/>
      <x:c r="C131" s="5"/>
      <x:c r="D131" s="5"/>
      <x:c r="E131" s="32"/>
      <x:c r="F131" s="32"/>
      <x:c r="G131" s="24" t="str">
        <x:f>IF($A131="","",IF(AND($C131="",$E131=""),"",IF($E131="","brak danych",IF($E131=0,0,IF(COUNTIFS($A$10:$A$89,$C131)&lt;&gt;1,"brak danych",IF(COUNTIFS($A$10:$A$89,$C131,$F$10:$F$89,"&lt;&gt;")=0,"brak danych",VLOOKUP($C131,$A$10:$J$89,6,FALSE)*$E131))))))</x:f>
      </x:c>
      <x:c r="H131" s="25" t="str">
        <x:f>IF($A131="","",IF(AND($C131="",$E131=""),"",IF($E131="","brak danych",IF($E131=0,0,IF(COUNTIFS($A$10:$A$89,$C131)&lt;&gt;1,"brak danych",IF(COUNTIFS($A$10:$A$89,$C131,$G$10:$G$89,"&lt;&gt;")=0,"brak danych",VLOOKUP($C131,$A$10:$J$89,7,FALSE)*$E131))))))</x:f>
      </x:c>
      <x:c r="I131" s="25" t="str">
        <x:f>IF($A131="","",IF(AND($C131="",$E131=""),"",IF($E131="","brak danych",IF($E131=0,0,IF(COUNTIFS($A$10:$A$89,$C131)&lt;&gt;1,"brak danych",IF(COUNTIFS($A$10:$A$89,$C131,$H$10:$H$89,"&lt;&gt;")=0,"brak danych",VLOOKUP($C131,$A$10:$J$89,8,FALSE)*$E131))))))</x:f>
      </x:c>
      <x:c r="J131" s="25" t="str">
        <x:f>IF($A131="","",IF(AND($C131="",$E131=""),"",IF($E131="","brak danych",IF($E131=0,0,IF(COUNTIFS($A$10:$A$89,$C131)&lt;&gt;1,"brak danych",IF(COUNTIFS($A$10:$A$89,$C131,$I$10:$I$89,"&lt;&gt;")=0,"brak danych",VLOOKUP($C131,$A$10:$J$89,9,FALSE)*$E131))))))</x:f>
      </x:c>
      <x:c r="K131" s="25" t="str">
        <x:f>IF($A131="","",IF(AND($C131="",$E131=""),"",IF($E131="","brak danych",IF($E131=0,0,IF(COUNTIFS($A$10:$A$89,$C131)&lt;&gt;1,"brak danych",IF(COUNTIFS($A$10:$A$89,$C131,$J$10:$J$89,"&lt;&gt;")=0,"brak danych",VLOOKUP($C131,$A$10:$J$89,10,FALSE)*$E131))))))</x:f>
      </x:c>
      <x:c r="L131" s="24" t="str">
        <x:f>IF($A131="","",IF($F131="","",IF($F131=0,0,IF(COUNTIFS($A$10:$A$89,$C131)&lt;&gt;1,"brak danych",IF(COUNTIFS($A$10:$A$89,$C131,$F$10:$F$89,"&lt;&gt;")=0,"brak danych",VLOOKUP($C131,$A$10:$J$89,6,FALSE)*$F131)))))</x:f>
      </x:c>
      <x:c r="M131" s="25" t="str">
        <x:f>IF($A131="","",IF($F131="","",IF($F131=0,0,IF(COUNTIFS($A$10:$A$89,$C131)&lt;&gt;1,"brak danych",IF(COUNTIFS($A$10:$A$89,$C131,$G$10:$G$89,"&lt;&gt;")=0,"brak danych",VLOOKUP($C131,$A$10:$J$89,7,FALSE)*$F131)))))</x:f>
      </x:c>
      <x:c r="N131" s="25" t="str">
        <x:f>IF($A131="","",IF($F131="","",IF($F131=0,0,IF(COUNTIFS($A$10:$A$89,$C131)&lt;&gt;1,"brak danych",IF(COUNTIFS($A$10:$A$89,$C131,$H$10:$H$89,"&lt;&gt;")=0,"brak danych",VLOOKUP($C131,$A$10:$J$89,8,FALSE)*$F131)))))</x:f>
      </x:c>
      <x:c r="O131" s="25" t="str">
        <x:f>IF($A131="","",IF($F131="","",IF($F131=0,0,IF(COUNTIFS($A$10:$A$89,$C131)&lt;&gt;1,"brak danych",IF(COUNTIFS($A$10:$A$89,$C131,$I$10:$I$89,"&lt;&gt;")=0,"brak danych",VLOOKUP($C131,$A$10:$J$89,9,FALSE)*$F131)))))</x:f>
      </x:c>
      <x:c r="P131" s="25" t="str">
        <x:f>IF($A131="","",IF($F131="","",IF($F131=0,0,IF(COUNTIFS($A$10:$A$89,$C131)&lt;&gt;1,"brak danych",IF(COUNTIFS($A$10:$A$89,$C131,$J$10:$J$89,"&lt;&gt;")=0,"brak danych",VLOOKUP($C131,$A$10:$J$89,10,FALSE)*$F131)))))</x:f>
      </x:c>
      <x:c r="Q131" s="18"/>
    </x:row>
    <x:row r="132" ht="25" customHeight="1">
      <x:c r="A132" s="6"/>
      <x:c r="B132" s="30"/>
      <x:c r="C132" s="5"/>
      <x:c r="D132" s="5"/>
      <x:c r="E132" s="32"/>
      <x:c r="F132" s="32"/>
      <x:c r="G132" s="24" t="str">
        <x:f>IF($A132="","",IF(AND($C132="",$E132=""),"",IF($E132="","brak danych",IF($E132=0,0,IF(COUNTIFS($A$10:$A$89,$C132)&lt;&gt;1,"brak danych",IF(COUNTIFS($A$10:$A$89,$C132,$F$10:$F$89,"&lt;&gt;")=0,"brak danych",VLOOKUP($C132,$A$10:$J$89,6,FALSE)*$E132))))))</x:f>
      </x:c>
      <x:c r="H132" s="25" t="str">
        <x:f>IF($A132="","",IF(AND($C132="",$E132=""),"",IF($E132="","brak danych",IF($E132=0,0,IF(COUNTIFS($A$10:$A$89,$C132)&lt;&gt;1,"brak danych",IF(COUNTIFS($A$10:$A$89,$C132,$G$10:$G$89,"&lt;&gt;")=0,"brak danych",VLOOKUP($C132,$A$10:$J$89,7,FALSE)*$E132))))))</x:f>
      </x:c>
      <x:c r="I132" s="25" t="str">
        <x:f>IF($A132="","",IF(AND($C132="",$E132=""),"",IF($E132="","brak danych",IF($E132=0,0,IF(COUNTIFS($A$10:$A$89,$C132)&lt;&gt;1,"brak danych",IF(COUNTIFS($A$10:$A$89,$C132,$H$10:$H$89,"&lt;&gt;")=0,"brak danych",VLOOKUP($C132,$A$10:$J$89,8,FALSE)*$E132))))))</x:f>
      </x:c>
      <x:c r="J132" s="25" t="str">
        <x:f>IF($A132="","",IF(AND($C132="",$E132=""),"",IF($E132="","brak danych",IF($E132=0,0,IF(COUNTIFS($A$10:$A$89,$C132)&lt;&gt;1,"brak danych",IF(COUNTIFS($A$10:$A$89,$C132,$I$10:$I$89,"&lt;&gt;")=0,"brak danych",VLOOKUP($C132,$A$10:$J$89,9,FALSE)*$E132))))))</x:f>
      </x:c>
      <x:c r="K132" s="25" t="str">
        <x:f>IF($A132="","",IF(AND($C132="",$E132=""),"",IF($E132="","brak danych",IF($E132=0,0,IF(COUNTIFS($A$10:$A$89,$C132)&lt;&gt;1,"brak danych",IF(COUNTIFS($A$10:$A$89,$C132,$J$10:$J$89,"&lt;&gt;")=0,"brak danych",VLOOKUP($C132,$A$10:$J$89,10,FALSE)*$E132))))))</x:f>
      </x:c>
      <x:c r="L132" s="24" t="str">
        <x:f>IF($A132="","",IF($F132="","",IF($F132=0,0,IF(COUNTIFS($A$10:$A$89,$C132)&lt;&gt;1,"brak danych",IF(COUNTIFS($A$10:$A$89,$C132,$F$10:$F$89,"&lt;&gt;")=0,"brak danych",VLOOKUP($C132,$A$10:$J$89,6,FALSE)*$F132)))))</x:f>
      </x:c>
      <x:c r="M132" s="25" t="str">
        <x:f>IF($A132="","",IF($F132="","",IF($F132=0,0,IF(COUNTIFS($A$10:$A$89,$C132)&lt;&gt;1,"brak danych",IF(COUNTIFS($A$10:$A$89,$C132,$G$10:$G$89,"&lt;&gt;")=0,"brak danych",VLOOKUP($C132,$A$10:$J$89,7,FALSE)*$F132)))))</x:f>
      </x:c>
      <x:c r="N132" s="25" t="str">
        <x:f>IF($A132="","",IF($F132="","",IF($F132=0,0,IF(COUNTIFS($A$10:$A$89,$C132)&lt;&gt;1,"brak danych",IF(COUNTIFS($A$10:$A$89,$C132,$H$10:$H$89,"&lt;&gt;")=0,"brak danych",VLOOKUP($C132,$A$10:$J$89,8,FALSE)*$F132)))))</x:f>
      </x:c>
      <x:c r="O132" s="25" t="str">
        <x:f>IF($A132="","",IF($F132="","",IF($F132=0,0,IF(COUNTIFS($A$10:$A$89,$C132)&lt;&gt;1,"brak danych",IF(COUNTIFS($A$10:$A$89,$C132,$I$10:$I$89,"&lt;&gt;")=0,"brak danych",VLOOKUP($C132,$A$10:$J$89,9,FALSE)*$F132)))))</x:f>
      </x:c>
      <x:c r="P132" s="25" t="str">
        <x:f>IF($A132="","",IF($F132="","",IF($F132=0,0,IF(COUNTIFS($A$10:$A$89,$C132)&lt;&gt;1,"brak danych",IF(COUNTIFS($A$10:$A$89,$C132,$J$10:$J$89,"&lt;&gt;")=0,"brak danych",VLOOKUP($C132,$A$10:$J$89,10,FALSE)*$F132)))))</x:f>
      </x:c>
      <x:c r="Q132" s="18"/>
    </x:row>
    <x:row r="133" ht="25" customHeight="1">
      <x:c r="A133" s="6"/>
      <x:c r="B133" s="30"/>
      <x:c r="C133" s="5"/>
      <x:c r="D133" s="5"/>
      <x:c r="E133" s="32"/>
      <x:c r="F133" s="32"/>
      <x:c r="G133" s="24" t="str">
        <x:f>IF($A133="","",IF(AND($C133="",$E133=""),"",IF($E133="","brak danych",IF($E133=0,0,IF(COUNTIFS($A$10:$A$89,$C133)&lt;&gt;1,"brak danych",IF(COUNTIFS($A$10:$A$89,$C133,$F$10:$F$89,"&lt;&gt;")=0,"brak danych",VLOOKUP($C133,$A$10:$J$89,6,FALSE)*$E133))))))</x:f>
      </x:c>
      <x:c r="H133" s="25" t="str">
        <x:f>IF($A133="","",IF(AND($C133="",$E133=""),"",IF($E133="","brak danych",IF($E133=0,0,IF(COUNTIFS($A$10:$A$89,$C133)&lt;&gt;1,"brak danych",IF(COUNTIFS($A$10:$A$89,$C133,$G$10:$G$89,"&lt;&gt;")=0,"brak danych",VLOOKUP($C133,$A$10:$J$89,7,FALSE)*$E133))))))</x:f>
      </x:c>
      <x:c r="I133" s="25" t="str">
        <x:f>IF($A133="","",IF(AND($C133="",$E133=""),"",IF($E133="","brak danych",IF($E133=0,0,IF(COUNTIFS($A$10:$A$89,$C133)&lt;&gt;1,"brak danych",IF(COUNTIFS($A$10:$A$89,$C133,$H$10:$H$89,"&lt;&gt;")=0,"brak danych",VLOOKUP($C133,$A$10:$J$89,8,FALSE)*$E133))))))</x:f>
      </x:c>
      <x:c r="J133" s="25" t="str">
        <x:f>IF($A133="","",IF(AND($C133="",$E133=""),"",IF($E133="","brak danych",IF($E133=0,0,IF(COUNTIFS($A$10:$A$89,$C133)&lt;&gt;1,"brak danych",IF(COUNTIFS($A$10:$A$89,$C133,$I$10:$I$89,"&lt;&gt;")=0,"brak danych",VLOOKUP($C133,$A$10:$J$89,9,FALSE)*$E133))))))</x:f>
      </x:c>
      <x:c r="K133" s="25" t="str">
        <x:f>IF($A133="","",IF(AND($C133="",$E133=""),"",IF($E133="","brak danych",IF($E133=0,0,IF(COUNTIFS($A$10:$A$89,$C133)&lt;&gt;1,"brak danych",IF(COUNTIFS($A$10:$A$89,$C133,$J$10:$J$89,"&lt;&gt;")=0,"brak danych",VLOOKUP($C133,$A$10:$J$89,10,FALSE)*$E133))))))</x:f>
      </x:c>
      <x:c r="L133" s="24" t="str">
        <x:f>IF($A133="","",IF($F133="","",IF($F133=0,0,IF(COUNTIFS($A$10:$A$89,$C133)&lt;&gt;1,"brak danych",IF(COUNTIFS($A$10:$A$89,$C133,$F$10:$F$89,"&lt;&gt;")=0,"brak danych",VLOOKUP($C133,$A$10:$J$89,6,FALSE)*$F133)))))</x:f>
      </x:c>
      <x:c r="M133" s="25" t="str">
        <x:f>IF($A133="","",IF($F133="","",IF($F133=0,0,IF(COUNTIFS($A$10:$A$89,$C133)&lt;&gt;1,"brak danych",IF(COUNTIFS($A$10:$A$89,$C133,$G$10:$G$89,"&lt;&gt;")=0,"brak danych",VLOOKUP($C133,$A$10:$J$89,7,FALSE)*$F133)))))</x:f>
      </x:c>
      <x:c r="N133" s="25" t="str">
        <x:f>IF($A133="","",IF($F133="","",IF($F133=0,0,IF(COUNTIFS($A$10:$A$89,$C133)&lt;&gt;1,"brak danych",IF(COUNTIFS($A$10:$A$89,$C133,$H$10:$H$89,"&lt;&gt;")=0,"brak danych",VLOOKUP($C133,$A$10:$J$89,8,FALSE)*$F133)))))</x:f>
      </x:c>
      <x:c r="O133" s="25" t="str">
        <x:f>IF($A133="","",IF($F133="","",IF($F133=0,0,IF(COUNTIFS($A$10:$A$89,$C133)&lt;&gt;1,"brak danych",IF(COUNTIFS($A$10:$A$89,$C133,$I$10:$I$89,"&lt;&gt;")=0,"brak danych",VLOOKUP($C133,$A$10:$J$89,9,FALSE)*$F133)))))</x:f>
      </x:c>
      <x:c r="P133" s="25" t="str">
        <x:f>IF($A133="","",IF($F133="","",IF($F133=0,0,IF(COUNTIFS($A$10:$A$89,$C133)&lt;&gt;1,"brak danych",IF(COUNTIFS($A$10:$A$89,$C133,$J$10:$J$89,"&lt;&gt;")=0,"brak danych",VLOOKUP($C133,$A$10:$J$89,10,FALSE)*$F133)))))</x:f>
      </x:c>
      <x:c r="Q133" s="18"/>
    </x:row>
    <x:row r="134" ht="25" customHeight="1">
      <x:c r="A134" s="6"/>
      <x:c r="B134" s="30"/>
      <x:c r="C134" s="5"/>
      <x:c r="D134" s="5"/>
      <x:c r="E134" s="32"/>
      <x:c r="F134" s="32"/>
      <x:c r="G134" s="24" t="str">
        <x:f>IF($A134="","",IF(AND($C134="",$E134=""),"",IF($E134="","brak danych",IF($E134=0,0,IF(COUNTIFS($A$10:$A$89,$C134)&lt;&gt;1,"brak danych",IF(COUNTIFS($A$10:$A$89,$C134,$F$10:$F$89,"&lt;&gt;")=0,"brak danych",VLOOKUP($C134,$A$10:$J$89,6,FALSE)*$E134))))))</x:f>
      </x:c>
      <x:c r="H134" s="25" t="str">
        <x:f>IF($A134="","",IF(AND($C134="",$E134=""),"",IF($E134="","brak danych",IF($E134=0,0,IF(COUNTIFS($A$10:$A$89,$C134)&lt;&gt;1,"brak danych",IF(COUNTIFS($A$10:$A$89,$C134,$G$10:$G$89,"&lt;&gt;")=0,"brak danych",VLOOKUP($C134,$A$10:$J$89,7,FALSE)*$E134))))))</x:f>
      </x:c>
      <x:c r="I134" s="25" t="str">
        <x:f>IF($A134="","",IF(AND($C134="",$E134=""),"",IF($E134="","brak danych",IF($E134=0,0,IF(COUNTIFS($A$10:$A$89,$C134)&lt;&gt;1,"brak danych",IF(COUNTIFS($A$10:$A$89,$C134,$H$10:$H$89,"&lt;&gt;")=0,"brak danych",VLOOKUP($C134,$A$10:$J$89,8,FALSE)*$E134))))))</x:f>
      </x:c>
      <x:c r="J134" s="25" t="str">
        <x:f>IF($A134="","",IF(AND($C134="",$E134=""),"",IF($E134="","brak danych",IF($E134=0,0,IF(COUNTIFS($A$10:$A$89,$C134)&lt;&gt;1,"brak danych",IF(COUNTIFS($A$10:$A$89,$C134,$I$10:$I$89,"&lt;&gt;")=0,"brak danych",VLOOKUP($C134,$A$10:$J$89,9,FALSE)*$E134))))))</x:f>
      </x:c>
      <x:c r="K134" s="25" t="str">
        <x:f>IF($A134="","",IF(AND($C134="",$E134=""),"",IF($E134="","brak danych",IF($E134=0,0,IF(COUNTIFS($A$10:$A$89,$C134)&lt;&gt;1,"brak danych",IF(COUNTIFS($A$10:$A$89,$C134,$J$10:$J$89,"&lt;&gt;")=0,"brak danych",VLOOKUP($C134,$A$10:$J$89,10,FALSE)*$E134))))))</x:f>
      </x:c>
      <x:c r="L134" s="24" t="str">
        <x:f>IF($A134="","",IF($F134="","",IF($F134=0,0,IF(COUNTIFS($A$10:$A$89,$C134)&lt;&gt;1,"brak danych",IF(COUNTIFS($A$10:$A$89,$C134,$F$10:$F$89,"&lt;&gt;")=0,"brak danych",VLOOKUP($C134,$A$10:$J$89,6,FALSE)*$F134)))))</x:f>
      </x:c>
      <x:c r="M134" s="25" t="str">
        <x:f>IF($A134="","",IF($F134="","",IF($F134=0,0,IF(COUNTIFS($A$10:$A$89,$C134)&lt;&gt;1,"brak danych",IF(COUNTIFS($A$10:$A$89,$C134,$G$10:$G$89,"&lt;&gt;")=0,"brak danych",VLOOKUP($C134,$A$10:$J$89,7,FALSE)*$F134)))))</x:f>
      </x:c>
      <x:c r="N134" s="25" t="str">
        <x:f>IF($A134="","",IF($F134="","",IF($F134=0,0,IF(COUNTIFS($A$10:$A$89,$C134)&lt;&gt;1,"brak danych",IF(COUNTIFS($A$10:$A$89,$C134,$H$10:$H$89,"&lt;&gt;")=0,"brak danych",VLOOKUP($C134,$A$10:$J$89,8,FALSE)*$F134)))))</x:f>
      </x:c>
      <x:c r="O134" s="25" t="str">
        <x:f>IF($A134="","",IF($F134="","",IF($F134=0,0,IF(COUNTIFS($A$10:$A$89,$C134)&lt;&gt;1,"brak danych",IF(COUNTIFS($A$10:$A$89,$C134,$I$10:$I$89,"&lt;&gt;")=0,"brak danych",VLOOKUP($C134,$A$10:$J$89,9,FALSE)*$F134)))))</x:f>
      </x:c>
      <x:c r="P134" s="25" t="str">
        <x:f>IF($A134="","",IF($F134="","",IF($F134=0,0,IF(COUNTIFS($A$10:$A$89,$C134)&lt;&gt;1,"brak danych",IF(COUNTIFS($A$10:$A$89,$C134,$J$10:$J$89,"&lt;&gt;")=0,"brak danych",VLOOKUP($C134,$A$10:$J$89,10,FALSE)*$F134)))))</x:f>
      </x:c>
      <x:c r="Q134" s="18"/>
    </x:row>
    <x:row r="135" ht="25" customHeight="1">
      <x:c r="A135" s="6"/>
      <x:c r="B135" s="30"/>
      <x:c r="C135" s="5"/>
      <x:c r="D135" s="5"/>
      <x:c r="E135" s="32"/>
      <x:c r="F135" s="32"/>
      <x:c r="G135" s="24" t="str">
        <x:f>IF($A135="","",IF(AND($C135="",$E135=""),"",IF($E135="","brak danych",IF($E135=0,0,IF(COUNTIFS($A$10:$A$89,$C135)&lt;&gt;1,"brak danych",IF(COUNTIFS($A$10:$A$89,$C135,$F$10:$F$89,"&lt;&gt;")=0,"brak danych",VLOOKUP($C135,$A$10:$J$89,6,FALSE)*$E135))))))</x:f>
      </x:c>
      <x:c r="H135" s="25" t="str">
        <x:f>IF($A135="","",IF(AND($C135="",$E135=""),"",IF($E135="","brak danych",IF($E135=0,0,IF(COUNTIFS($A$10:$A$89,$C135)&lt;&gt;1,"brak danych",IF(COUNTIFS($A$10:$A$89,$C135,$G$10:$G$89,"&lt;&gt;")=0,"brak danych",VLOOKUP($C135,$A$10:$J$89,7,FALSE)*$E135))))))</x:f>
      </x:c>
      <x:c r="I135" s="25" t="str">
        <x:f>IF($A135="","",IF(AND($C135="",$E135=""),"",IF($E135="","brak danych",IF($E135=0,0,IF(COUNTIFS($A$10:$A$89,$C135)&lt;&gt;1,"brak danych",IF(COUNTIFS($A$10:$A$89,$C135,$H$10:$H$89,"&lt;&gt;")=0,"brak danych",VLOOKUP($C135,$A$10:$J$89,8,FALSE)*$E135))))))</x:f>
      </x:c>
      <x:c r="J135" s="25" t="str">
        <x:f>IF($A135="","",IF(AND($C135="",$E135=""),"",IF($E135="","brak danych",IF($E135=0,0,IF(COUNTIFS($A$10:$A$89,$C135)&lt;&gt;1,"brak danych",IF(COUNTIFS($A$10:$A$89,$C135,$I$10:$I$89,"&lt;&gt;")=0,"brak danych",VLOOKUP($C135,$A$10:$J$89,9,FALSE)*$E135))))))</x:f>
      </x:c>
      <x:c r="K135" s="25" t="str">
        <x:f>IF($A135="","",IF(AND($C135="",$E135=""),"",IF($E135="","brak danych",IF($E135=0,0,IF(COUNTIFS($A$10:$A$89,$C135)&lt;&gt;1,"brak danych",IF(COUNTIFS($A$10:$A$89,$C135,$J$10:$J$89,"&lt;&gt;")=0,"brak danych",VLOOKUP($C135,$A$10:$J$89,10,FALSE)*$E135))))))</x:f>
      </x:c>
      <x:c r="L135" s="24" t="str">
        <x:f>IF($A135="","",IF($F135="","",IF($F135=0,0,IF(COUNTIFS($A$10:$A$89,$C135)&lt;&gt;1,"brak danych",IF(COUNTIFS($A$10:$A$89,$C135,$F$10:$F$89,"&lt;&gt;")=0,"brak danych",VLOOKUP($C135,$A$10:$J$89,6,FALSE)*$F135)))))</x:f>
      </x:c>
      <x:c r="M135" s="25" t="str">
        <x:f>IF($A135="","",IF($F135="","",IF($F135=0,0,IF(COUNTIFS($A$10:$A$89,$C135)&lt;&gt;1,"brak danych",IF(COUNTIFS($A$10:$A$89,$C135,$G$10:$G$89,"&lt;&gt;")=0,"brak danych",VLOOKUP($C135,$A$10:$J$89,7,FALSE)*$F135)))))</x:f>
      </x:c>
      <x:c r="N135" s="25" t="str">
        <x:f>IF($A135="","",IF($F135="","",IF($F135=0,0,IF(COUNTIFS($A$10:$A$89,$C135)&lt;&gt;1,"brak danych",IF(COUNTIFS($A$10:$A$89,$C135,$H$10:$H$89,"&lt;&gt;")=0,"brak danych",VLOOKUP($C135,$A$10:$J$89,8,FALSE)*$F135)))))</x:f>
      </x:c>
      <x:c r="O135" s="25" t="str">
        <x:f>IF($A135="","",IF($F135="","",IF($F135=0,0,IF(COUNTIFS($A$10:$A$89,$C135)&lt;&gt;1,"brak danych",IF(COUNTIFS($A$10:$A$89,$C135,$I$10:$I$89,"&lt;&gt;")=0,"brak danych",VLOOKUP($C135,$A$10:$J$89,9,FALSE)*$F135)))))</x:f>
      </x:c>
      <x:c r="P135" s="25" t="str">
        <x:f>IF($A135="","",IF($F135="","",IF($F135=0,0,IF(COUNTIFS($A$10:$A$89,$C135)&lt;&gt;1,"brak danych",IF(COUNTIFS($A$10:$A$89,$C135,$J$10:$J$89,"&lt;&gt;")=0,"brak danych",VLOOKUP($C135,$A$10:$J$89,10,FALSE)*$F135)))))</x:f>
      </x:c>
      <x:c r="Q135" s="18"/>
    </x:row>
    <x:row r="136" ht="25" customHeight="1">
      <x:c r="A136" s="6"/>
      <x:c r="B136" s="30"/>
      <x:c r="C136" s="5"/>
      <x:c r="D136" s="5"/>
      <x:c r="E136" s="32"/>
      <x:c r="F136" s="32"/>
      <x:c r="G136" s="24" t="str">
        <x:f>IF($A136="","",IF(AND($C136="",$E136=""),"",IF($E136="","brak danych",IF($E136=0,0,IF(COUNTIFS($A$10:$A$89,$C136)&lt;&gt;1,"brak danych",IF(COUNTIFS($A$10:$A$89,$C136,$F$10:$F$89,"&lt;&gt;")=0,"brak danych",VLOOKUP($C136,$A$10:$J$89,6,FALSE)*$E136))))))</x:f>
      </x:c>
      <x:c r="H136" s="25" t="str">
        <x:f>IF($A136="","",IF(AND($C136="",$E136=""),"",IF($E136="","brak danych",IF($E136=0,0,IF(COUNTIFS($A$10:$A$89,$C136)&lt;&gt;1,"brak danych",IF(COUNTIFS($A$10:$A$89,$C136,$G$10:$G$89,"&lt;&gt;")=0,"brak danych",VLOOKUP($C136,$A$10:$J$89,7,FALSE)*$E136))))))</x:f>
      </x:c>
      <x:c r="I136" s="25" t="str">
        <x:f>IF($A136="","",IF(AND($C136="",$E136=""),"",IF($E136="","brak danych",IF($E136=0,0,IF(COUNTIFS($A$10:$A$89,$C136)&lt;&gt;1,"brak danych",IF(COUNTIFS($A$10:$A$89,$C136,$H$10:$H$89,"&lt;&gt;")=0,"brak danych",VLOOKUP($C136,$A$10:$J$89,8,FALSE)*$E136))))))</x:f>
      </x:c>
      <x:c r="J136" s="25" t="str">
        <x:f>IF($A136="","",IF(AND($C136="",$E136=""),"",IF($E136="","brak danych",IF($E136=0,0,IF(COUNTIFS($A$10:$A$89,$C136)&lt;&gt;1,"brak danych",IF(COUNTIFS($A$10:$A$89,$C136,$I$10:$I$89,"&lt;&gt;")=0,"brak danych",VLOOKUP($C136,$A$10:$J$89,9,FALSE)*$E136))))))</x:f>
      </x:c>
      <x:c r="K136" s="25" t="str">
        <x:f>IF($A136="","",IF(AND($C136="",$E136=""),"",IF($E136="","brak danych",IF($E136=0,0,IF(COUNTIFS($A$10:$A$89,$C136)&lt;&gt;1,"brak danych",IF(COUNTIFS($A$10:$A$89,$C136,$J$10:$J$89,"&lt;&gt;")=0,"brak danych",VLOOKUP($C136,$A$10:$J$89,10,FALSE)*$E136))))))</x:f>
      </x:c>
      <x:c r="L136" s="24" t="str">
        <x:f>IF($A136="","",IF($F136="","",IF($F136=0,0,IF(COUNTIFS($A$10:$A$89,$C136)&lt;&gt;1,"brak danych",IF(COUNTIFS($A$10:$A$89,$C136,$F$10:$F$89,"&lt;&gt;")=0,"brak danych",VLOOKUP($C136,$A$10:$J$89,6,FALSE)*$F136)))))</x:f>
      </x:c>
      <x:c r="M136" s="25" t="str">
        <x:f>IF($A136="","",IF($F136="","",IF($F136=0,0,IF(COUNTIFS($A$10:$A$89,$C136)&lt;&gt;1,"brak danych",IF(COUNTIFS($A$10:$A$89,$C136,$G$10:$G$89,"&lt;&gt;")=0,"brak danych",VLOOKUP($C136,$A$10:$J$89,7,FALSE)*$F136)))))</x:f>
      </x:c>
      <x:c r="N136" s="25" t="str">
        <x:f>IF($A136="","",IF($F136="","",IF($F136=0,0,IF(COUNTIFS($A$10:$A$89,$C136)&lt;&gt;1,"brak danych",IF(COUNTIFS($A$10:$A$89,$C136,$H$10:$H$89,"&lt;&gt;")=0,"brak danych",VLOOKUP($C136,$A$10:$J$89,8,FALSE)*$F136)))))</x:f>
      </x:c>
      <x:c r="O136" s="25" t="str">
        <x:f>IF($A136="","",IF($F136="","",IF($F136=0,0,IF(COUNTIFS($A$10:$A$89,$C136)&lt;&gt;1,"brak danych",IF(COUNTIFS($A$10:$A$89,$C136,$I$10:$I$89,"&lt;&gt;")=0,"brak danych",VLOOKUP($C136,$A$10:$J$89,9,FALSE)*$F136)))))</x:f>
      </x:c>
      <x:c r="P136" s="25" t="str">
        <x:f>IF($A136="","",IF($F136="","",IF($F136=0,0,IF(COUNTIFS($A$10:$A$89,$C136)&lt;&gt;1,"brak danych",IF(COUNTIFS($A$10:$A$89,$C136,$J$10:$J$89,"&lt;&gt;")=0,"brak danych",VLOOKUP($C136,$A$10:$J$89,10,FALSE)*$F136)))))</x:f>
      </x:c>
      <x:c r="Q136" s="18"/>
    </x:row>
    <x:row r="137" ht="25" customHeight="1">
      <x:c r="A137" s="6"/>
      <x:c r="B137" s="30"/>
      <x:c r="C137" s="5"/>
      <x:c r="D137" s="5"/>
      <x:c r="E137" s="32"/>
      <x:c r="F137" s="32"/>
      <x:c r="G137" s="24" t="str">
        <x:f>IF($A137="","",IF(AND($C137="",$E137=""),"",IF($E137="","brak danych",IF($E137=0,0,IF(COUNTIFS($A$10:$A$89,$C137)&lt;&gt;1,"brak danych",IF(COUNTIFS($A$10:$A$89,$C137,$F$10:$F$89,"&lt;&gt;")=0,"brak danych",VLOOKUP($C137,$A$10:$J$89,6,FALSE)*$E137))))))</x:f>
      </x:c>
      <x:c r="H137" s="25" t="str">
        <x:f>IF($A137="","",IF(AND($C137="",$E137=""),"",IF($E137="","brak danych",IF($E137=0,0,IF(COUNTIFS($A$10:$A$89,$C137)&lt;&gt;1,"brak danych",IF(COUNTIFS($A$10:$A$89,$C137,$G$10:$G$89,"&lt;&gt;")=0,"brak danych",VLOOKUP($C137,$A$10:$J$89,7,FALSE)*$E137))))))</x:f>
      </x:c>
      <x:c r="I137" s="25" t="str">
        <x:f>IF($A137="","",IF(AND($C137="",$E137=""),"",IF($E137="","brak danych",IF($E137=0,0,IF(COUNTIFS($A$10:$A$89,$C137)&lt;&gt;1,"brak danych",IF(COUNTIFS($A$10:$A$89,$C137,$H$10:$H$89,"&lt;&gt;")=0,"brak danych",VLOOKUP($C137,$A$10:$J$89,8,FALSE)*$E137))))))</x:f>
      </x:c>
      <x:c r="J137" s="25" t="str">
        <x:f>IF($A137="","",IF(AND($C137="",$E137=""),"",IF($E137="","brak danych",IF($E137=0,0,IF(COUNTIFS($A$10:$A$89,$C137)&lt;&gt;1,"brak danych",IF(COUNTIFS($A$10:$A$89,$C137,$I$10:$I$89,"&lt;&gt;")=0,"brak danych",VLOOKUP($C137,$A$10:$J$89,9,FALSE)*$E137))))))</x:f>
      </x:c>
      <x:c r="K137" s="25" t="str">
        <x:f>IF($A137="","",IF(AND($C137="",$E137=""),"",IF($E137="","brak danych",IF($E137=0,0,IF(COUNTIFS($A$10:$A$89,$C137)&lt;&gt;1,"brak danych",IF(COUNTIFS($A$10:$A$89,$C137,$J$10:$J$89,"&lt;&gt;")=0,"brak danych",VLOOKUP($C137,$A$10:$J$89,10,FALSE)*$E137))))))</x:f>
      </x:c>
      <x:c r="L137" s="24" t="str">
        <x:f>IF($A137="","",IF($F137="","",IF($F137=0,0,IF(COUNTIFS($A$10:$A$89,$C137)&lt;&gt;1,"brak danych",IF(COUNTIFS($A$10:$A$89,$C137,$F$10:$F$89,"&lt;&gt;")=0,"brak danych",VLOOKUP($C137,$A$10:$J$89,6,FALSE)*$F137)))))</x:f>
      </x:c>
      <x:c r="M137" s="25" t="str">
        <x:f>IF($A137="","",IF($F137="","",IF($F137=0,0,IF(COUNTIFS($A$10:$A$89,$C137)&lt;&gt;1,"brak danych",IF(COUNTIFS($A$10:$A$89,$C137,$G$10:$G$89,"&lt;&gt;")=0,"brak danych",VLOOKUP($C137,$A$10:$J$89,7,FALSE)*$F137)))))</x:f>
      </x:c>
      <x:c r="N137" s="25" t="str">
        <x:f>IF($A137="","",IF($F137="","",IF($F137=0,0,IF(COUNTIFS($A$10:$A$89,$C137)&lt;&gt;1,"brak danych",IF(COUNTIFS($A$10:$A$89,$C137,$H$10:$H$89,"&lt;&gt;")=0,"brak danych",VLOOKUP($C137,$A$10:$J$89,8,FALSE)*$F137)))))</x:f>
      </x:c>
      <x:c r="O137" s="25" t="str">
        <x:f>IF($A137="","",IF($F137="","",IF($F137=0,0,IF(COUNTIFS($A$10:$A$89,$C137)&lt;&gt;1,"brak danych",IF(COUNTIFS($A$10:$A$89,$C137,$I$10:$I$89,"&lt;&gt;")=0,"brak danych",VLOOKUP($C137,$A$10:$J$89,9,FALSE)*$F137)))))</x:f>
      </x:c>
      <x:c r="P137" s="25" t="str">
        <x:f>IF($A137="","",IF($F137="","",IF($F137=0,0,IF(COUNTIFS($A$10:$A$89,$C137)&lt;&gt;1,"brak danych",IF(COUNTIFS($A$10:$A$89,$C137,$J$10:$J$89,"&lt;&gt;")=0,"brak danych",VLOOKUP($C137,$A$10:$J$89,10,FALSE)*$F137)))))</x:f>
      </x:c>
      <x:c r="Q137" s="18"/>
    </x:row>
    <x:row r="138" ht="25" customHeight="1">
      <x:c r="A138" s="6"/>
      <x:c r="B138" s="30"/>
      <x:c r="C138" s="5"/>
      <x:c r="D138" s="5"/>
      <x:c r="E138" s="32"/>
      <x:c r="F138" s="32"/>
      <x:c r="G138" s="24" t="str">
        <x:f>IF($A138="","",IF(AND($C138="",$E138=""),"",IF($E138="","brak danych",IF($E138=0,0,IF(COUNTIFS($A$10:$A$89,$C138)&lt;&gt;1,"brak danych",IF(COUNTIFS($A$10:$A$89,$C138,$F$10:$F$89,"&lt;&gt;")=0,"brak danych",VLOOKUP($C138,$A$10:$J$89,6,FALSE)*$E138))))))</x:f>
      </x:c>
      <x:c r="H138" s="25" t="str">
        <x:f>IF($A138="","",IF(AND($C138="",$E138=""),"",IF($E138="","brak danych",IF($E138=0,0,IF(COUNTIFS($A$10:$A$89,$C138)&lt;&gt;1,"brak danych",IF(COUNTIFS($A$10:$A$89,$C138,$G$10:$G$89,"&lt;&gt;")=0,"brak danych",VLOOKUP($C138,$A$10:$J$89,7,FALSE)*$E138))))))</x:f>
      </x:c>
      <x:c r="I138" s="25" t="str">
        <x:f>IF($A138="","",IF(AND($C138="",$E138=""),"",IF($E138="","brak danych",IF($E138=0,0,IF(COUNTIFS($A$10:$A$89,$C138)&lt;&gt;1,"brak danych",IF(COUNTIFS($A$10:$A$89,$C138,$H$10:$H$89,"&lt;&gt;")=0,"brak danych",VLOOKUP($C138,$A$10:$J$89,8,FALSE)*$E138))))))</x:f>
      </x:c>
      <x:c r="J138" s="25" t="str">
        <x:f>IF($A138="","",IF(AND($C138="",$E138=""),"",IF($E138="","brak danych",IF($E138=0,0,IF(COUNTIFS($A$10:$A$89,$C138)&lt;&gt;1,"brak danych",IF(COUNTIFS($A$10:$A$89,$C138,$I$10:$I$89,"&lt;&gt;")=0,"brak danych",VLOOKUP($C138,$A$10:$J$89,9,FALSE)*$E138))))))</x:f>
      </x:c>
      <x:c r="K138" s="25" t="str">
        <x:f>IF($A138="","",IF(AND($C138="",$E138=""),"",IF($E138="","brak danych",IF($E138=0,0,IF(COUNTIFS($A$10:$A$89,$C138)&lt;&gt;1,"brak danych",IF(COUNTIFS($A$10:$A$89,$C138,$J$10:$J$89,"&lt;&gt;")=0,"brak danych",VLOOKUP($C138,$A$10:$J$89,10,FALSE)*$E138))))))</x:f>
      </x:c>
      <x:c r="L138" s="24" t="str">
        <x:f>IF($A138="","",IF($F138="","",IF($F138=0,0,IF(COUNTIFS($A$10:$A$89,$C138)&lt;&gt;1,"brak danych",IF(COUNTIFS($A$10:$A$89,$C138,$F$10:$F$89,"&lt;&gt;")=0,"brak danych",VLOOKUP($C138,$A$10:$J$89,6,FALSE)*$F138)))))</x:f>
      </x:c>
      <x:c r="M138" s="25" t="str">
        <x:f>IF($A138="","",IF($F138="","",IF($F138=0,0,IF(COUNTIFS($A$10:$A$89,$C138)&lt;&gt;1,"brak danych",IF(COUNTIFS($A$10:$A$89,$C138,$G$10:$G$89,"&lt;&gt;")=0,"brak danych",VLOOKUP($C138,$A$10:$J$89,7,FALSE)*$F138)))))</x:f>
      </x:c>
      <x:c r="N138" s="25" t="str">
        <x:f>IF($A138="","",IF($F138="","",IF($F138=0,0,IF(COUNTIFS($A$10:$A$89,$C138)&lt;&gt;1,"brak danych",IF(COUNTIFS($A$10:$A$89,$C138,$H$10:$H$89,"&lt;&gt;")=0,"brak danych",VLOOKUP($C138,$A$10:$J$89,8,FALSE)*$F138)))))</x:f>
      </x:c>
      <x:c r="O138" s="25" t="str">
        <x:f>IF($A138="","",IF($F138="","",IF($F138=0,0,IF(COUNTIFS($A$10:$A$89,$C138)&lt;&gt;1,"brak danych",IF(COUNTIFS($A$10:$A$89,$C138,$I$10:$I$89,"&lt;&gt;")=0,"brak danych",VLOOKUP($C138,$A$10:$J$89,9,FALSE)*$F138)))))</x:f>
      </x:c>
      <x:c r="P138" s="25" t="str">
        <x:f>IF($A138="","",IF($F138="","",IF($F138=0,0,IF(COUNTIFS($A$10:$A$89,$C138)&lt;&gt;1,"brak danych",IF(COUNTIFS($A$10:$A$89,$C138,$J$10:$J$89,"&lt;&gt;")=0,"brak danych",VLOOKUP($C138,$A$10:$J$89,10,FALSE)*$F138)))))</x:f>
      </x:c>
      <x:c r="Q138" s="18"/>
    </x:row>
    <x:row r="139" ht="25" customHeight="1">
      <x:c r="A139" s="6"/>
      <x:c r="B139" s="30"/>
      <x:c r="C139" s="5"/>
      <x:c r="D139" s="5"/>
      <x:c r="E139" s="32"/>
      <x:c r="F139" s="32"/>
      <x:c r="G139" s="24" t="str">
        <x:f>IF($A139="","",IF(AND($C139="",$E139=""),"",IF($E139="","brak danych",IF($E139=0,0,IF(COUNTIFS($A$10:$A$89,$C139)&lt;&gt;1,"brak danych",IF(COUNTIFS($A$10:$A$89,$C139,$F$10:$F$89,"&lt;&gt;")=0,"brak danych",VLOOKUP($C139,$A$10:$J$89,6,FALSE)*$E139))))))</x:f>
      </x:c>
      <x:c r="H139" s="25" t="str">
        <x:f>IF($A139="","",IF(AND($C139="",$E139=""),"",IF($E139="","brak danych",IF($E139=0,0,IF(COUNTIFS($A$10:$A$89,$C139)&lt;&gt;1,"brak danych",IF(COUNTIFS($A$10:$A$89,$C139,$G$10:$G$89,"&lt;&gt;")=0,"brak danych",VLOOKUP($C139,$A$10:$J$89,7,FALSE)*$E139))))))</x:f>
      </x:c>
      <x:c r="I139" s="25" t="str">
        <x:f>IF($A139="","",IF(AND($C139="",$E139=""),"",IF($E139="","brak danych",IF($E139=0,0,IF(COUNTIFS($A$10:$A$89,$C139)&lt;&gt;1,"brak danych",IF(COUNTIFS($A$10:$A$89,$C139,$H$10:$H$89,"&lt;&gt;")=0,"brak danych",VLOOKUP($C139,$A$10:$J$89,8,FALSE)*$E139))))))</x:f>
      </x:c>
      <x:c r="J139" s="25" t="str">
        <x:f>IF($A139="","",IF(AND($C139="",$E139=""),"",IF($E139="","brak danych",IF($E139=0,0,IF(COUNTIFS($A$10:$A$89,$C139)&lt;&gt;1,"brak danych",IF(COUNTIFS($A$10:$A$89,$C139,$I$10:$I$89,"&lt;&gt;")=0,"brak danych",VLOOKUP($C139,$A$10:$J$89,9,FALSE)*$E139))))))</x:f>
      </x:c>
      <x:c r="K139" s="25" t="str">
        <x:f>IF($A139="","",IF(AND($C139="",$E139=""),"",IF($E139="","brak danych",IF($E139=0,0,IF(COUNTIFS($A$10:$A$89,$C139)&lt;&gt;1,"brak danych",IF(COUNTIFS($A$10:$A$89,$C139,$J$10:$J$89,"&lt;&gt;")=0,"brak danych",VLOOKUP($C139,$A$10:$J$89,10,FALSE)*$E139))))))</x:f>
      </x:c>
      <x:c r="L139" s="24" t="str">
        <x:f>IF($A139="","",IF($F139="","",IF($F139=0,0,IF(COUNTIFS($A$10:$A$89,$C139)&lt;&gt;1,"brak danych",IF(COUNTIFS($A$10:$A$89,$C139,$F$10:$F$89,"&lt;&gt;")=0,"brak danych",VLOOKUP($C139,$A$10:$J$89,6,FALSE)*$F139)))))</x:f>
      </x:c>
      <x:c r="M139" s="25" t="str">
        <x:f>IF($A139="","",IF($F139="","",IF($F139=0,0,IF(COUNTIFS($A$10:$A$89,$C139)&lt;&gt;1,"brak danych",IF(COUNTIFS($A$10:$A$89,$C139,$G$10:$G$89,"&lt;&gt;")=0,"brak danych",VLOOKUP($C139,$A$10:$J$89,7,FALSE)*$F139)))))</x:f>
      </x:c>
      <x:c r="N139" s="25" t="str">
        <x:f>IF($A139="","",IF($F139="","",IF($F139=0,0,IF(COUNTIFS($A$10:$A$89,$C139)&lt;&gt;1,"brak danych",IF(COUNTIFS($A$10:$A$89,$C139,$H$10:$H$89,"&lt;&gt;")=0,"brak danych",VLOOKUP($C139,$A$10:$J$89,8,FALSE)*$F139)))))</x:f>
      </x:c>
      <x:c r="O139" s="25" t="str">
        <x:f>IF($A139="","",IF($F139="","",IF($F139=0,0,IF(COUNTIFS($A$10:$A$89,$C139)&lt;&gt;1,"brak danych",IF(COUNTIFS($A$10:$A$89,$C139,$I$10:$I$89,"&lt;&gt;")=0,"brak danych",VLOOKUP($C139,$A$10:$J$89,9,FALSE)*$F139)))))</x:f>
      </x:c>
      <x:c r="P139" s="25" t="str">
        <x:f>IF($A139="","",IF($F139="","",IF($F139=0,0,IF(COUNTIFS($A$10:$A$89,$C139)&lt;&gt;1,"brak danych",IF(COUNTIFS($A$10:$A$89,$C139,$J$10:$J$89,"&lt;&gt;")=0,"brak danych",VLOOKUP($C139,$A$10:$J$89,10,FALSE)*$F139)))))</x:f>
      </x:c>
      <x:c r="Q139" s="18"/>
    </x:row>
    <x:row r="140" ht="25" customHeight="1">
      <x:c r="A140" s="6"/>
      <x:c r="B140" s="30"/>
      <x:c r="C140" s="5"/>
      <x:c r="D140" s="5"/>
      <x:c r="E140" s="32"/>
      <x:c r="F140" s="32"/>
      <x:c r="G140" s="24" t="str">
        <x:f>IF($A140="","",IF(AND($C140="",$E140=""),"",IF($E140="","brak danych",IF($E140=0,0,IF(COUNTIFS($A$10:$A$89,$C140)&lt;&gt;1,"brak danych",IF(COUNTIFS($A$10:$A$89,$C140,$F$10:$F$89,"&lt;&gt;")=0,"brak danych",VLOOKUP($C140,$A$10:$J$89,6,FALSE)*$E140))))))</x:f>
      </x:c>
      <x:c r="H140" s="25" t="str">
        <x:f>IF($A140="","",IF(AND($C140="",$E140=""),"",IF($E140="","brak danych",IF($E140=0,0,IF(COUNTIFS($A$10:$A$89,$C140)&lt;&gt;1,"brak danych",IF(COUNTIFS($A$10:$A$89,$C140,$G$10:$G$89,"&lt;&gt;")=0,"brak danych",VLOOKUP($C140,$A$10:$J$89,7,FALSE)*$E140))))))</x:f>
      </x:c>
      <x:c r="I140" s="25" t="str">
        <x:f>IF($A140="","",IF(AND($C140="",$E140=""),"",IF($E140="","brak danych",IF($E140=0,0,IF(COUNTIFS($A$10:$A$89,$C140)&lt;&gt;1,"brak danych",IF(COUNTIFS($A$10:$A$89,$C140,$H$10:$H$89,"&lt;&gt;")=0,"brak danych",VLOOKUP($C140,$A$10:$J$89,8,FALSE)*$E140))))))</x:f>
      </x:c>
      <x:c r="J140" s="25" t="str">
        <x:f>IF($A140="","",IF(AND($C140="",$E140=""),"",IF($E140="","brak danych",IF($E140=0,0,IF(COUNTIFS($A$10:$A$89,$C140)&lt;&gt;1,"brak danych",IF(COUNTIFS($A$10:$A$89,$C140,$I$10:$I$89,"&lt;&gt;")=0,"brak danych",VLOOKUP($C140,$A$10:$J$89,9,FALSE)*$E140))))))</x:f>
      </x:c>
      <x:c r="K140" s="25" t="str">
        <x:f>IF($A140="","",IF(AND($C140="",$E140=""),"",IF($E140="","brak danych",IF($E140=0,0,IF(COUNTIFS($A$10:$A$89,$C140)&lt;&gt;1,"brak danych",IF(COUNTIFS($A$10:$A$89,$C140,$J$10:$J$89,"&lt;&gt;")=0,"brak danych",VLOOKUP($C140,$A$10:$J$89,10,FALSE)*$E140))))))</x:f>
      </x:c>
      <x:c r="L140" s="24" t="str">
        <x:f>IF($A140="","",IF($F140="","",IF($F140=0,0,IF(COUNTIFS($A$10:$A$89,$C140)&lt;&gt;1,"brak danych",IF(COUNTIFS($A$10:$A$89,$C140,$F$10:$F$89,"&lt;&gt;")=0,"brak danych",VLOOKUP($C140,$A$10:$J$89,6,FALSE)*$F140)))))</x:f>
      </x:c>
      <x:c r="M140" s="25" t="str">
        <x:f>IF($A140="","",IF($F140="","",IF($F140=0,0,IF(COUNTIFS($A$10:$A$89,$C140)&lt;&gt;1,"brak danych",IF(COUNTIFS($A$10:$A$89,$C140,$G$10:$G$89,"&lt;&gt;")=0,"brak danych",VLOOKUP($C140,$A$10:$J$89,7,FALSE)*$F140)))))</x:f>
      </x:c>
      <x:c r="N140" s="25" t="str">
        <x:f>IF($A140="","",IF($F140="","",IF($F140=0,0,IF(COUNTIFS($A$10:$A$89,$C140)&lt;&gt;1,"brak danych",IF(COUNTIFS($A$10:$A$89,$C140,$H$10:$H$89,"&lt;&gt;")=0,"brak danych",VLOOKUP($C140,$A$10:$J$89,8,FALSE)*$F140)))))</x:f>
      </x:c>
      <x:c r="O140" s="25" t="str">
        <x:f>IF($A140="","",IF($F140="","",IF($F140=0,0,IF(COUNTIFS($A$10:$A$89,$C140)&lt;&gt;1,"brak danych",IF(COUNTIFS($A$10:$A$89,$C140,$I$10:$I$89,"&lt;&gt;")=0,"brak danych",VLOOKUP($C140,$A$10:$J$89,9,FALSE)*$F140)))))</x:f>
      </x:c>
      <x:c r="P140" s="25" t="str">
        <x:f>IF($A140="","",IF($F140="","",IF($F140=0,0,IF(COUNTIFS($A$10:$A$89,$C140)&lt;&gt;1,"brak danych",IF(COUNTIFS($A$10:$A$89,$C140,$J$10:$J$89,"&lt;&gt;")=0,"brak danych",VLOOKUP($C140,$A$10:$J$89,10,FALSE)*$F140)))))</x:f>
      </x:c>
      <x:c r="Q140" s="18"/>
    </x:row>
    <x:row r="141" ht="25" customHeight="1">
      <x:c r="A141" s="6"/>
      <x:c r="B141" s="30"/>
      <x:c r="C141" s="5"/>
      <x:c r="D141" s="5"/>
      <x:c r="E141" s="32"/>
      <x:c r="F141" s="32"/>
      <x:c r="G141" s="24" t="str">
        <x:f>IF($A141="","",IF(AND($C141="",$E141=""),"",IF($E141="","brak danych",IF($E141=0,0,IF(COUNTIFS($A$10:$A$89,$C141)&lt;&gt;1,"brak danych",IF(COUNTIFS($A$10:$A$89,$C141,$F$10:$F$89,"&lt;&gt;")=0,"brak danych",VLOOKUP($C141,$A$10:$J$89,6,FALSE)*$E141))))))</x:f>
      </x:c>
      <x:c r="H141" s="25" t="str">
        <x:f>IF($A141="","",IF(AND($C141="",$E141=""),"",IF($E141="","brak danych",IF($E141=0,0,IF(COUNTIFS($A$10:$A$89,$C141)&lt;&gt;1,"brak danych",IF(COUNTIFS($A$10:$A$89,$C141,$G$10:$G$89,"&lt;&gt;")=0,"brak danych",VLOOKUP($C141,$A$10:$J$89,7,FALSE)*$E141))))))</x:f>
      </x:c>
      <x:c r="I141" s="25" t="str">
        <x:f>IF($A141="","",IF(AND($C141="",$E141=""),"",IF($E141="","brak danych",IF($E141=0,0,IF(COUNTIFS($A$10:$A$89,$C141)&lt;&gt;1,"brak danych",IF(COUNTIFS($A$10:$A$89,$C141,$H$10:$H$89,"&lt;&gt;")=0,"brak danych",VLOOKUP($C141,$A$10:$J$89,8,FALSE)*$E141))))))</x:f>
      </x:c>
      <x:c r="J141" s="25" t="str">
        <x:f>IF($A141="","",IF(AND($C141="",$E141=""),"",IF($E141="","brak danych",IF($E141=0,0,IF(COUNTIFS($A$10:$A$89,$C141)&lt;&gt;1,"brak danych",IF(COUNTIFS($A$10:$A$89,$C141,$I$10:$I$89,"&lt;&gt;")=0,"brak danych",VLOOKUP($C141,$A$10:$J$89,9,FALSE)*$E141))))))</x:f>
      </x:c>
      <x:c r="K141" s="25" t="str">
        <x:f>IF($A141="","",IF(AND($C141="",$E141=""),"",IF($E141="","brak danych",IF($E141=0,0,IF(COUNTIFS($A$10:$A$89,$C141)&lt;&gt;1,"brak danych",IF(COUNTIFS($A$10:$A$89,$C141,$J$10:$J$89,"&lt;&gt;")=0,"brak danych",VLOOKUP($C141,$A$10:$J$89,10,FALSE)*$E141))))))</x:f>
      </x:c>
      <x:c r="L141" s="24" t="str">
        <x:f>IF($A141="","",IF($F141="","",IF($F141=0,0,IF(COUNTIFS($A$10:$A$89,$C141)&lt;&gt;1,"brak danych",IF(COUNTIFS($A$10:$A$89,$C141,$F$10:$F$89,"&lt;&gt;")=0,"brak danych",VLOOKUP($C141,$A$10:$J$89,6,FALSE)*$F141)))))</x:f>
      </x:c>
      <x:c r="M141" s="25" t="str">
        <x:f>IF($A141="","",IF($F141="","",IF($F141=0,0,IF(COUNTIFS($A$10:$A$89,$C141)&lt;&gt;1,"brak danych",IF(COUNTIFS($A$10:$A$89,$C141,$G$10:$G$89,"&lt;&gt;")=0,"brak danych",VLOOKUP($C141,$A$10:$J$89,7,FALSE)*$F141)))))</x:f>
      </x:c>
      <x:c r="N141" s="25" t="str">
        <x:f>IF($A141="","",IF($F141="","",IF($F141=0,0,IF(COUNTIFS($A$10:$A$89,$C141)&lt;&gt;1,"brak danych",IF(COUNTIFS($A$10:$A$89,$C141,$H$10:$H$89,"&lt;&gt;")=0,"brak danych",VLOOKUP($C141,$A$10:$J$89,8,FALSE)*$F141)))))</x:f>
      </x:c>
      <x:c r="O141" s="25" t="str">
        <x:f>IF($A141="","",IF($F141="","",IF($F141=0,0,IF(COUNTIFS($A$10:$A$89,$C141)&lt;&gt;1,"brak danych",IF(COUNTIFS($A$10:$A$89,$C141,$I$10:$I$89,"&lt;&gt;")=0,"brak danych",VLOOKUP($C141,$A$10:$J$89,9,FALSE)*$F141)))))</x:f>
      </x:c>
      <x:c r="P141" s="25" t="str">
        <x:f>IF($A141="","",IF($F141="","",IF($F141=0,0,IF(COUNTIFS($A$10:$A$89,$C141)&lt;&gt;1,"brak danych",IF(COUNTIFS($A$10:$A$89,$C141,$J$10:$J$89,"&lt;&gt;")=0,"brak danych",VLOOKUP($C141,$A$10:$J$89,10,FALSE)*$F141)))))</x:f>
      </x:c>
      <x:c r="Q141" s="18"/>
    </x:row>
    <x:row r="142" ht="25" customHeight="1">
      <x:c r="A142" s="6"/>
      <x:c r="B142" s="30"/>
      <x:c r="C142" s="5"/>
      <x:c r="D142" s="5"/>
      <x:c r="E142" s="32"/>
      <x:c r="F142" s="32"/>
      <x:c r="G142" s="24" t="str">
        <x:f>IF($A142="","",IF(AND($C142="",$E142=""),"",IF($E142="","brak danych",IF($E142=0,0,IF(COUNTIFS($A$10:$A$89,$C142)&lt;&gt;1,"brak danych",IF(COUNTIFS($A$10:$A$89,$C142,$F$10:$F$89,"&lt;&gt;")=0,"brak danych",VLOOKUP($C142,$A$10:$J$89,6,FALSE)*$E142))))))</x:f>
      </x:c>
      <x:c r="H142" s="25" t="str">
        <x:f>IF($A142="","",IF(AND($C142="",$E142=""),"",IF($E142="","brak danych",IF($E142=0,0,IF(COUNTIFS($A$10:$A$89,$C142)&lt;&gt;1,"brak danych",IF(COUNTIFS($A$10:$A$89,$C142,$G$10:$G$89,"&lt;&gt;")=0,"brak danych",VLOOKUP($C142,$A$10:$J$89,7,FALSE)*$E142))))))</x:f>
      </x:c>
      <x:c r="I142" s="25" t="str">
        <x:f>IF($A142="","",IF(AND($C142="",$E142=""),"",IF($E142="","brak danych",IF($E142=0,0,IF(COUNTIFS($A$10:$A$89,$C142)&lt;&gt;1,"brak danych",IF(COUNTIFS($A$10:$A$89,$C142,$H$10:$H$89,"&lt;&gt;")=0,"brak danych",VLOOKUP($C142,$A$10:$J$89,8,FALSE)*$E142))))))</x:f>
      </x:c>
      <x:c r="J142" s="25" t="str">
        <x:f>IF($A142="","",IF(AND($C142="",$E142=""),"",IF($E142="","brak danych",IF($E142=0,0,IF(COUNTIFS($A$10:$A$89,$C142)&lt;&gt;1,"brak danych",IF(COUNTIFS($A$10:$A$89,$C142,$I$10:$I$89,"&lt;&gt;")=0,"brak danych",VLOOKUP($C142,$A$10:$J$89,9,FALSE)*$E142))))))</x:f>
      </x:c>
      <x:c r="K142" s="25" t="str">
        <x:f>IF($A142="","",IF(AND($C142="",$E142=""),"",IF($E142="","brak danych",IF($E142=0,0,IF(COUNTIFS($A$10:$A$89,$C142)&lt;&gt;1,"brak danych",IF(COUNTIFS($A$10:$A$89,$C142,$J$10:$J$89,"&lt;&gt;")=0,"brak danych",VLOOKUP($C142,$A$10:$J$89,10,FALSE)*$E142))))))</x:f>
      </x:c>
      <x:c r="L142" s="24" t="str">
        <x:f>IF($A142="","",IF($F142="","",IF($F142=0,0,IF(COUNTIFS($A$10:$A$89,$C142)&lt;&gt;1,"brak danych",IF(COUNTIFS($A$10:$A$89,$C142,$F$10:$F$89,"&lt;&gt;")=0,"brak danych",VLOOKUP($C142,$A$10:$J$89,6,FALSE)*$F142)))))</x:f>
      </x:c>
      <x:c r="M142" s="25" t="str">
        <x:f>IF($A142="","",IF($F142="","",IF($F142=0,0,IF(COUNTIFS($A$10:$A$89,$C142)&lt;&gt;1,"brak danych",IF(COUNTIFS($A$10:$A$89,$C142,$G$10:$G$89,"&lt;&gt;")=0,"brak danych",VLOOKUP($C142,$A$10:$J$89,7,FALSE)*$F142)))))</x:f>
      </x:c>
      <x:c r="N142" s="25" t="str">
        <x:f>IF($A142="","",IF($F142="","",IF($F142=0,0,IF(COUNTIFS($A$10:$A$89,$C142)&lt;&gt;1,"brak danych",IF(COUNTIFS($A$10:$A$89,$C142,$H$10:$H$89,"&lt;&gt;")=0,"brak danych",VLOOKUP($C142,$A$10:$J$89,8,FALSE)*$F142)))))</x:f>
      </x:c>
      <x:c r="O142" s="25" t="str">
        <x:f>IF($A142="","",IF($F142="","",IF($F142=0,0,IF(COUNTIFS($A$10:$A$89,$C142)&lt;&gt;1,"brak danych",IF(COUNTIFS($A$10:$A$89,$C142,$I$10:$I$89,"&lt;&gt;")=0,"brak danych",VLOOKUP($C142,$A$10:$J$89,9,FALSE)*$F142)))))</x:f>
      </x:c>
      <x:c r="P142" s="25" t="str">
        <x:f>IF($A142="","",IF($F142="","",IF($F142=0,0,IF(COUNTIFS($A$10:$A$89,$C142)&lt;&gt;1,"brak danych",IF(COUNTIFS($A$10:$A$89,$C142,$J$10:$J$89,"&lt;&gt;")=0,"brak danych",VLOOKUP($C142,$A$10:$J$89,10,FALSE)*$F142)))))</x:f>
      </x:c>
      <x:c r="Q142" s="18"/>
    </x:row>
    <x:row r="143" ht="25" customHeight="1">
      <x:c r="A143" s="6"/>
      <x:c r="B143" s="30"/>
      <x:c r="C143" s="5"/>
      <x:c r="D143" s="5"/>
      <x:c r="E143" s="32"/>
      <x:c r="F143" s="32"/>
      <x:c r="G143" s="24" t="str">
        <x:f>IF($A143="","",IF(AND($C143="",$E143=""),"",IF($E143="","brak danych",IF($E143=0,0,IF(COUNTIFS($A$10:$A$89,$C143)&lt;&gt;1,"brak danych",IF(COUNTIFS($A$10:$A$89,$C143,$F$10:$F$89,"&lt;&gt;")=0,"brak danych",VLOOKUP($C143,$A$10:$J$89,6,FALSE)*$E143))))))</x:f>
      </x:c>
      <x:c r="H143" s="25" t="str">
        <x:f>IF($A143="","",IF(AND($C143="",$E143=""),"",IF($E143="","brak danych",IF($E143=0,0,IF(COUNTIFS($A$10:$A$89,$C143)&lt;&gt;1,"brak danych",IF(COUNTIFS($A$10:$A$89,$C143,$G$10:$G$89,"&lt;&gt;")=0,"brak danych",VLOOKUP($C143,$A$10:$J$89,7,FALSE)*$E143))))))</x:f>
      </x:c>
      <x:c r="I143" s="25" t="str">
        <x:f>IF($A143="","",IF(AND($C143="",$E143=""),"",IF($E143="","brak danych",IF($E143=0,0,IF(COUNTIFS($A$10:$A$89,$C143)&lt;&gt;1,"brak danych",IF(COUNTIFS($A$10:$A$89,$C143,$H$10:$H$89,"&lt;&gt;")=0,"brak danych",VLOOKUP($C143,$A$10:$J$89,8,FALSE)*$E143))))))</x:f>
      </x:c>
      <x:c r="J143" s="25" t="str">
        <x:f>IF($A143="","",IF(AND($C143="",$E143=""),"",IF($E143="","brak danych",IF($E143=0,0,IF(COUNTIFS($A$10:$A$89,$C143)&lt;&gt;1,"brak danych",IF(COUNTIFS($A$10:$A$89,$C143,$I$10:$I$89,"&lt;&gt;")=0,"brak danych",VLOOKUP($C143,$A$10:$J$89,9,FALSE)*$E143))))))</x:f>
      </x:c>
      <x:c r="K143" s="25" t="str">
        <x:f>IF($A143="","",IF(AND($C143="",$E143=""),"",IF($E143="","brak danych",IF($E143=0,0,IF(COUNTIFS($A$10:$A$89,$C143)&lt;&gt;1,"brak danych",IF(COUNTIFS($A$10:$A$89,$C143,$J$10:$J$89,"&lt;&gt;")=0,"brak danych",VLOOKUP($C143,$A$10:$J$89,10,FALSE)*$E143))))))</x:f>
      </x:c>
      <x:c r="L143" s="24" t="str">
        <x:f>IF($A143="","",IF($F143="","",IF($F143=0,0,IF(COUNTIFS($A$10:$A$89,$C143)&lt;&gt;1,"brak danych",IF(COUNTIFS($A$10:$A$89,$C143,$F$10:$F$89,"&lt;&gt;")=0,"brak danych",VLOOKUP($C143,$A$10:$J$89,6,FALSE)*$F143)))))</x:f>
      </x:c>
      <x:c r="M143" s="25" t="str">
        <x:f>IF($A143="","",IF($F143="","",IF($F143=0,0,IF(COUNTIFS($A$10:$A$89,$C143)&lt;&gt;1,"brak danych",IF(COUNTIFS($A$10:$A$89,$C143,$G$10:$G$89,"&lt;&gt;")=0,"brak danych",VLOOKUP($C143,$A$10:$J$89,7,FALSE)*$F143)))))</x:f>
      </x:c>
      <x:c r="N143" s="25" t="str">
        <x:f>IF($A143="","",IF($F143="","",IF($F143=0,0,IF(COUNTIFS($A$10:$A$89,$C143)&lt;&gt;1,"brak danych",IF(COUNTIFS($A$10:$A$89,$C143,$H$10:$H$89,"&lt;&gt;")=0,"brak danych",VLOOKUP($C143,$A$10:$J$89,8,FALSE)*$F143)))))</x:f>
      </x:c>
      <x:c r="O143" s="25" t="str">
        <x:f>IF($A143="","",IF($F143="","",IF($F143=0,0,IF(COUNTIFS($A$10:$A$89,$C143)&lt;&gt;1,"brak danych",IF(COUNTIFS($A$10:$A$89,$C143,$I$10:$I$89,"&lt;&gt;")=0,"brak danych",VLOOKUP($C143,$A$10:$J$89,9,FALSE)*$F143)))))</x:f>
      </x:c>
      <x:c r="P143" s="25" t="str">
        <x:f>IF($A143="","",IF($F143="","",IF($F143=0,0,IF(COUNTIFS($A$10:$A$89,$C143)&lt;&gt;1,"brak danych",IF(COUNTIFS($A$10:$A$89,$C143,$J$10:$J$89,"&lt;&gt;")=0,"brak danych",VLOOKUP($C143,$A$10:$J$89,10,FALSE)*$F143)))))</x:f>
      </x:c>
      <x:c r="Q143" s="18"/>
    </x:row>
    <x:row r="144" ht="25" customHeight="1">
      <x:c r="A144" s="6"/>
      <x:c r="B144" s="30"/>
      <x:c r="C144" s="5"/>
      <x:c r="D144" s="5"/>
      <x:c r="E144" s="32"/>
      <x:c r="F144" s="32"/>
      <x:c r="G144" s="24" t="str">
        <x:f>IF($A144="","",IF(AND($C144="",$E144=""),"",IF($E144="","brak danych",IF($E144=0,0,IF(COUNTIFS($A$10:$A$89,$C144)&lt;&gt;1,"brak danych",IF(COUNTIFS($A$10:$A$89,$C144,$F$10:$F$89,"&lt;&gt;")=0,"brak danych",VLOOKUP($C144,$A$10:$J$89,6,FALSE)*$E144))))))</x:f>
      </x:c>
      <x:c r="H144" s="25" t="str">
        <x:f>IF($A144="","",IF(AND($C144="",$E144=""),"",IF($E144="","brak danych",IF($E144=0,0,IF(COUNTIFS($A$10:$A$89,$C144)&lt;&gt;1,"brak danych",IF(COUNTIFS($A$10:$A$89,$C144,$G$10:$G$89,"&lt;&gt;")=0,"brak danych",VLOOKUP($C144,$A$10:$J$89,7,FALSE)*$E144))))))</x:f>
      </x:c>
      <x:c r="I144" s="25" t="str">
        <x:f>IF($A144="","",IF(AND($C144="",$E144=""),"",IF($E144="","brak danych",IF($E144=0,0,IF(COUNTIFS($A$10:$A$89,$C144)&lt;&gt;1,"brak danych",IF(COUNTIFS($A$10:$A$89,$C144,$H$10:$H$89,"&lt;&gt;")=0,"brak danych",VLOOKUP($C144,$A$10:$J$89,8,FALSE)*$E144))))))</x:f>
      </x:c>
      <x:c r="J144" s="25" t="str">
        <x:f>IF($A144="","",IF(AND($C144="",$E144=""),"",IF($E144="","brak danych",IF($E144=0,0,IF(COUNTIFS($A$10:$A$89,$C144)&lt;&gt;1,"brak danych",IF(COUNTIFS($A$10:$A$89,$C144,$I$10:$I$89,"&lt;&gt;")=0,"brak danych",VLOOKUP($C144,$A$10:$J$89,9,FALSE)*$E144))))))</x:f>
      </x:c>
      <x:c r="K144" s="25" t="str">
        <x:f>IF($A144="","",IF(AND($C144="",$E144=""),"",IF($E144="","brak danych",IF($E144=0,0,IF(COUNTIFS($A$10:$A$89,$C144)&lt;&gt;1,"brak danych",IF(COUNTIFS($A$10:$A$89,$C144,$J$10:$J$89,"&lt;&gt;")=0,"brak danych",VLOOKUP($C144,$A$10:$J$89,10,FALSE)*$E144))))))</x:f>
      </x:c>
      <x:c r="L144" s="24" t="str">
        <x:f>IF($A144="","",IF($F144="","",IF($F144=0,0,IF(COUNTIFS($A$10:$A$89,$C144)&lt;&gt;1,"brak danych",IF(COUNTIFS($A$10:$A$89,$C144,$F$10:$F$89,"&lt;&gt;")=0,"brak danych",VLOOKUP($C144,$A$10:$J$89,6,FALSE)*$F144)))))</x:f>
      </x:c>
      <x:c r="M144" s="25" t="str">
        <x:f>IF($A144="","",IF($F144="","",IF($F144=0,0,IF(COUNTIFS($A$10:$A$89,$C144)&lt;&gt;1,"brak danych",IF(COUNTIFS($A$10:$A$89,$C144,$G$10:$G$89,"&lt;&gt;")=0,"brak danych",VLOOKUP($C144,$A$10:$J$89,7,FALSE)*$F144)))))</x:f>
      </x:c>
      <x:c r="N144" s="25" t="str">
        <x:f>IF($A144="","",IF($F144="","",IF($F144=0,0,IF(COUNTIFS($A$10:$A$89,$C144)&lt;&gt;1,"brak danych",IF(COUNTIFS($A$10:$A$89,$C144,$H$10:$H$89,"&lt;&gt;")=0,"brak danych",VLOOKUP($C144,$A$10:$J$89,8,FALSE)*$F144)))))</x:f>
      </x:c>
      <x:c r="O144" s="25" t="str">
        <x:f>IF($A144="","",IF($F144="","",IF($F144=0,0,IF(COUNTIFS($A$10:$A$89,$C144)&lt;&gt;1,"brak danych",IF(COUNTIFS($A$10:$A$89,$C144,$I$10:$I$89,"&lt;&gt;")=0,"brak danych",VLOOKUP($C144,$A$10:$J$89,9,FALSE)*$F144)))))</x:f>
      </x:c>
      <x:c r="P144" s="25" t="str">
        <x:f>IF($A144="","",IF($F144="","",IF($F144=0,0,IF(COUNTIFS($A$10:$A$89,$C144)&lt;&gt;1,"brak danych",IF(COUNTIFS($A$10:$A$89,$C144,$J$10:$J$89,"&lt;&gt;")=0,"brak danych",VLOOKUP($C144,$A$10:$J$89,10,FALSE)*$F144)))))</x:f>
      </x:c>
      <x:c r="Q144" s="18"/>
    </x:row>
    <x:row r="145" ht="25" customHeight="1">
      <x:c r="A145" s="6"/>
      <x:c r="B145" s="30"/>
      <x:c r="C145" s="5"/>
      <x:c r="D145" s="5"/>
      <x:c r="E145" s="32"/>
      <x:c r="F145" s="32"/>
      <x:c r="G145" s="24" t="str">
        <x:f>IF($A145="","",IF(AND($C145="",$E145=""),"",IF($E145="","brak danych",IF($E145=0,0,IF(COUNTIFS($A$10:$A$89,$C145)&lt;&gt;1,"brak danych",IF(COUNTIFS($A$10:$A$89,$C145,$F$10:$F$89,"&lt;&gt;")=0,"brak danych",VLOOKUP($C145,$A$10:$J$89,6,FALSE)*$E145))))))</x:f>
      </x:c>
      <x:c r="H145" s="25" t="str">
        <x:f>IF($A145="","",IF(AND($C145="",$E145=""),"",IF($E145="","brak danych",IF($E145=0,0,IF(COUNTIFS($A$10:$A$89,$C145)&lt;&gt;1,"brak danych",IF(COUNTIFS($A$10:$A$89,$C145,$G$10:$G$89,"&lt;&gt;")=0,"brak danych",VLOOKUP($C145,$A$10:$J$89,7,FALSE)*$E145))))))</x:f>
      </x:c>
      <x:c r="I145" s="25" t="str">
        <x:f>IF($A145="","",IF(AND($C145="",$E145=""),"",IF($E145="","brak danych",IF($E145=0,0,IF(COUNTIFS($A$10:$A$89,$C145)&lt;&gt;1,"brak danych",IF(COUNTIFS($A$10:$A$89,$C145,$H$10:$H$89,"&lt;&gt;")=0,"brak danych",VLOOKUP($C145,$A$10:$J$89,8,FALSE)*$E145))))))</x:f>
      </x:c>
      <x:c r="J145" s="25" t="str">
        <x:f>IF($A145="","",IF(AND($C145="",$E145=""),"",IF($E145="","brak danych",IF($E145=0,0,IF(COUNTIFS($A$10:$A$89,$C145)&lt;&gt;1,"brak danych",IF(COUNTIFS($A$10:$A$89,$C145,$I$10:$I$89,"&lt;&gt;")=0,"brak danych",VLOOKUP($C145,$A$10:$J$89,9,FALSE)*$E145))))))</x:f>
      </x:c>
      <x:c r="K145" s="25" t="str">
        <x:f>IF($A145="","",IF(AND($C145="",$E145=""),"",IF($E145="","brak danych",IF($E145=0,0,IF(COUNTIFS($A$10:$A$89,$C145)&lt;&gt;1,"brak danych",IF(COUNTIFS($A$10:$A$89,$C145,$J$10:$J$89,"&lt;&gt;")=0,"brak danych",VLOOKUP($C145,$A$10:$J$89,10,FALSE)*$E145))))))</x:f>
      </x:c>
      <x:c r="L145" s="24" t="str">
        <x:f>IF($A145="","",IF($F145="","",IF($F145=0,0,IF(COUNTIFS($A$10:$A$89,$C145)&lt;&gt;1,"brak danych",IF(COUNTIFS($A$10:$A$89,$C145,$F$10:$F$89,"&lt;&gt;")=0,"brak danych",VLOOKUP($C145,$A$10:$J$89,6,FALSE)*$F145)))))</x:f>
      </x:c>
      <x:c r="M145" s="25" t="str">
        <x:f>IF($A145="","",IF($F145="","",IF($F145=0,0,IF(COUNTIFS($A$10:$A$89,$C145)&lt;&gt;1,"brak danych",IF(COUNTIFS($A$10:$A$89,$C145,$G$10:$G$89,"&lt;&gt;")=0,"brak danych",VLOOKUP($C145,$A$10:$J$89,7,FALSE)*$F145)))))</x:f>
      </x:c>
      <x:c r="N145" s="25" t="str">
        <x:f>IF($A145="","",IF($F145="","",IF($F145=0,0,IF(COUNTIFS($A$10:$A$89,$C145)&lt;&gt;1,"brak danych",IF(COUNTIFS($A$10:$A$89,$C145,$H$10:$H$89,"&lt;&gt;")=0,"brak danych",VLOOKUP($C145,$A$10:$J$89,8,FALSE)*$F145)))))</x:f>
      </x:c>
      <x:c r="O145" s="25" t="str">
        <x:f>IF($A145="","",IF($F145="","",IF($F145=0,0,IF(COUNTIFS($A$10:$A$89,$C145)&lt;&gt;1,"brak danych",IF(COUNTIFS($A$10:$A$89,$C145,$I$10:$I$89,"&lt;&gt;")=0,"brak danych",VLOOKUP($C145,$A$10:$J$89,9,FALSE)*$F145)))))</x:f>
      </x:c>
      <x:c r="P145" s="25" t="str">
        <x:f>IF($A145="","",IF($F145="","",IF($F145=0,0,IF(COUNTIFS($A$10:$A$89,$C145)&lt;&gt;1,"brak danych",IF(COUNTIFS($A$10:$A$89,$C145,$J$10:$J$89,"&lt;&gt;")=0,"brak danych",VLOOKUP($C145,$A$10:$J$89,10,FALSE)*$F145)))))</x:f>
      </x:c>
      <x:c r="Q145" s="18"/>
    </x:row>
    <x:row r="146" ht="25" customHeight="1">
      <x:c r="A146" s="6"/>
      <x:c r="B146" s="30"/>
      <x:c r="C146" s="5"/>
      <x:c r="D146" s="5"/>
      <x:c r="E146" s="32"/>
      <x:c r="F146" s="32"/>
      <x:c r="G146" s="24" t="str">
        <x:f>IF($A146="","",IF(AND($C146="",$E146=""),"",IF($E146="","brak danych",IF($E146=0,0,IF(COUNTIFS($A$10:$A$89,$C146)&lt;&gt;1,"brak danych",IF(COUNTIFS($A$10:$A$89,$C146,$F$10:$F$89,"&lt;&gt;")=0,"brak danych",VLOOKUP($C146,$A$10:$J$89,6,FALSE)*$E146))))))</x:f>
      </x:c>
      <x:c r="H146" s="25" t="str">
        <x:f>IF($A146="","",IF(AND($C146="",$E146=""),"",IF($E146="","brak danych",IF($E146=0,0,IF(COUNTIFS($A$10:$A$89,$C146)&lt;&gt;1,"brak danych",IF(COUNTIFS($A$10:$A$89,$C146,$G$10:$G$89,"&lt;&gt;")=0,"brak danych",VLOOKUP($C146,$A$10:$J$89,7,FALSE)*$E146))))))</x:f>
      </x:c>
      <x:c r="I146" s="25" t="str">
        <x:f>IF($A146="","",IF(AND($C146="",$E146=""),"",IF($E146="","brak danych",IF($E146=0,0,IF(COUNTIFS($A$10:$A$89,$C146)&lt;&gt;1,"brak danych",IF(COUNTIFS($A$10:$A$89,$C146,$H$10:$H$89,"&lt;&gt;")=0,"brak danych",VLOOKUP($C146,$A$10:$J$89,8,FALSE)*$E146))))))</x:f>
      </x:c>
      <x:c r="J146" s="25" t="str">
        <x:f>IF($A146="","",IF(AND($C146="",$E146=""),"",IF($E146="","brak danych",IF($E146=0,0,IF(COUNTIFS($A$10:$A$89,$C146)&lt;&gt;1,"brak danych",IF(COUNTIFS($A$10:$A$89,$C146,$I$10:$I$89,"&lt;&gt;")=0,"brak danych",VLOOKUP($C146,$A$10:$J$89,9,FALSE)*$E146))))))</x:f>
      </x:c>
      <x:c r="K146" s="25" t="str">
        <x:f>IF($A146="","",IF(AND($C146="",$E146=""),"",IF($E146="","brak danych",IF($E146=0,0,IF(COUNTIFS($A$10:$A$89,$C146)&lt;&gt;1,"brak danych",IF(COUNTIFS($A$10:$A$89,$C146,$J$10:$J$89,"&lt;&gt;")=0,"brak danych",VLOOKUP($C146,$A$10:$J$89,10,FALSE)*$E146))))))</x:f>
      </x:c>
      <x:c r="L146" s="24" t="str">
        <x:f>IF($A146="","",IF($F146="","",IF($F146=0,0,IF(COUNTIFS($A$10:$A$89,$C146)&lt;&gt;1,"brak danych",IF(COUNTIFS($A$10:$A$89,$C146,$F$10:$F$89,"&lt;&gt;")=0,"brak danych",VLOOKUP($C146,$A$10:$J$89,6,FALSE)*$F146)))))</x:f>
      </x:c>
      <x:c r="M146" s="25" t="str">
        <x:f>IF($A146="","",IF($F146="","",IF($F146=0,0,IF(COUNTIFS($A$10:$A$89,$C146)&lt;&gt;1,"brak danych",IF(COUNTIFS($A$10:$A$89,$C146,$G$10:$G$89,"&lt;&gt;")=0,"brak danych",VLOOKUP($C146,$A$10:$J$89,7,FALSE)*$F146)))))</x:f>
      </x:c>
      <x:c r="N146" s="25" t="str">
        <x:f>IF($A146="","",IF($F146="","",IF($F146=0,0,IF(COUNTIFS($A$10:$A$89,$C146)&lt;&gt;1,"brak danych",IF(COUNTIFS($A$10:$A$89,$C146,$H$10:$H$89,"&lt;&gt;")=0,"brak danych",VLOOKUP($C146,$A$10:$J$89,8,FALSE)*$F146)))))</x:f>
      </x:c>
      <x:c r="O146" s="25" t="str">
        <x:f>IF($A146="","",IF($F146="","",IF($F146=0,0,IF(COUNTIFS($A$10:$A$89,$C146)&lt;&gt;1,"brak danych",IF(COUNTIFS($A$10:$A$89,$C146,$I$10:$I$89,"&lt;&gt;")=0,"brak danych",VLOOKUP($C146,$A$10:$J$89,9,FALSE)*$F146)))))</x:f>
      </x:c>
      <x:c r="P146" s="25" t="str">
        <x:f>IF($A146="","",IF($F146="","",IF($F146=0,0,IF(COUNTIFS($A$10:$A$89,$C146)&lt;&gt;1,"brak danych",IF(COUNTIFS($A$10:$A$89,$C146,$J$10:$J$89,"&lt;&gt;")=0,"brak danych",VLOOKUP($C146,$A$10:$J$89,10,FALSE)*$F146)))))</x:f>
      </x:c>
      <x:c r="Q146" s="18"/>
    </x:row>
    <x:row r="147" ht="25" customHeight="1">
      <x:c r="A147" s="6"/>
      <x:c r="B147" s="30"/>
      <x:c r="C147" s="5"/>
      <x:c r="D147" s="5"/>
      <x:c r="E147" s="32"/>
      <x:c r="F147" s="32"/>
      <x:c r="G147" s="24" t="str">
        <x:f>IF($A147="","",IF(AND($C147="",$E147=""),"",IF($E147="","brak danych",IF($E147=0,0,IF(COUNTIFS($A$10:$A$89,$C147)&lt;&gt;1,"brak danych",IF(COUNTIFS($A$10:$A$89,$C147,$F$10:$F$89,"&lt;&gt;")=0,"brak danych",VLOOKUP($C147,$A$10:$J$89,6,FALSE)*$E147))))))</x:f>
      </x:c>
      <x:c r="H147" s="25" t="str">
        <x:f>IF($A147="","",IF(AND($C147="",$E147=""),"",IF($E147="","brak danych",IF($E147=0,0,IF(COUNTIFS($A$10:$A$89,$C147)&lt;&gt;1,"brak danych",IF(COUNTIFS($A$10:$A$89,$C147,$G$10:$G$89,"&lt;&gt;")=0,"brak danych",VLOOKUP($C147,$A$10:$J$89,7,FALSE)*$E147))))))</x:f>
      </x:c>
      <x:c r="I147" s="25" t="str">
        <x:f>IF($A147="","",IF(AND($C147="",$E147=""),"",IF($E147="","brak danych",IF($E147=0,0,IF(COUNTIFS($A$10:$A$89,$C147)&lt;&gt;1,"brak danych",IF(COUNTIFS($A$10:$A$89,$C147,$H$10:$H$89,"&lt;&gt;")=0,"brak danych",VLOOKUP($C147,$A$10:$J$89,8,FALSE)*$E147))))))</x:f>
      </x:c>
      <x:c r="J147" s="25" t="str">
        <x:f>IF($A147="","",IF(AND($C147="",$E147=""),"",IF($E147="","brak danych",IF($E147=0,0,IF(COUNTIFS($A$10:$A$89,$C147)&lt;&gt;1,"brak danych",IF(COUNTIFS($A$10:$A$89,$C147,$I$10:$I$89,"&lt;&gt;")=0,"brak danych",VLOOKUP($C147,$A$10:$J$89,9,FALSE)*$E147))))))</x:f>
      </x:c>
      <x:c r="K147" s="25" t="str">
        <x:f>IF($A147="","",IF(AND($C147="",$E147=""),"",IF($E147="","brak danych",IF($E147=0,0,IF(COUNTIFS($A$10:$A$89,$C147)&lt;&gt;1,"brak danych",IF(COUNTIFS($A$10:$A$89,$C147,$J$10:$J$89,"&lt;&gt;")=0,"brak danych",VLOOKUP($C147,$A$10:$J$89,10,FALSE)*$E147))))))</x:f>
      </x:c>
      <x:c r="L147" s="24" t="str">
        <x:f>IF($A147="","",IF($F147="","",IF($F147=0,0,IF(COUNTIFS($A$10:$A$89,$C147)&lt;&gt;1,"brak danych",IF(COUNTIFS($A$10:$A$89,$C147,$F$10:$F$89,"&lt;&gt;")=0,"brak danych",VLOOKUP($C147,$A$10:$J$89,6,FALSE)*$F147)))))</x:f>
      </x:c>
      <x:c r="M147" s="25" t="str">
        <x:f>IF($A147="","",IF($F147="","",IF($F147=0,0,IF(COUNTIFS($A$10:$A$89,$C147)&lt;&gt;1,"brak danych",IF(COUNTIFS($A$10:$A$89,$C147,$G$10:$G$89,"&lt;&gt;")=0,"brak danych",VLOOKUP($C147,$A$10:$J$89,7,FALSE)*$F147)))))</x:f>
      </x:c>
      <x:c r="N147" s="25" t="str">
        <x:f>IF($A147="","",IF($F147="","",IF($F147=0,0,IF(COUNTIFS($A$10:$A$89,$C147)&lt;&gt;1,"brak danych",IF(COUNTIFS($A$10:$A$89,$C147,$H$10:$H$89,"&lt;&gt;")=0,"brak danych",VLOOKUP($C147,$A$10:$J$89,8,FALSE)*$F147)))))</x:f>
      </x:c>
      <x:c r="O147" s="25" t="str">
        <x:f>IF($A147="","",IF($F147="","",IF($F147=0,0,IF(COUNTIFS($A$10:$A$89,$C147)&lt;&gt;1,"brak danych",IF(COUNTIFS($A$10:$A$89,$C147,$I$10:$I$89,"&lt;&gt;")=0,"brak danych",VLOOKUP($C147,$A$10:$J$89,9,FALSE)*$F147)))))</x:f>
      </x:c>
      <x:c r="P147" s="25" t="str">
        <x:f>IF($A147="","",IF($F147="","",IF($F147=0,0,IF(COUNTIFS($A$10:$A$89,$C147)&lt;&gt;1,"brak danych",IF(COUNTIFS($A$10:$A$89,$C147,$J$10:$J$89,"&lt;&gt;")=0,"brak danych",VLOOKUP($C147,$A$10:$J$89,10,FALSE)*$F147)))))</x:f>
      </x:c>
      <x:c r="Q147" s="18"/>
    </x:row>
    <x:row r="148" ht="25" customHeight="1">
      <x:c r="A148" s="6"/>
      <x:c r="B148" s="30"/>
      <x:c r="C148" s="5"/>
      <x:c r="D148" s="5"/>
      <x:c r="E148" s="32"/>
      <x:c r="F148" s="32"/>
      <x:c r="G148" s="24" t="str">
        <x:f>IF($A148="","",IF(AND($C148="",$E148=""),"",IF($E148="","brak danych",IF($E148=0,0,IF(COUNTIFS($A$10:$A$89,$C148)&lt;&gt;1,"brak danych",IF(COUNTIFS($A$10:$A$89,$C148,$F$10:$F$89,"&lt;&gt;")=0,"brak danych",VLOOKUP($C148,$A$10:$J$89,6,FALSE)*$E148))))))</x:f>
      </x:c>
      <x:c r="H148" s="25" t="str">
        <x:f>IF($A148="","",IF(AND($C148="",$E148=""),"",IF($E148="","brak danych",IF($E148=0,0,IF(COUNTIFS($A$10:$A$89,$C148)&lt;&gt;1,"brak danych",IF(COUNTIFS($A$10:$A$89,$C148,$G$10:$G$89,"&lt;&gt;")=0,"brak danych",VLOOKUP($C148,$A$10:$J$89,7,FALSE)*$E148))))))</x:f>
      </x:c>
      <x:c r="I148" s="25" t="str">
        <x:f>IF($A148="","",IF(AND($C148="",$E148=""),"",IF($E148="","brak danych",IF($E148=0,0,IF(COUNTIFS($A$10:$A$89,$C148)&lt;&gt;1,"brak danych",IF(COUNTIFS($A$10:$A$89,$C148,$H$10:$H$89,"&lt;&gt;")=0,"brak danych",VLOOKUP($C148,$A$10:$J$89,8,FALSE)*$E148))))))</x:f>
      </x:c>
      <x:c r="J148" s="25" t="str">
        <x:f>IF($A148="","",IF(AND($C148="",$E148=""),"",IF($E148="","brak danych",IF($E148=0,0,IF(COUNTIFS($A$10:$A$89,$C148)&lt;&gt;1,"brak danych",IF(COUNTIFS($A$10:$A$89,$C148,$I$10:$I$89,"&lt;&gt;")=0,"brak danych",VLOOKUP($C148,$A$10:$J$89,9,FALSE)*$E148))))))</x:f>
      </x:c>
      <x:c r="K148" s="25" t="str">
        <x:f>IF($A148="","",IF(AND($C148="",$E148=""),"",IF($E148="","brak danych",IF($E148=0,0,IF(COUNTIFS($A$10:$A$89,$C148)&lt;&gt;1,"brak danych",IF(COUNTIFS($A$10:$A$89,$C148,$J$10:$J$89,"&lt;&gt;")=0,"brak danych",VLOOKUP($C148,$A$10:$J$89,10,FALSE)*$E148))))))</x:f>
      </x:c>
      <x:c r="L148" s="24" t="str">
        <x:f>IF($A148="","",IF($F148="","",IF($F148=0,0,IF(COUNTIFS($A$10:$A$89,$C148)&lt;&gt;1,"brak danych",IF(COUNTIFS($A$10:$A$89,$C148,$F$10:$F$89,"&lt;&gt;")=0,"brak danych",VLOOKUP($C148,$A$10:$J$89,6,FALSE)*$F148)))))</x:f>
      </x:c>
      <x:c r="M148" s="25" t="str">
        <x:f>IF($A148="","",IF($F148="","",IF($F148=0,0,IF(COUNTIFS($A$10:$A$89,$C148)&lt;&gt;1,"brak danych",IF(COUNTIFS($A$10:$A$89,$C148,$G$10:$G$89,"&lt;&gt;")=0,"brak danych",VLOOKUP($C148,$A$10:$J$89,7,FALSE)*$F148)))))</x:f>
      </x:c>
      <x:c r="N148" s="25" t="str">
        <x:f>IF($A148="","",IF($F148="","",IF($F148=0,0,IF(COUNTIFS($A$10:$A$89,$C148)&lt;&gt;1,"brak danych",IF(COUNTIFS($A$10:$A$89,$C148,$H$10:$H$89,"&lt;&gt;")=0,"brak danych",VLOOKUP($C148,$A$10:$J$89,8,FALSE)*$F148)))))</x:f>
      </x:c>
      <x:c r="O148" s="25" t="str">
        <x:f>IF($A148="","",IF($F148="","",IF($F148=0,0,IF(COUNTIFS($A$10:$A$89,$C148)&lt;&gt;1,"brak danych",IF(COUNTIFS($A$10:$A$89,$C148,$I$10:$I$89,"&lt;&gt;")=0,"brak danych",VLOOKUP($C148,$A$10:$J$89,9,FALSE)*$F148)))))</x:f>
      </x:c>
      <x:c r="P148" s="25" t="str">
        <x:f>IF($A148="","",IF($F148="","",IF($F148=0,0,IF(COUNTIFS($A$10:$A$89,$C148)&lt;&gt;1,"brak danych",IF(COUNTIFS($A$10:$A$89,$C148,$J$10:$J$89,"&lt;&gt;")=0,"brak danych",VLOOKUP($C148,$A$10:$J$89,10,FALSE)*$F148)))))</x:f>
      </x:c>
      <x:c r="Q148" s="18"/>
    </x:row>
    <x:row r="149" ht="25" customHeight="1">
      <x:c r="A149" s="6"/>
      <x:c r="B149" s="30"/>
      <x:c r="C149" s="5"/>
      <x:c r="D149" s="5"/>
      <x:c r="E149" s="32"/>
      <x:c r="F149" s="32"/>
      <x:c r="G149" s="24" t="str">
        <x:f>IF($A149="","",IF(AND($C149="",$E149=""),"",IF($E149="","brak danych",IF($E149=0,0,IF(COUNTIFS($A$10:$A$89,$C149)&lt;&gt;1,"brak danych",IF(COUNTIFS($A$10:$A$89,$C149,$F$10:$F$89,"&lt;&gt;")=0,"brak danych",VLOOKUP($C149,$A$10:$J$89,6,FALSE)*$E149))))))</x:f>
      </x:c>
      <x:c r="H149" s="25" t="str">
        <x:f>IF($A149="","",IF(AND($C149="",$E149=""),"",IF($E149="","brak danych",IF($E149=0,0,IF(COUNTIFS($A$10:$A$89,$C149)&lt;&gt;1,"brak danych",IF(COUNTIFS($A$10:$A$89,$C149,$G$10:$G$89,"&lt;&gt;")=0,"brak danych",VLOOKUP($C149,$A$10:$J$89,7,FALSE)*$E149))))))</x:f>
      </x:c>
      <x:c r="I149" s="25" t="str">
        <x:f>IF($A149="","",IF(AND($C149="",$E149=""),"",IF($E149="","brak danych",IF($E149=0,0,IF(COUNTIFS($A$10:$A$89,$C149)&lt;&gt;1,"brak danych",IF(COUNTIFS($A$10:$A$89,$C149,$H$10:$H$89,"&lt;&gt;")=0,"brak danych",VLOOKUP($C149,$A$10:$J$89,8,FALSE)*$E149))))))</x:f>
      </x:c>
      <x:c r="J149" s="25" t="str">
        <x:f>IF($A149="","",IF(AND($C149="",$E149=""),"",IF($E149="","brak danych",IF($E149=0,0,IF(COUNTIFS($A$10:$A$89,$C149)&lt;&gt;1,"brak danych",IF(COUNTIFS($A$10:$A$89,$C149,$I$10:$I$89,"&lt;&gt;")=0,"brak danych",VLOOKUP($C149,$A$10:$J$89,9,FALSE)*$E149))))))</x:f>
      </x:c>
      <x:c r="K149" s="25" t="str">
        <x:f>IF($A149="","",IF(AND($C149="",$E149=""),"",IF($E149="","brak danych",IF($E149=0,0,IF(COUNTIFS($A$10:$A$89,$C149)&lt;&gt;1,"brak danych",IF(COUNTIFS($A$10:$A$89,$C149,$J$10:$J$89,"&lt;&gt;")=0,"brak danych",VLOOKUP($C149,$A$10:$J$89,10,FALSE)*$E149))))))</x:f>
      </x:c>
      <x:c r="L149" s="24" t="str">
        <x:f>IF($A149="","",IF($F149="","",IF($F149=0,0,IF(COUNTIFS($A$10:$A$89,$C149)&lt;&gt;1,"brak danych",IF(COUNTIFS($A$10:$A$89,$C149,$F$10:$F$89,"&lt;&gt;")=0,"brak danych",VLOOKUP($C149,$A$10:$J$89,6,FALSE)*$F149)))))</x:f>
      </x:c>
      <x:c r="M149" s="25" t="str">
        <x:f>IF($A149="","",IF($F149="","",IF($F149=0,0,IF(COUNTIFS($A$10:$A$89,$C149)&lt;&gt;1,"brak danych",IF(COUNTIFS($A$10:$A$89,$C149,$G$10:$G$89,"&lt;&gt;")=0,"brak danych",VLOOKUP($C149,$A$10:$J$89,7,FALSE)*$F149)))))</x:f>
      </x:c>
      <x:c r="N149" s="25" t="str">
        <x:f>IF($A149="","",IF($F149="","",IF($F149=0,0,IF(COUNTIFS($A$10:$A$89,$C149)&lt;&gt;1,"brak danych",IF(COUNTIFS($A$10:$A$89,$C149,$H$10:$H$89,"&lt;&gt;")=0,"brak danych",VLOOKUP($C149,$A$10:$J$89,8,FALSE)*$F149)))))</x:f>
      </x:c>
      <x:c r="O149" s="25" t="str">
        <x:f>IF($A149="","",IF($F149="","",IF($F149=0,0,IF(COUNTIFS($A$10:$A$89,$C149)&lt;&gt;1,"brak danych",IF(COUNTIFS($A$10:$A$89,$C149,$I$10:$I$89,"&lt;&gt;")=0,"brak danych",VLOOKUP($C149,$A$10:$J$89,9,FALSE)*$F149)))))</x:f>
      </x:c>
      <x:c r="P149" s="25" t="str">
        <x:f>IF($A149="","",IF($F149="","",IF($F149=0,0,IF(COUNTIFS($A$10:$A$89,$C149)&lt;&gt;1,"brak danych",IF(COUNTIFS($A$10:$A$89,$C149,$J$10:$J$89,"&lt;&gt;")=0,"brak danych",VLOOKUP($C149,$A$10:$J$89,10,FALSE)*$F149)))))</x:f>
      </x:c>
      <x:c r="Q149" s="18"/>
    </x:row>
    <x:row r="150" ht="25" customHeight="1">
      <x:c r="A150" s="6"/>
      <x:c r="B150" s="30"/>
      <x:c r="C150" s="5"/>
      <x:c r="D150" s="5"/>
      <x:c r="E150" s="32"/>
      <x:c r="F150" s="32"/>
      <x:c r="G150" s="24" t="str">
        <x:f>IF($A150="","",IF(AND($C150="",$E150=""),"",IF($E150="","brak danych",IF($E150=0,0,IF(COUNTIFS($A$10:$A$89,$C150)&lt;&gt;1,"brak danych",IF(COUNTIFS($A$10:$A$89,$C150,$F$10:$F$89,"&lt;&gt;")=0,"brak danych",VLOOKUP($C150,$A$10:$J$89,6,FALSE)*$E150))))))</x:f>
      </x:c>
      <x:c r="H150" s="25" t="str">
        <x:f>IF($A150="","",IF(AND($C150="",$E150=""),"",IF($E150="","brak danych",IF($E150=0,0,IF(COUNTIFS($A$10:$A$89,$C150)&lt;&gt;1,"brak danych",IF(COUNTIFS($A$10:$A$89,$C150,$G$10:$G$89,"&lt;&gt;")=0,"brak danych",VLOOKUP($C150,$A$10:$J$89,7,FALSE)*$E150))))))</x:f>
      </x:c>
      <x:c r="I150" s="25" t="str">
        <x:f>IF($A150="","",IF(AND($C150="",$E150=""),"",IF($E150="","brak danych",IF($E150=0,0,IF(COUNTIFS($A$10:$A$89,$C150)&lt;&gt;1,"brak danych",IF(COUNTIFS($A$10:$A$89,$C150,$H$10:$H$89,"&lt;&gt;")=0,"brak danych",VLOOKUP($C150,$A$10:$J$89,8,FALSE)*$E150))))))</x:f>
      </x:c>
      <x:c r="J150" s="25" t="str">
        <x:f>IF($A150="","",IF(AND($C150="",$E150=""),"",IF($E150="","brak danych",IF($E150=0,0,IF(COUNTIFS($A$10:$A$89,$C150)&lt;&gt;1,"brak danych",IF(COUNTIFS($A$10:$A$89,$C150,$I$10:$I$89,"&lt;&gt;")=0,"brak danych",VLOOKUP($C150,$A$10:$J$89,9,FALSE)*$E150))))))</x:f>
      </x:c>
      <x:c r="K150" s="25" t="str">
        <x:f>IF($A150="","",IF(AND($C150="",$E150=""),"",IF($E150="","brak danych",IF($E150=0,0,IF(COUNTIFS($A$10:$A$89,$C150)&lt;&gt;1,"brak danych",IF(COUNTIFS($A$10:$A$89,$C150,$J$10:$J$89,"&lt;&gt;")=0,"brak danych",VLOOKUP($C150,$A$10:$J$89,10,FALSE)*$E150))))))</x:f>
      </x:c>
      <x:c r="L150" s="24" t="str">
        <x:f>IF($A150="","",IF($F150="","",IF($F150=0,0,IF(COUNTIFS($A$10:$A$89,$C150)&lt;&gt;1,"brak danych",IF(COUNTIFS($A$10:$A$89,$C150,$F$10:$F$89,"&lt;&gt;")=0,"brak danych",VLOOKUP($C150,$A$10:$J$89,6,FALSE)*$F150)))))</x:f>
      </x:c>
      <x:c r="M150" s="25" t="str">
        <x:f>IF($A150="","",IF($F150="","",IF($F150=0,0,IF(COUNTIFS($A$10:$A$89,$C150)&lt;&gt;1,"brak danych",IF(COUNTIFS($A$10:$A$89,$C150,$G$10:$G$89,"&lt;&gt;")=0,"brak danych",VLOOKUP($C150,$A$10:$J$89,7,FALSE)*$F150)))))</x:f>
      </x:c>
      <x:c r="N150" s="25" t="str">
        <x:f>IF($A150="","",IF($F150="","",IF($F150=0,0,IF(COUNTIFS($A$10:$A$89,$C150)&lt;&gt;1,"brak danych",IF(COUNTIFS($A$10:$A$89,$C150,$H$10:$H$89,"&lt;&gt;")=0,"brak danych",VLOOKUP($C150,$A$10:$J$89,8,FALSE)*$F150)))))</x:f>
      </x:c>
      <x:c r="O150" s="25" t="str">
        <x:f>IF($A150="","",IF($F150="","",IF($F150=0,0,IF(COUNTIFS($A$10:$A$89,$C150)&lt;&gt;1,"brak danych",IF(COUNTIFS($A$10:$A$89,$C150,$I$10:$I$89,"&lt;&gt;")=0,"brak danych",VLOOKUP($C150,$A$10:$J$89,9,FALSE)*$F150)))))</x:f>
      </x:c>
      <x:c r="P150" s="25" t="str">
        <x:f>IF($A150="","",IF($F150="","",IF($F150=0,0,IF(COUNTIFS($A$10:$A$89,$C150)&lt;&gt;1,"brak danych",IF(COUNTIFS($A$10:$A$89,$C150,$J$10:$J$89,"&lt;&gt;")=0,"brak danych",VLOOKUP($C150,$A$10:$J$89,10,FALSE)*$F150)))))</x:f>
      </x:c>
      <x:c r="Q150" s="18"/>
    </x:row>
    <x:row r="151" ht="25" customHeight="1">
      <x:c r="A151" s="6"/>
      <x:c r="B151" s="30"/>
      <x:c r="C151" s="5"/>
      <x:c r="D151" s="5"/>
      <x:c r="E151" s="32"/>
      <x:c r="F151" s="32"/>
      <x:c r="G151" s="24" t="str">
        <x:f>IF($A151="","",IF(AND($C151="",$E151=""),"",IF($E151="","brak danych",IF($E151=0,0,IF(COUNTIFS($A$10:$A$89,$C151)&lt;&gt;1,"brak danych",IF(COUNTIFS($A$10:$A$89,$C151,$F$10:$F$89,"&lt;&gt;")=0,"brak danych",VLOOKUP($C151,$A$10:$J$89,6,FALSE)*$E151))))))</x:f>
      </x:c>
      <x:c r="H151" s="25" t="str">
        <x:f>IF($A151="","",IF(AND($C151="",$E151=""),"",IF($E151="","brak danych",IF($E151=0,0,IF(COUNTIFS($A$10:$A$89,$C151)&lt;&gt;1,"brak danych",IF(COUNTIFS($A$10:$A$89,$C151,$G$10:$G$89,"&lt;&gt;")=0,"brak danych",VLOOKUP($C151,$A$10:$J$89,7,FALSE)*$E151))))))</x:f>
      </x:c>
      <x:c r="I151" s="25" t="str">
        <x:f>IF($A151="","",IF(AND($C151="",$E151=""),"",IF($E151="","brak danych",IF($E151=0,0,IF(COUNTIFS($A$10:$A$89,$C151)&lt;&gt;1,"brak danych",IF(COUNTIFS($A$10:$A$89,$C151,$H$10:$H$89,"&lt;&gt;")=0,"brak danych",VLOOKUP($C151,$A$10:$J$89,8,FALSE)*$E151))))))</x:f>
      </x:c>
      <x:c r="J151" s="25" t="str">
        <x:f>IF($A151="","",IF(AND($C151="",$E151=""),"",IF($E151="","brak danych",IF($E151=0,0,IF(COUNTIFS($A$10:$A$89,$C151)&lt;&gt;1,"brak danych",IF(COUNTIFS($A$10:$A$89,$C151,$I$10:$I$89,"&lt;&gt;")=0,"brak danych",VLOOKUP($C151,$A$10:$J$89,9,FALSE)*$E151))))))</x:f>
      </x:c>
      <x:c r="K151" s="25" t="str">
        <x:f>IF($A151="","",IF(AND($C151="",$E151=""),"",IF($E151="","brak danych",IF($E151=0,0,IF(COUNTIFS($A$10:$A$89,$C151)&lt;&gt;1,"brak danych",IF(COUNTIFS($A$10:$A$89,$C151,$J$10:$J$89,"&lt;&gt;")=0,"brak danych",VLOOKUP($C151,$A$10:$J$89,10,FALSE)*$E151))))))</x:f>
      </x:c>
      <x:c r="L151" s="24" t="str">
        <x:f>IF($A151="","",IF($F151="","",IF($F151=0,0,IF(COUNTIFS($A$10:$A$89,$C151)&lt;&gt;1,"brak danych",IF(COUNTIFS($A$10:$A$89,$C151,$F$10:$F$89,"&lt;&gt;")=0,"brak danych",VLOOKUP($C151,$A$10:$J$89,6,FALSE)*$F151)))))</x:f>
      </x:c>
      <x:c r="M151" s="25" t="str">
        <x:f>IF($A151="","",IF($F151="","",IF($F151=0,0,IF(COUNTIFS($A$10:$A$89,$C151)&lt;&gt;1,"brak danych",IF(COUNTIFS($A$10:$A$89,$C151,$G$10:$G$89,"&lt;&gt;")=0,"brak danych",VLOOKUP($C151,$A$10:$J$89,7,FALSE)*$F151)))))</x:f>
      </x:c>
      <x:c r="N151" s="25" t="str">
        <x:f>IF($A151="","",IF($F151="","",IF($F151=0,0,IF(COUNTIFS($A$10:$A$89,$C151)&lt;&gt;1,"brak danych",IF(COUNTIFS($A$10:$A$89,$C151,$H$10:$H$89,"&lt;&gt;")=0,"brak danych",VLOOKUP($C151,$A$10:$J$89,8,FALSE)*$F151)))))</x:f>
      </x:c>
      <x:c r="O151" s="25" t="str">
        <x:f>IF($A151="","",IF($F151="","",IF($F151=0,0,IF(COUNTIFS($A$10:$A$89,$C151)&lt;&gt;1,"brak danych",IF(COUNTIFS($A$10:$A$89,$C151,$I$10:$I$89,"&lt;&gt;")=0,"brak danych",VLOOKUP($C151,$A$10:$J$89,9,FALSE)*$F151)))))</x:f>
      </x:c>
      <x:c r="P151" s="25" t="str">
        <x:f>IF($A151="","",IF($F151="","",IF($F151=0,0,IF(COUNTIFS($A$10:$A$89,$C151)&lt;&gt;1,"brak danych",IF(COUNTIFS($A$10:$A$89,$C151,$J$10:$J$89,"&lt;&gt;")=0,"brak danych",VLOOKUP($C151,$A$10:$J$89,10,FALSE)*$F151)))))</x:f>
      </x:c>
      <x:c r="Q151" s="18"/>
    </x:row>
    <x:row r="152" ht="25" customHeight="1">
      <x:c r="A152" s="6"/>
      <x:c r="B152" s="30"/>
      <x:c r="C152" s="5"/>
      <x:c r="D152" s="5"/>
      <x:c r="E152" s="32"/>
      <x:c r="F152" s="32"/>
      <x:c r="G152" s="24" t="str">
        <x:f>IF($A152="","",IF(AND($C152="",$E152=""),"",IF($E152="","brak danych",IF($E152=0,0,IF(COUNTIFS($A$10:$A$89,$C152)&lt;&gt;1,"brak danych",IF(COUNTIFS($A$10:$A$89,$C152,$F$10:$F$89,"&lt;&gt;")=0,"brak danych",VLOOKUP($C152,$A$10:$J$89,6,FALSE)*$E152))))))</x:f>
      </x:c>
      <x:c r="H152" s="25" t="str">
        <x:f>IF($A152="","",IF(AND($C152="",$E152=""),"",IF($E152="","brak danych",IF($E152=0,0,IF(COUNTIFS($A$10:$A$89,$C152)&lt;&gt;1,"brak danych",IF(COUNTIFS($A$10:$A$89,$C152,$G$10:$G$89,"&lt;&gt;")=0,"brak danych",VLOOKUP($C152,$A$10:$J$89,7,FALSE)*$E152))))))</x:f>
      </x:c>
      <x:c r="I152" s="25" t="str">
        <x:f>IF($A152="","",IF(AND($C152="",$E152=""),"",IF($E152="","brak danych",IF($E152=0,0,IF(COUNTIFS($A$10:$A$89,$C152)&lt;&gt;1,"brak danych",IF(COUNTIFS($A$10:$A$89,$C152,$H$10:$H$89,"&lt;&gt;")=0,"brak danych",VLOOKUP($C152,$A$10:$J$89,8,FALSE)*$E152))))))</x:f>
      </x:c>
      <x:c r="J152" s="25" t="str">
        <x:f>IF($A152="","",IF(AND($C152="",$E152=""),"",IF($E152="","brak danych",IF($E152=0,0,IF(COUNTIFS($A$10:$A$89,$C152)&lt;&gt;1,"brak danych",IF(COUNTIFS($A$10:$A$89,$C152,$I$10:$I$89,"&lt;&gt;")=0,"brak danych",VLOOKUP($C152,$A$10:$J$89,9,FALSE)*$E152))))))</x:f>
      </x:c>
      <x:c r="K152" s="25" t="str">
        <x:f>IF($A152="","",IF(AND($C152="",$E152=""),"",IF($E152="","brak danych",IF($E152=0,0,IF(COUNTIFS($A$10:$A$89,$C152)&lt;&gt;1,"brak danych",IF(COUNTIFS($A$10:$A$89,$C152,$J$10:$J$89,"&lt;&gt;")=0,"brak danych",VLOOKUP($C152,$A$10:$J$89,10,FALSE)*$E152))))))</x:f>
      </x:c>
      <x:c r="L152" s="24" t="str">
        <x:f>IF($A152="","",IF($F152="","",IF($F152=0,0,IF(COUNTIFS($A$10:$A$89,$C152)&lt;&gt;1,"brak danych",IF(COUNTIFS($A$10:$A$89,$C152,$F$10:$F$89,"&lt;&gt;")=0,"brak danych",VLOOKUP($C152,$A$10:$J$89,6,FALSE)*$F152)))))</x:f>
      </x:c>
      <x:c r="M152" s="25" t="str">
        <x:f>IF($A152="","",IF($F152="","",IF($F152=0,0,IF(COUNTIFS($A$10:$A$89,$C152)&lt;&gt;1,"brak danych",IF(COUNTIFS($A$10:$A$89,$C152,$G$10:$G$89,"&lt;&gt;")=0,"brak danych",VLOOKUP($C152,$A$10:$J$89,7,FALSE)*$F152)))))</x:f>
      </x:c>
      <x:c r="N152" s="25" t="str">
        <x:f>IF($A152="","",IF($F152="","",IF($F152=0,0,IF(COUNTIFS($A$10:$A$89,$C152)&lt;&gt;1,"brak danych",IF(COUNTIFS($A$10:$A$89,$C152,$H$10:$H$89,"&lt;&gt;")=0,"brak danych",VLOOKUP($C152,$A$10:$J$89,8,FALSE)*$F152)))))</x:f>
      </x:c>
      <x:c r="O152" s="25" t="str">
        <x:f>IF($A152="","",IF($F152="","",IF($F152=0,0,IF(COUNTIFS($A$10:$A$89,$C152)&lt;&gt;1,"brak danych",IF(COUNTIFS($A$10:$A$89,$C152,$I$10:$I$89,"&lt;&gt;")=0,"brak danych",VLOOKUP($C152,$A$10:$J$89,9,FALSE)*$F152)))))</x:f>
      </x:c>
      <x:c r="P152" s="25" t="str">
        <x:f>IF($A152="","",IF($F152="","",IF($F152=0,0,IF(COUNTIFS($A$10:$A$89,$C152)&lt;&gt;1,"brak danych",IF(COUNTIFS($A$10:$A$89,$C152,$J$10:$J$89,"&lt;&gt;")=0,"brak danych",VLOOKUP($C152,$A$10:$J$89,10,FALSE)*$F152)))))</x:f>
      </x:c>
      <x:c r="Q152" s="18"/>
    </x:row>
    <x:row r="153" ht="25" customHeight="1">
      <x:c r="A153" s="6"/>
      <x:c r="B153" s="30"/>
      <x:c r="C153" s="5"/>
      <x:c r="D153" s="5"/>
      <x:c r="E153" s="32"/>
      <x:c r="F153" s="32"/>
      <x:c r="G153" s="24" t="str">
        <x:f>IF($A153="","",IF(AND($C153="",$E153=""),"",IF($E153="","brak danych",IF($E153=0,0,IF(COUNTIFS($A$10:$A$89,$C153)&lt;&gt;1,"brak danych",IF(COUNTIFS($A$10:$A$89,$C153,$F$10:$F$89,"&lt;&gt;")=0,"brak danych",VLOOKUP($C153,$A$10:$J$89,6,FALSE)*$E153))))))</x:f>
      </x:c>
      <x:c r="H153" s="25" t="str">
        <x:f>IF($A153="","",IF(AND($C153="",$E153=""),"",IF($E153="","brak danych",IF($E153=0,0,IF(COUNTIFS($A$10:$A$89,$C153)&lt;&gt;1,"brak danych",IF(COUNTIFS($A$10:$A$89,$C153,$G$10:$G$89,"&lt;&gt;")=0,"brak danych",VLOOKUP($C153,$A$10:$J$89,7,FALSE)*$E153))))))</x:f>
      </x:c>
      <x:c r="I153" s="25" t="str">
        <x:f>IF($A153="","",IF(AND($C153="",$E153=""),"",IF($E153="","brak danych",IF($E153=0,0,IF(COUNTIFS($A$10:$A$89,$C153)&lt;&gt;1,"brak danych",IF(COUNTIFS($A$10:$A$89,$C153,$H$10:$H$89,"&lt;&gt;")=0,"brak danych",VLOOKUP($C153,$A$10:$J$89,8,FALSE)*$E153))))))</x:f>
      </x:c>
      <x:c r="J153" s="25" t="str">
        <x:f>IF($A153="","",IF(AND($C153="",$E153=""),"",IF($E153="","brak danych",IF($E153=0,0,IF(COUNTIFS($A$10:$A$89,$C153)&lt;&gt;1,"brak danych",IF(COUNTIFS($A$10:$A$89,$C153,$I$10:$I$89,"&lt;&gt;")=0,"brak danych",VLOOKUP($C153,$A$10:$J$89,9,FALSE)*$E153))))))</x:f>
      </x:c>
      <x:c r="K153" s="25" t="str">
        <x:f>IF($A153="","",IF(AND($C153="",$E153=""),"",IF($E153="","brak danych",IF($E153=0,0,IF(COUNTIFS($A$10:$A$89,$C153)&lt;&gt;1,"brak danych",IF(COUNTIFS($A$10:$A$89,$C153,$J$10:$J$89,"&lt;&gt;")=0,"brak danych",VLOOKUP($C153,$A$10:$J$89,10,FALSE)*$E153))))))</x:f>
      </x:c>
      <x:c r="L153" s="24" t="str">
        <x:f>IF($A153="","",IF($F153="","",IF($F153=0,0,IF(COUNTIFS($A$10:$A$89,$C153)&lt;&gt;1,"brak danych",IF(COUNTIFS($A$10:$A$89,$C153,$F$10:$F$89,"&lt;&gt;")=0,"brak danych",VLOOKUP($C153,$A$10:$J$89,6,FALSE)*$F153)))))</x:f>
      </x:c>
      <x:c r="M153" s="25" t="str">
        <x:f>IF($A153="","",IF($F153="","",IF($F153=0,0,IF(COUNTIFS($A$10:$A$89,$C153)&lt;&gt;1,"brak danych",IF(COUNTIFS($A$10:$A$89,$C153,$G$10:$G$89,"&lt;&gt;")=0,"brak danych",VLOOKUP($C153,$A$10:$J$89,7,FALSE)*$F153)))))</x:f>
      </x:c>
      <x:c r="N153" s="25" t="str">
        <x:f>IF($A153="","",IF($F153="","",IF($F153=0,0,IF(COUNTIFS($A$10:$A$89,$C153)&lt;&gt;1,"brak danych",IF(COUNTIFS($A$10:$A$89,$C153,$H$10:$H$89,"&lt;&gt;")=0,"brak danych",VLOOKUP($C153,$A$10:$J$89,8,FALSE)*$F153)))))</x:f>
      </x:c>
      <x:c r="O153" s="25" t="str">
        <x:f>IF($A153="","",IF($F153="","",IF($F153=0,0,IF(COUNTIFS($A$10:$A$89,$C153)&lt;&gt;1,"brak danych",IF(COUNTIFS($A$10:$A$89,$C153,$I$10:$I$89,"&lt;&gt;")=0,"brak danych",VLOOKUP($C153,$A$10:$J$89,9,FALSE)*$F153)))))</x:f>
      </x:c>
      <x:c r="P153" s="25" t="str">
        <x:f>IF($A153="","",IF($F153="","",IF($F153=0,0,IF(COUNTIFS($A$10:$A$89,$C153)&lt;&gt;1,"brak danych",IF(COUNTIFS($A$10:$A$89,$C153,$J$10:$J$89,"&lt;&gt;")=0,"brak danych",VLOOKUP($C153,$A$10:$J$89,10,FALSE)*$F153)))))</x:f>
      </x:c>
      <x:c r="Q153" s="18"/>
    </x:row>
    <x:row r="154" ht="25" customHeight="1">
      <x:c r="A154" s="6"/>
      <x:c r="B154" s="30"/>
      <x:c r="C154" s="5"/>
      <x:c r="D154" s="5"/>
      <x:c r="E154" s="32"/>
      <x:c r="F154" s="32"/>
      <x:c r="G154" s="24" t="str">
        <x:f>IF($A154="","",IF(AND($C154="",$E154=""),"",IF($E154="","brak danych",IF($E154=0,0,IF(COUNTIFS($A$10:$A$89,$C154)&lt;&gt;1,"brak danych",IF(COUNTIFS($A$10:$A$89,$C154,$F$10:$F$89,"&lt;&gt;")=0,"brak danych",VLOOKUP($C154,$A$10:$J$89,6,FALSE)*$E154))))))</x:f>
      </x:c>
      <x:c r="H154" s="25" t="str">
        <x:f>IF($A154="","",IF(AND($C154="",$E154=""),"",IF($E154="","brak danych",IF($E154=0,0,IF(COUNTIFS($A$10:$A$89,$C154)&lt;&gt;1,"brak danych",IF(COUNTIFS($A$10:$A$89,$C154,$G$10:$G$89,"&lt;&gt;")=0,"brak danych",VLOOKUP($C154,$A$10:$J$89,7,FALSE)*$E154))))))</x:f>
      </x:c>
      <x:c r="I154" s="25" t="str">
        <x:f>IF($A154="","",IF(AND($C154="",$E154=""),"",IF($E154="","brak danych",IF($E154=0,0,IF(COUNTIFS($A$10:$A$89,$C154)&lt;&gt;1,"brak danych",IF(COUNTIFS($A$10:$A$89,$C154,$H$10:$H$89,"&lt;&gt;")=0,"brak danych",VLOOKUP($C154,$A$10:$J$89,8,FALSE)*$E154))))))</x:f>
      </x:c>
      <x:c r="J154" s="25" t="str">
        <x:f>IF($A154="","",IF(AND($C154="",$E154=""),"",IF($E154="","brak danych",IF($E154=0,0,IF(COUNTIFS($A$10:$A$89,$C154)&lt;&gt;1,"brak danych",IF(COUNTIFS($A$10:$A$89,$C154,$I$10:$I$89,"&lt;&gt;")=0,"brak danych",VLOOKUP($C154,$A$10:$J$89,9,FALSE)*$E154))))))</x:f>
      </x:c>
      <x:c r="K154" s="25" t="str">
        <x:f>IF($A154="","",IF(AND($C154="",$E154=""),"",IF($E154="","brak danych",IF($E154=0,0,IF(COUNTIFS($A$10:$A$89,$C154)&lt;&gt;1,"brak danych",IF(COUNTIFS($A$10:$A$89,$C154,$J$10:$J$89,"&lt;&gt;")=0,"brak danych",VLOOKUP($C154,$A$10:$J$89,10,FALSE)*$E154))))))</x:f>
      </x:c>
      <x:c r="L154" s="24" t="str">
        <x:f>IF($A154="","",IF($F154="","",IF($F154=0,0,IF(COUNTIFS($A$10:$A$89,$C154)&lt;&gt;1,"brak danych",IF(COUNTIFS($A$10:$A$89,$C154,$F$10:$F$89,"&lt;&gt;")=0,"brak danych",VLOOKUP($C154,$A$10:$J$89,6,FALSE)*$F154)))))</x:f>
      </x:c>
      <x:c r="M154" s="25" t="str">
        <x:f>IF($A154="","",IF($F154="","",IF($F154=0,0,IF(COUNTIFS($A$10:$A$89,$C154)&lt;&gt;1,"brak danych",IF(COUNTIFS($A$10:$A$89,$C154,$G$10:$G$89,"&lt;&gt;")=0,"brak danych",VLOOKUP($C154,$A$10:$J$89,7,FALSE)*$F154)))))</x:f>
      </x:c>
      <x:c r="N154" s="25" t="str">
        <x:f>IF($A154="","",IF($F154="","",IF($F154=0,0,IF(COUNTIFS($A$10:$A$89,$C154)&lt;&gt;1,"brak danych",IF(COUNTIFS($A$10:$A$89,$C154,$H$10:$H$89,"&lt;&gt;")=0,"brak danych",VLOOKUP($C154,$A$10:$J$89,8,FALSE)*$F154)))))</x:f>
      </x:c>
      <x:c r="O154" s="25" t="str">
        <x:f>IF($A154="","",IF($F154="","",IF($F154=0,0,IF(COUNTIFS($A$10:$A$89,$C154)&lt;&gt;1,"brak danych",IF(COUNTIFS($A$10:$A$89,$C154,$I$10:$I$89,"&lt;&gt;")=0,"brak danych",VLOOKUP($C154,$A$10:$J$89,9,FALSE)*$F154)))))</x:f>
      </x:c>
      <x:c r="P154" s="25" t="str">
        <x:f>IF($A154="","",IF($F154="","",IF($F154=0,0,IF(COUNTIFS($A$10:$A$89,$C154)&lt;&gt;1,"brak danych",IF(COUNTIFS($A$10:$A$89,$C154,$J$10:$J$89,"&lt;&gt;")=0,"brak danych",VLOOKUP($C154,$A$10:$J$89,10,FALSE)*$F154)))))</x:f>
      </x:c>
      <x:c r="Q154" s="18"/>
    </x:row>
    <x:row r="155" ht="25" customHeight="1">
      <x:c r="A155" s="6"/>
      <x:c r="B155" s="30"/>
      <x:c r="C155" s="5"/>
      <x:c r="D155" s="5"/>
      <x:c r="E155" s="32"/>
      <x:c r="F155" s="32"/>
      <x:c r="G155" s="24" t="str">
        <x:f>IF($A155="","",IF(AND($C155="",$E155=""),"",IF($E155="","brak danych",IF($E155=0,0,IF(COUNTIFS($A$10:$A$89,$C155)&lt;&gt;1,"brak danych",IF(COUNTIFS($A$10:$A$89,$C155,$F$10:$F$89,"&lt;&gt;")=0,"brak danych",VLOOKUP($C155,$A$10:$J$89,6,FALSE)*$E155))))))</x:f>
      </x:c>
      <x:c r="H155" s="25" t="str">
        <x:f>IF($A155="","",IF(AND($C155="",$E155=""),"",IF($E155="","brak danych",IF($E155=0,0,IF(COUNTIFS($A$10:$A$89,$C155)&lt;&gt;1,"brak danych",IF(COUNTIFS($A$10:$A$89,$C155,$G$10:$G$89,"&lt;&gt;")=0,"brak danych",VLOOKUP($C155,$A$10:$J$89,7,FALSE)*$E155))))))</x:f>
      </x:c>
      <x:c r="I155" s="25" t="str">
        <x:f>IF($A155="","",IF(AND($C155="",$E155=""),"",IF($E155="","brak danych",IF($E155=0,0,IF(COUNTIFS($A$10:$A$89,$C155)&lt;&gt;1,"brak danych",IF(COUNTIFS($A$10:$A$89,$C155,$H$10:$H$89,"&lt;&gt;")=0,"brak danych",VLOOKUP($C155,$A$10:$J$89,8,FALSE)*$E155))))))</x:f>
      </x:c>
      <x:c r="J155" s="25" t="str">
        <x:f>IF($A155="","",IF(AND($C155="",$E155=""),"",IF($E155="","brak danych",IF($E155=0,0,IF(COUNTIFS($A$10:$A$89,$C155)&lt;&gt;1,"brak danych",IF(COUNTIFS($A$10:$A$89,$C155,$I$10:$I$89,"&lt;&gt;")=0,"brak danych",VLOOKUP($C155,$A$10:$J$89,9,FALSE)*$E155))))))</x:f>
      </x:c>
      <x:c r="K155" s="25" t="str">
        <x:f>IF($A155="","",IF(AND($C155="",$E155=""),"",IF($E155="","brak danych",IF($E155=0,0,IF(COUNTIFS($A$10:$A$89,$C155)&lt;&gt;1,"brak danych",IF(COUNTIFS($A$10:$A$89,$C155,$J$10:$J$89,"&lt;&gt;")=0,"brak danych",VLOOKUP($C155,$A$10:$J$89,10,FALSE)*$E155))))))</x:f>
      </x:c>
      <x:c r="L155" s="24" t="str">
        <x:f>IF($A155="","",IF($F155="","",IF($F155=0,0,IF(COUNTIFS($A$10:$A$89,$C155)&lt;&gt;1,"brak danych",IF(COUNTIFS($A$10:$A$89,$C155,$F$10:$F$89,"&lt;&gt;")=0,"brak danych",VLOOKUP($C155,$A$10:$J$89,6,FALSE)*$F155)))))</x:f>
      </x:c>
      <x:c r="M155" s="25" t="str">
        <x:f>IF($A155="","",IF($F155="","",IF($F155=0,0,IF(COUNTIFS($A$10:$A$89,$C155)&lt;&gt;1,"brak danych",IF(COUNTIFS($A$10:$A$89,$C155,$G$10:$G$89,"&lt;&gt;")=0,"brak danych",VLOOKUP($C155,$A$10:$J$89,7,FALSE)*$F155)))))</x:f>
      </x:c>
      <x:c r="N155" s="25" t="str">
        <x:f>IF($A155="","",IF($F155="","",IF($F155=0,0,IF(COUNTIFS($A$10:$A$89,$C155)&lt;&gt;1,"brak danych",IF(COUNTIFS($A$10:$A$89,$C155,$H$10:$H$89,"&lt;&gt;")=0,"brak danych",VLOOKUP($C155,$A$10:$J$89,8,FALSE)*$F155)))))</x:f>
      </x:c>
      <x:c r="O155" s="25" t="str">
        <x:f>IF($A155="","",IF($F155="","",IF($F155=0,0,IF(COUNTIFS($A$10:$A$89,$C155)&lt;&gt;1,"brak danych",IF(COUNTIFS($A$10:$A$89,$C155,$I$10:$I$89,"&lt;&gt;")=0,"brak danych",VLOOKUP($C155,$A$10:$J$89,9,FALSE)*$F155)))))</x:f>
      </x:c>
      <x:c r="P155" s="25" t="str">
        <x:f>IF($A155="","",IF($F155="","",IF($F155=0,0,IF(COUNTIFS($A$10:$A$89,$C155)&lt;&gt;1,"brak danych",IF(COUNTIFS($A$10:$A$89,$C155,$J$10:$J$89,"&lt;&gt;")=0,"brak danych",VLOOKUP($C155,$A$10:$J$89,10,FALSE)*$F155)))))</x:f>
      </x:c>
      <x:c r="Q155" s="18"/>
    </x:row>
    <x:row r="156" ht="25" customHeight="1">
      <x:c r="A156" s="6"/>
      <x:c r="B156" s="30"/>
      <x:c r="C156" s="5"/>
      <x:c r="D156" s="5"/>
      <x:c r="E156" s="32"/>
      <x:c r="F156" s="32"/>
      <x:c r="G156" s="24" t="str">
        <x:f>IF($A156="","",IF(AND($C156="",$E156=""),"",IF($E156="","brak danych",IF($E156=0,0,IF(COUNTIFS($A$10:$A$89,$C156)&lt;&gt;1,"brak danych",IF(COUNTIFS($A$10:$A$89,$C156,$F$10:$F$89,"&lt;&gt;")=0,"brak danych",VLOOKUP($C156,$A$10:$J$89,6,FALSE)*$E156))))))</x:f>
      </x:c>
      <x:c r="H156" s="25" t="str">
        <x:f>IF($A156="","",IF(AND($C156="",$E156=""),"",IF($E156="","brak danych",IF($E156=0,0,IF(COUNTIFS($A$10:$A$89,$C156)&lt;&gt;1,"brak danych",IF(COUNTIFS($A$10:$A$89,$C156,$G$10:$G$89,"&lt;&gt;")=0,"brak danych",VLOOKUP($C156,$A$10:$J$89,7,FALSE)*$E156))))))</x:f>
      </x:c>
      <x:c r="I156" s="25" t="str">
        <x:f>IF($A156="","",IF(AND($C156="",$E156=""),"",IF($E156="","brak danych",IF($E156=0,0,IF(COUNTIFS($A$10:$A$89,$C156)&lt;&gt;1,"brak danych",IF(COUNTIFS($A$10:$A$89,$C156,$H$10:$H$89,"&lt;&gt;")=0,"brak danych",VLOOKUP($C156,$A$10:$J$89,8,FALSE)*$E156))))))</x:f>
      </x:c>
      <x:c r="J156" s="25" t="str">
        <x:f>IF($A156="","",IF(AND($C156="",$E156=""),"",IF($E156="","brak danych",IF($E156=0,0,IF(COUNTIFS($A$10:$A$89,$C156)&lt;&gt;1,"brak danych",IF(COUNTIFS($A$10:$A$89,$C156,$I$10:$I$89,"&lt;&gt;")=0,"brak danych",VLOOKUP($C156,$A$10:$J$89,9,FALSE)*$E156))))))</x:f>
      </x:c>
      <x:c r="K156" s="25" t="str">
        <x:f>IF($A156="","",IF(AND($C156="",$E156=""),"",IF($E156="","brak danych",IF($E156=0,0,IF(COUNTIFS($A$10:$A$89,$C156)&lt;&gt;1,"brak danych",IF(COUNTIFS($A$10:$A$89,$C156,$J$10:$J$89,"&lt;&gt;")=0,"brak danych",VLOOKUP($C156,$A$10:$J$89,10,FALSE)*$E156))))))</x:f>
      </x:c>
      <x:c r="L156" s="24" t="str">
        <x:f>IF($A156="","",IF($F156="","",IF($F156=0,0,IF(COUNTIFS($A$10:$A$89,$C156)&lt;&gt;1,"brak danych",IF(COUNTIFS($A$10:$A$89,$C156,$F$10:$F$89,"&lt;&gt;")=0,"brak danych",VLOOKUP($C156,$A$10:$J$89,6,FALSE)*$F156)))))</x:f>
      </x:c>
      <x:c r="M156" s="25" t="str">
        <x:f>IF($A156="","",IF($F156="","",IF($F156=0,0,IF(COUNTIFS($A$10:$A$89,$C156)&lt;&gt;1,"brak danych",IF(COUNTIFS($A$10:$A$89,$C156,$G$10:$G$89,"&lt;&gt;")=0,"brak danych",VLOOKUP($C156,$A$10:$J$89,7,FALSE)*$F156)))))</x:f>
      </x:c>
      <x:c r="N156" s="25" t="str">
        <x:f>IF($A156="","",IF($F156="","",IF($F156=0,0,IF(COUNTIFS($A$10:$A$89,$C156)&lt;&gt;1,"brak danych",IF(COUNTIFS($A$10:$A$89,$C156,$H$10:$H$89,"&lt;&gt;")=0,"brak danych",VLOOKUP($C156,$A$10:$J$89,8,FALSE)*$F156)))))</x:f>
      </x:c>
      <x:c r="O156" s="25" t="str">
        <x:f>IF($A156="","",IF($F156="","",IF($F156=0,0,IF(COUNTIFS($A$10:$A$89,$C156)&lt;&gt;1,"brak danych",IF(COUNTIFS($A$10:$A$89,$C156,$I$10:$I$89,"&lt;&gt;")=0,"brak danych",VLOOKUP($C156,$A$10:$J$89,9,FALSE)*$F156)))))</x:f>
      </x:c>
      <x:c r="P156" s="25" t="str">
        <x:f>IF($A156="","",IF($F156="","",IF($F156=0,0,IF(COUNTIFS($A$10:$A$89,$C156)&lt;&gt;1,"brak danych",IF(COUNTIFS($A$10:$A$89,$C156,$J$10:$J$89,"&lt;&gt;")=0,"brak danych",VLOOKUP($C156,$A$10:$J$89,10,FALSE)*$F156)))))</x:f>
      </x:c>
      <x:c r="Q156" s="18"/>
    </x:row>
    <x:row r="157" ht="25" customHeight="1">
      <x:c r="A157" s="6"/>
      <x:c r="B157" s="30"/>
      <x:c r="C157" s="5"/>
      <x:c r="D157" s="5"/>
      <x:c r="E157" s="32"/>
      <x:c r="F157" s="32"/>
      <x:c r="G157" s="24" t="str">
        <x:f>IF($A157="","",IF(AND($C157="",$E157=""),"",IF($E157="","brak danych",IF($E157=0,0,IF(COUNTIFS($A$10:$A$89,$C157)&lt;&gt;1,"brak danych",IF(COUNTIFS($A$10:$A$89,$C157,$F$10:$F$89,"&lt;&gt;")=0,"brak danych",VLOOKUP($C157,$A$10:$J$89,6,FALSE)*$E157))))))</x:f>
      </x:c>
      <x:c r="H157" s="25" t="str">
        <x:f>IF($A157="","",IF(AND($C157="",$E157=""),"",IF($E157="","brak danych",IF($E157=0,0,IF(COUNTIFS($A$10:$A$89,$C157)&lt;&gt;1,"brak danych",IF(COUNTIFS($A$10:$A$89,$C157,$G$10:$G$89,"&lt;&gt;")=0,"brak danych",VLOOKUP($C157,$A$10:$J$89,7,FALSE)*$E157))))))</x:f>
      </x:c>
      <x:c r="I157" s="25" t="str">
        <x:f>IF($A157="","",IF(AND($C157="",$E157=""),"",IF($E157="","brak danych",IF($E157=0,0,IF(COUNTIFS($A$10:$A$89,$C157)&lt;&gt;1,"brak danych",IF(COUNTIFS($A$10:$A$89,$C157,$H$10:$H$89,"&lt;&gt;")=0,"brak danych",VLOOKUP($C157,$A$10:$J$89,8,FALSE)*$E157))))))</x:f>
      </x:c>
      <x:c r="J157" s="25" t="str">
        <x:f>IF($A157="","",IF(AND($C157="",$E157=""),"",IF($E157="","brak danych",IF($E157=0,0,IF(COUNTIFS($A$10:$A$89,$C157)&lt;&gt;1,"brak danych",IF(COUNTIFS($A$10:$A$89,$C157,$I$10:$I$89,"&lt;&gt;")=0,"brak danych",VLOOKUP($C157,$A$10:$J$89,9,FALSE)*$E157))))))</x:f>
      </x:c>
      <x:c r="K157" s="25" t="str">
        <x:f>IF($A157="","",IF(AND($C157="",$E157=""),"",IF($E157="","brak danych",IF($E157=0,0,IF(COUNTIFS($A$10:$A$89,$C157)&lt;&gt;1,"brak danych",IF(COUNTIFS($A$10:$A$89,$C157,$J$10:$J$89,"&lt;&gt;")=0,"brak danych",VLOOKUP($C157,$A$10:$J$89,10,FALSE)*$E157))))))</x:f>
      </x:c>
      <x:c r="L157" s="24" t="str">
        <x:f>IF($A157="","",IF($F157="","",IF($F157=0,0,IF(COUNTIFS($A$10:$A$89,$C157)&lt;&gt;1,"brak danych",IF(COUNTIFS($A$10:$A$89,$C157,$F$10:$F$89,"&lt;&gt;")=0,"brak danych",VLOOKUP($C157,$A$10:$J$89,6,FALSE)*$F157)))))</x:f>
      </x:c>
      <x:c r="M157" s="25" t="str">
        <x:f>IF($A157="","",IF($F157="","",IF($F157=0,0,IF(COUNTIFS($A$10:$A$89,$C157)&lt;&gt;1,"brak danych",IF(COUNTIFS($A$10:$A$89,$C157,$G$10:$G$89,"&lt;&gt;")=0,"brak danych",VLOOKUP($C157,$A$10:$J$89,7,FALSE)*$F157)))))</x:f>
      </x:c>
      <x:c r="N157" s="25" t="str">
        <x:f>IF($A157="","",IF($F157="","",IF($F157=0,0,IF(COUNTIFS($A$10:$A$89,$C157)&lt;&gt;1,"brak danych",IF(COUNTIFS($A$10:$A$89,$C157,$H$10:$H$89,"&lt;&gt;")=0,"brak danych",VLOOKUP($C157,$A$10:$J$89,8,FALSE)*$F157)))))</x:f>
      </x:c>
      <x:c r="O157" s="25" t="str">
        <x:f>IF($A157="","",IF($F157="","",IF($F157=0,0,IF(COUNTIFS($A$10:$A$89,$C157)&lt;&gt;1,"brak danych",IF(COUNTIFS($A$10:$A$89,$C157,$I$10:$I$89,"&lt;&gt;")=0,"brak danych",VLOOKUP($C157,$A$10:$J$89,9,FALSE)*$F157)))))</x:f>
      </x:c>
      <x:c r="P157" s="25" t="str">
        <x:f>IF($A157="","",IF($F157="","",IF($F157=0,0,IF(COUNTIFS($A$10:$A$89,$C157)&lt;&gt;1,"brak danych",IF(COUNTIFS($A$10:$A$89,$C157,$J$10:$J$89,"&lt;&gt;")=0,"brak danych",VLOOKUP($C157,$A$10:$J$89,10,FALSE)*$F157)))))</x:f>
      </x:c>
      <x:c r="Q157" s="18"/>
    </x:row>
    <x:row r="158" ht="25" customHeight="1">
      <x:c r="A158" s="6"/>
      <x:c r="B158" s="30"/>
      <x:c r="C158" s="5"/>
      <x:c r="D158" s="5"/>
      <x:c r="E158" s="32"/>
      <x:c r="F158" s="32"/>
      <x:c r="G158" s="24" t="str">
        <x:f>IF($A158="","",IF(AND($C158="",$E158=""),"",IF($E158="","brak danych",IF($E158=0,0,IF(COUNTIFS($A$10:$A$89,$C158)&lt;&gt;1,"brak danych",IF(COUNTIFS($A$10:$A$89,$C158,$F$10:$F$89,"&lt;&gt;")=0,"brak danych",VLOOKUP($C158,$A$10:$J$89,6,FALSE)*$E158))))))</x:f>
      </x:c>
      <x:c r="H158" s="25" t="str">
        <x:f>IF($A158="","",IF(AND($C158="",$E158=""),"",IF($E158="","brak danych",IF($E158=0,0,IF(COUNTIFS($A$10:$A$89,$C158)&lt;&gt;1,"brak danych",IF(COUNTIFS($A$10:$A$89,$C158,$G$10:$G$89,"&lt;&gt;")=0,"brak danych",VLOOKUP($C158,$A$10:$J$89,7,FALSE)*$E158))))))</x:f>
      </x:c>
      <x:c r="I158" s="25" t="str">
        <x:f>IF($A158="","",IF(AND($C158="",$E158=""),"",IF($E158="","brak danych",IF($E158=0,0,IF(COUNTIFS($A$10:$A$89,$C158)&lt;&gt;1,"brak danych",IF(COUNTIFS($A$10:$A$89,$C158,$H$10:$H$89,"&lt;&gt;")=0,"brak danych",VLOOKUP($C158,$A$10:$J$89,8,FALSE)*$E158))))))</x:f>
      </x:c>
      <x:c r="J158" s="25" t="str">
        <x:f>IF($A158="","",IF(AND($C158="",$E158=""),"",IF($E158="","brak danych",IF($E158=0,0,IF(COUNTIFS($A$10:$A$89,$C158)&lt;&gt;1,"brak danych",IF(COUNTIFS($A$10:$A$89,$C158,$I$10:$I$89,"&lt;&gt;")=0,"brak danych",VLOOKUP($C158,$A$10:$J$89,9,FALSE)*$E158))))))</x:f>
      </x:c>
      <x:c r="K158" s="25" t="str">
        <x:f>IF($A158="","",IF(AND($C158="",$E158=""),"",IF($E158="","brak danych",IF($E158=0,0,IF(COUNTIFS($A$10:$A$89,$C158)&lt;&gt;1,"brak danych",IF(COUNTIFS($A$10:$A$89,$C158,$J$10:$J$89,"&lt;&gt;")=0,"brak danych",VLOOKUP($C158,$A$10:$J$89,10,FALSE)*$E158))))))</x:f>
      </x:c>
      <x:c r="L158" s="24" t="str">
        <x:f>IF($A158="","",IF($F158="","",IF($F158=0,0,IF(COUNTIFS($A$10:$A$89,$C158)&lt;&gt;1,"brak danych",IF(COUNTIFS($A$10:$A$89,$C158,$F$10:$F$89,"&lt;&gt;")=0,"brak danych",VLOOKUP($C158,$A$10:$J$89,6,FALSE)*$F158)))))</x:f>
      </x:c>
      <x:c r="M158" s="25" t="str">
        <x:f>IF($A158="","",IF($F158="","",IF($F158=0,0,IF(COUNTIFS($A$10:$A$89,$C158)&lt;&gt;1,"brak danych",IF(COUNTIFS($A$10:$A$89,$C158,$G$10:$G$89,"&lt;&gt;")=0,"brak danych",VLOOKUP($C158,$A$10:$J$89,7,FALSE)*$F158)))))</x:f>
      </x:c>
      <x:c r="N158" s="25" t="str">
        <x:f>IF($A158="","",IF($F158="","",IF($F158=0,0,IF(COUNTIFS($A$10:$A$89,$C158)&lt;&gt;1,"brak danych",IF(COUNTIFS($A$10:$A$89,$C158,$H$10:$H$89,"&lt;&gt;")=0,"brak danych",VLOOKUP($C158,$A$10:$J$89,8,FALSE)*$F158)))))</x:f>
      </x:c>
      <x:c r="O158" s="25" t="str">
        <x:f>IF($A158="","",IF($F158="","",IF($F158=0,0,IF(COUNTIFS($A$10:$A$89,$C158)&lt;&gt;1,"brak danych",IF(COUNTIFS($A$10:$A$89,$C158,$I$10:$I$89,"&lt;&gt;")=0,"brak danych",VLOOKUP($C158,$A$10:$J$89,9,FALSE)*$F158)))))</x:f>
      </x:c>
      <x:c r="P158" s="25" t="str">
        <x:f>IF($A158="","",IF($F158="","",IF($F158=0,0,IF(COUNTIFS($A$10:$A$89,$C158)&lt;&gt;1,"brak danych",IF(COUNTIFS($A$10:$A$89,$C158,$J$10:$J$89,"&lt;&gt;")=0,"brak danych",VLOOKUP($C158,$A$10:$J$89,10,FALSE)*$F158)))))</x:f>
      </x:c>
      <x:c r="Q158" s="18"/>
    </x:row>
    <x:row r="159" ht="25" customHeight="1">
      <x:c r="A159" s="6"/>
      <x:c r="B159" s="30"/>
      <x:c r="C159" s="5"/>
      <x:c r="D159" s="5"/>
      <x:c r="E159" s="32"/>
      <x:c r="F159" s="32"/>
      <x:c r="G159" s="24" t="str">
        <x:f>IF($A159="","",IF(AND($C159="",$E159=""),"",IF($E159="","brak danych",IF($E159=0,0,IF(COUNTIFS($A$10:$A$89,$C159)&lt;&gt;1,"brak danych",IF(COUNTIFS($A$10:$A$89,$C159,$F$10:$F$89,"&lt;&gt;")=0,"brak danych",VLOOKUP($C159,$A$10:$J$89,6,FALSE)*$E159))))))</x:f>
      </x:c>
      <x:c r="H159" s="25" t="str">
        <x:f>IF($A159="","",IF(AND($C159="",$E159=""),"",IF($E159="","brak danych",IF($E159=0,0,IF(COUNTIFS($A$10:$A$89,$C159)&lt;&gt;1,"brak danych",IF(COUNTIFS($A$10:$A$89,$C159,$G$10:$G$89,"&lt;&gt;")=0,"brak danych",VLOOKUP($C159,$A$10:$J$89,7,FALSE)*$E159))))))</x:f>
      </x:c>
      <x:c r="I159" s="25" t="str">
        <x:f>IF($A159="","",IF(AND($C159="",$E159=""),"",IF($E159="","brak danych",IF($E159=0,0,IF(COUNTIFS($A$10:$A$89,$C159)&lt;&gt;1,"brak danych",IF(COUNTIFS($A$10:$A$89,$C159,$H$10:$H$89,"&lt;&gt;")=0,"brak danych",VLOOKUP($C159,$A$10:$J$89,8,FALSE)*$E159))))))</x:f>
      </x:c>
      <x:c r="J159" s="25" t="str">
        <x:f>IF($A159="","",IF(AND($C159="",$E159=""),"",IF($E159="","brak danych",IF($E159=0,0,IF(COUNTIFS($A$10:$A$89,$C159)&lt;&gt;1,"brak danych",IF(COUNTIFS($A$10:$A$89,$C159,$I$10:$I$89,"&lt;&gt;")=0,"brak danych",VLOOKUP($C159,$A$10:$J$89,9,FALSE)*$E159))))))</x:f>
      </x:c>
      <x:c r="K159" s="25" t="str">
        <x:f>IF($A159="","",IF(AND($C159="",$E159=""),"",IF($E159="","brak danych",IF($E159=0,0,IF(COUNTIFS($A$10:$A$89,$C159)&lt;&gt;1,"brak danych",IF(COUNTIFS($A$10:$A$89,$C159,$J$10:$J$89,"&lt;&gt;")=0,"brak danych",VLOOKUP($C159,$A$10:$J$89,10,FALSE)*$E159))))))</x:f>
      </x:c>
      <x:c r="L159" s="24" t="str">
        <x:f>IF($A159="","",IF($F159="","",IF($F159=0,0,IF(COUNTIFS($A$10:$A$89,$C159)&lt;&gt;1,"brak danych",IF(COUNTIFS($A$10:$A$89,$C159,$F$10:$F$89,"&lt;&gt;")=0,"brak danych",VLOOKUP($C159,$A$10:$J$89,6,FALSE)*$F159)))))</x:f>
      </x:c>
      <x:c r="M159" s="25" t="str">
        <x:f>IF($A159="","",IF($F159="","",IF($F159=0,0,IF(COUNTIFS($A$10:$A$89,$C159)&lt;&gt;1,"brak danych",IF(COUNTIFS($A$10:$A$89,$C159,$G$10:$G$89,"&lt;&gt;")=0,"brak danych",VLOOKUP($C159,$A$10:$J$89,7,FALSE)*$F159)))))</x:f>
      </x:c>
      <x:c r="N159" s="25" t="str">
        <x:f>IF($A159="","",IF($F159="","",IF($F159=0,0,IF(COUNTIFS($A$10:$A$89,$C159)&lt;&gt;1,"brak danych",IF(COUNTIFS($A$10:$A$89,$C159,$H$10:$H$89,"&lt;&gt;")=0,"brak danych",VLOOKUP($C159,$A$10:$J$89,8,FALSE)*$F159)))))</x:f>
      </x:c>
      <x:c r="O159" s="25" t="str">
        <x:f>IF($A159="","",IF($F159="","",IF($F159=0,0,IF(COUNTIFS($A$10:$A$89,$C159)&lt;&gt;1,"brak danych",IF(COUNTIFS($A$10:$A$89,$C159,$I$10:$I$89,"&lt;&gt;")=0,"brak danych",VLOOKUP($C159,$A$10:$J$89,9,FALSE)*$F159)))))</x:f>
      </x:c>
      <x:c r="P159" s="25" t="str">
        <x:f>IF($A159="","",IF($F159="","",IF($F159=0,0,IF(COUNTIFS($A$10:$A$89,$C159)&lt;&gt;1,"brak danych",IF(COUNTIFS($A$10:$A$89,$C159,$J$10:$J$89,"&lt;&gt;")=0,"brak danych",VLOOKUP($C159,$A$10:$J$89,10,FALSE)*$F159)))))</x:f>
      </x:c>
      <x:c r="Q159" s="18"/>
    </x:row>
    <x:row r="160" ht="25" customHeight="1">
      <x:c r="A160" s="6"/>
      <x:c r="B160" s="30"/>
      <x:c r="C160" s="5"/>
      <x:c r="D160" s="5"/>
      <x:c r="E160" s="32"/>
      <x:c r="F160" s="32"/>
      <x:c r="G160" s="24" t="str">
        <x:f>IF($A160="","",IF(AND($C160="",$E160=""),"",IF($E160="","brak danych",IF($E160=0,0,IF(COUNTIFS($A$10:$A$89,$C160)&lt;&gt;1,"brak danych",IF(COUNTIFS($A$10:$A$89,$C160,$F$10:$F$89,"&lt;&gt;")=0,"brak danych",VLOOKUP($C160,$A$10:$J$89,6,FALSE)*$E160))))))</x:f>
      </x:c>
      <x:c r="H160" s="25" t="str">
        <x:f>IF($A160="","",IF(AND($C160="",$E160=""),"",IF($E160="","brak danych",IF($E160=0,0,IF(COUNTIFS($A$10:$A$89,$C160)&lt;&gt;1,"brak danych",IF(COUNTIFS($A$10:$A$89,$C160,$G$10:$G$89,"&lt;&gt;")=0,"brak danych",VLOOKUP($C160,$A$10:$J$89,7,FALSE)*$E160))))))</x:f>
      </x:c>
      <x:c r="I160" s="25" t="str">
        <x:f>IF($A160="","",IF(AND($C160="",$E160=""),"",IF($E160="","brak danych",IF($E160=0,0,IF(COUNTIFS($A$10:$A$89,$C160)&lt;&gt;1,"brak danych",IF(COUNTIFS($A$10:$A$89,$C160,$H$10:$H$89,"&lt;&gt;")=0,"brak danych",VLOOKUP($C160,$A$10:$J$89,8,FALSE)*$E160))))))</x:f>
      </x:c>
      <x:c r="J160" s="25" t="str">
        <x:f>IF($A160="","",IF(AND($C160="",$E160=""),"",IF($E160="","brak danych",IF($E160=0,0,IF(COUNTIFS($A$10:$A$89,$C160)&lt;&gt;1,"brak danych",IF(COUNTIFS($A$10:$A$89,$C160,$I$10:$I$89,"&lt;&gt;")=0,"brak danych",VLOOKUP($C160,$A$10:$J$89,9,FALSE)*$E160))))))</x:f>
      </x:c>
      <x:c r="K160" s="25" t="str">
        <x:f>IF($A160="","",IF(AND($C160="",$E160=""),"",IF($E160="","brak danych",IF($E160=0,0,IF(COUNTIFS($A$10:$A$89,$C160)&lt;&gt;1,"brak danych",IF(COUNTIFS($A$10:$A$89,$C160,$J$10:$J$89,"&lt;&gt;")=0,"brak danych",VLOOKUP($C160,$A$10:$J$89,10,FALSE)*$E160))))))</x:f>
      </x:c>
      <x:c r="L160" s="24" t="str">
        <x:f>IF($A160="","",IF($F160="","",IF($F160=0,0,IF(COUNTIFS($A$10:$A$89,$C160)&lt;&gt;1,"brak danych",IF(COUNTIFS($A$10:$A$89,$C160,$F$10:$F$89,"&lt;&gt;")=0,"brak danych",VLOOKUP($C160,$A$10:$J$89,6,FALSE)*$F160)))))</x:f>
      </x:c>
      <x:c r="M160" s="25" t="str">
        <x:f>IF($A160="","",IF($F160="","",IF($F160=0,0,IF(COUNTIFS($A$10:$A$89,$C160)&lt;&gt;1,"brak danych",IF(COUNTIFS($A$10:$A$89,$C160,$G$10:$G$89,"&lt;&gt;")=0,"brak danych",VLOOKUP($C160,$A$10:$J$89,7,FALSE)*$F160)))))</x:f>
      </x:c>
      <x:c r="N160" s="25" t="str">
        <x:f>IF($A160="","",IF($F160="","",IF($F160=0,0,IF(COUNTIFS($A$10:$A$89,$C160)&lt;&gt;1,"brak danych",IF(COUNTIFS($A$10:$A$89,$C160,$H$10:$H$89,"&lt;&gt;")=0,"brak danych",VLOOKUP($C160,$A$10:$J$89,8,FALSE)*$F160)))))</x:f>
      </x:c>
      <x:c r="O160" s="25" t="str">
        <x:f>IF($A160="","",IF($F160="","",IF($F160=0,0,IF(COUNTIFS($A$10:$A$89,$C160)&lt;&gt;1,"brak danych",IF(COUNTIFS($A$10:$A$89,$C160,$I$10:$I$89,"&lt;&gt;")=0,"brak danych",VLOOKUP($C160,$A$10:$J$89,9,FALSE)*$F160)))))</x:f>
      </x:c>
      <x:c r="P160" s="25" t="str">
        <x:f>IF($A160="","",IF($F160="","",IF($F160=0,0,IF(COUNTIFS($A$10:$A$89,$C160)&lt;&gt;1,"brak danych",IF(COUNTIFS($A$10:$A$89,$C160,$J$10:$J$89,"&lt;&gt;")=0,"brak danych",VLOOKUP($C160,$A$10:$J$89,10,FALSE)*$F160)))))</x:f>
      </x:c>
      <x:c r="Q160" s="18"/>
    </x:row>
    <x:row r="161" ht="25" customHeight="1">
      <x:c r="A161" s="6"/>
      <x:c r="B161" s="30"/>
      <x:c r="C161" s="5"/>
      <x:c r="D161" s="5"/>
      <x:c r="E161" s="32"/>
      <x:c r="F161" s="32"/>
      <x:c r="G161" s="24" t="str">
        <x:f>IF($A161="","",IF(AND($C161="",$E161=""),"",IF($E161="","brak danych",IF($E161=0,0,IF(COUNTIFS($A$10:$A$89,$C161)&lt;&gt;1,"brak danych",IF(COUNTIFS($A$10:$A$89,$C161,$F$10:$F$89,"&lt;&gt;")=0,"brak danych",VLOOKUP($C161,$A$10:$J$89,6,FALSE)*$E161))))))</x:f>
      </x:c>
      <x:c r="H161" s="25" t="str">
        <x:f>IF($A161="","",IF(AND($C161="",$E161=""),"",IF($E161="","brak danych",IF($E161=0,0,IF(COUNTIFS($A$10:$A$89,$C161)&lt;&gt;1,"brak danych",IF(COUNTIFS($A$10:$A$89,$C161,$G$10:$G$89,"&lt;&gt;")=0,"brak danych",VLOOKUP($C161,$A$10:$J$89,7,FALSE)*$E161))))))</x:f>
      </x:c>
      <x:c r="I161" s="25" t="str">
        <x:f>IF($A161="","",IF(AND($C161="",$E161=""),"",IF($E161="","brak danych",IF($E161=0,0,IF(COUNTIFS($A$10:$A$89,$C161)&lt;&gt;1,"brak danych",IF(COUNTIFS($A$10:$A$89,$C161,$H$10:$H$89,"&lt;&gt;")=0,"brak danych",VLOOKUP($C161,$A$10:$J$89,8,FALSE)*$E161))))))</x:f>
      </x:c>
      <x:c r="J161" s="25" t="str">
        <x:f>IF($A161="","",IF(AND($C161="",$E161=""),"",IF($E161="","brak danych",IF($E161=0,0,IF(COUNTIFS($A$10:$A$89,$C161)&lt;&gt;1,"brak danych",IF(COUNTIFS($A$10:$A$89,$C161,$I$10:$I$89,"&lt;&gt;")=0,"brak danych",VLOOKUP($C161,$A$10:$J$89,9,FALSE)*$E161))))))</x:f>
      </x:c>
      <x:c r="K161" s="25" t="str">
        <x:f>IF($A161="","",IF(AND($C161="",$E161=""),"",IF($E161="","brak danych",IF($E161=0,0,IF(COUNTIFS($A$10:$A$89,$C161)&lt;&gt;1,"brak danych",IF(COUNTIFS($A$10:$A$89,$C161,$J$10:$J$89,"&lt;&gt;")=0,"brak danych",VLOOKUP($C161,$A$10:$J$89,10,FALSE)*$E161))))))</x:f>
      </x:c>
      <x:c r="L161" s="24" t="str">
        <x:f>IF($A161="","",IF($F161="","",IF($F161=0,0,IF(COUNTIFS($A$10:$A$89,$C161)&lt;&gt;1,"brak danych",IF(COUNTIFS($A$10:$A$89,$C161,$F$10:$F$89,"&lt;&gt;")=0,"brak danych",VLOOKUP($C161,$A$10:$J$89,6,FALSE)*$F161)))))</x:f>
      </x:c>
      <x:c r="M161" s="25" t="str">
        <x:f>IF($A161="","",IF($F161="","",IF($F161=0,0,IF(COUNTIFS($A$10:$A$89,$C161)&lt;&gt;1,"brak danych",IF(COUNTIFS($A$10:$A$89,$C161,$G$10:$G$89,"&lt;&gt;")=0,"brak danych",VLOOKUP($C161,$A$10:$J$89,7,FALSE)*$F161)))))</x:f>
      </x:c>
      <x:c r="N161" s="25" t="str">
        <x:f>IF($A161="","",IF($F161="","",IF($F161=0,0,IF(COUNTIFS($A$10:$A$89,$C161)&lt;&gt;1,"brak danych",IF(COUNTIFS($A$10:$A$89,$C161,$H$10:$H$89,"&lt;&gt;")=0,"brak danych",VLOOKUP($C161,$A$10:$J$89,8,FALSE)*$F161)))))</x:f>
      </x:c>
      <x:c r="O161" s="25" t="str">
        <x:f>IF($A161="","",IF($F161="","",IF($F161=0,0,IF(COUNTIFS($A$10:$A$89,$C161)&lt;&gt;1,"brak danych",IF(COUNTIFS($A$10:$A$89,$C161,$I$10:$I$89,"&lt;&gt;")=0,"brak danych",VLOOKUP($C161,$A$10:$J$89,9,FALSE)*$F161)))))</x:f>
      </x:c>
      <x:c r="P161" s="25" t="str">
        <x:f>IF($A161="","",IF($F161="","",IF($F161=0,0,IF(COUNTIFS($A$10:$A$89,$C161)&lt;&gt;1,"brak danych",IF(COUNTIFS($A$10:$A$89,$C161,$J$10:$J$89,"&lt;&gt;")=0,"brak danych",VLOOKUP($C161,$A$10:$J$89,10,FALSE)*$F161)))))</x:f>
      </x:c>
      <x:c r="Q161" s="18"/>
    </x:row>
    <x:row r="162" ht="25" customHeight="1">
      <x:c r="A162" s="6"/>
      <x:c r="B162" s="30"/>
      <x:c r="C162" s="5"/>
      <x:c r="D162" s="5"/>
      <x:c r="E162" s="32"/>
      <x:c r="F162" s="32"/>
      <x:c r="G162" s="24" t="str">
        <x:f>IF($A162="","",IF(AND($C162="",$E162=""),"",IF($E162="","brak danych",IF($E162=0,0,IF(COUNTIFS($A$10:$A$89,$C162)&lt;&gt;1,"brak danych",IF(COUNTIFS($A$10:$A$89,$C162,$F$10:$F$89,"&lt;&gt;")=0,"brak danych",VLOOKUP($C162,$A$10:$J$89,6,FALSE)*$E162))))))</x:f>
      </x:c>
      <x:c r="H162" s="25" t="str">
        <x:f>IF($A162="","",IF(AND($C162="",$E162=""),"",IF($E162="","brak danych",IF($E162=0,0,IF(COUNTIFS($A$10:$A$89,$C162)&lt;&gt;1,"brak danych",IF(COUNTIFS($A$10:$A$89,$C162,$G$10:$G$89,"&lt;&gt;")=0,"brak danych",VLOOKUP($C162,$A$10:$J$89,7,FALSE)*$E162))))))</x:f>
      </x:c>
      <x:c r="I162" s="25" t="str">
        <x:f>IF($A162="","",IF(AND($C162="",$E162=""),"",IF($E162="","brak danych",IF($E162=0,0,IF(COUNTIFS($A$10:$A$89,$C162)&lt;&gt;1,"brak danych",IF(COUNTIFS($A$10:$A$89,$C162,$H$10:$H$89,"&lt;&gt;")=0,"brak danych",VLOOKUP($C162,$A$10:$J$89,8,FALSE)*$E162))))))</x:f>
      </x:c>
      <x:c r="J162" s="25" t="str">
        <x:f>IF($A162="","",IF(AND($C162="",$E162=""),"",IF($E162="","brak danych",IF($E162=0,0,IF(COUNTIFS($A$10:$A$89,$C162)&lt;&gt;1,"brak danych",IF(COUNTIFS($A$10:$A$89,$C162,$I$10:$I$89,"&lt;&gt;")=0,"brak danych",VLOOKUP($C162,$A$10:$J$89,9,FALSE)*$E162))))))</x:f>
      </x:c>
      <x:c r="K162" s="25" t="str">
        <x:f>IF($A162="","",IF(AND($C162="",$E162=""),"",IF($E162="","brak danych",IF($E162=0,0,IF(COUNTIFS($A$10:$A$89,$C162)&lt;&gt;1,"brak danych",IF(COUNTIFS($A$10:$A$89,$C162,$J$10:$J$89,"&lt;&gt;")=0,"brak danych",VLOOKUP($C162,$A$10:$J$89,10,FALSE)*$E162))))))</x:f>
      </x:c>
      <x:c r="L162" s="24" t="str">
        <x:f>IF($A162="","",IF($F162="","",IF($F162=0,0,IF(COUNTIFS($A$10:$A$89,$C162)&lt;&gt;1,"brak danych",IF(COUNTIFS($A$10:$A$89,$C162,$F$10:$F$89,"&lt;&gt;")=0,"brak danych",VLOOKUP($C162,$A$10:$J$89,6,FALSE)*$F162)))))</x:f>
      </x:c>
      <x:c r="M162" s="25" t="str">
        <x:f>IF($A162="","",IF($F162="","",IF($F162=0,0,IF(COUNTIFS($A$10:$A$89,$C162)&lt;&gt;1,"brak danych",IF(COUNTIFS($A$10:$A$89,$C162,$G$10:$G$89,"&lt;&gt;")=0,"brak danych",VLOOKUP($C162,$A$10:$J$89,7,FALSE)*$F162)))))</x:f>
      </x:c>
      <x:c r="N162" s="25" t="str">
        <x:f>IF($A162="","",IF($F162="","",IF($F162=0,0,IF(COUNTIFS($A$10:$A$89,$C162)&lt;&gt;1,"brak danych",IF(COUNTIFS($A$10:$A$89,$C162,$H$10:$H$89,"&lt;&gt;")=0,"brak danych",VLOOKUP($C162,$A$10:$J$89,8,FALSE)*$F162)))))</x:f>
      </x:c>
      <x:c r="O162" s="25" t="str">
        <x:f>IF($A162="","",IF($F162="","",IF($F162=0,0,IF(COUNTIFS($A$10:$A$89,$C162)&lt;&gt;1,"brak danych",IF(COUNTIFS($A$10:$A$89,$C162,$I$10:$I$89,"&lt;&gt;")=0,"brak danych",VLOOKUP($C162,$A$10:$J$89,9,FALSE)*$F162)))))</x:f>
      </x:c>
      <x:c r="P162" s="25" t="str">
        <x:f>IF($A162="","",IF($F162="","",IF($F162=0,0,IF(COUNTIFS($A$10:$A$89,$C162)&lt;&gt;1,"brak danych",IF(COUNTIFS($A$10:$A$89,$C162,$J$10:$J$89,"&lt;&gt;")=0,"brak danych",VLOOKUP($C162,$A$10:$J$89,10,FALSE)*$F162)))))</x:f>
      </x:c>
      <x:c r="Q162" s="18"/>
    </x:row>
    <x:row r="163" ht="25" customHeight="1">
      <x:c r="A163" s="6"/>
      <x:c r="B163" s="30"/>
      <x:c r="C163" s="5"/>
      <x:c r="D163" s="5"/>
      <x:c r="E163" s="32"/>
      <x:c r="F163" s="32"/>
      <x:c r="G163" s="24" t="str">
        <x:f>IF($A163="","",IF(AND($C163="",$E163=""),"",IF($E163="","brak danych",IF($E163=0,0,IF(COUNTIFS($A$10:$A$89,$C163)&lt;&gt;1,"brak danych",IF(COUNTIFS($A$10:$A$89,$C163,$F$10:$F$89,"&lt;&gt;")=0,"brak danych",VLOOKUP($C163,$A$10:$J$89,6,FALSE)*$E163))))))</x:f>
      </x:c>
      <x:c r="H163" s="25" t="str">
        <x:f>IF($A163="","",IF(AND($C163="",$E163=""),"",IF($E163="","brak danych",IF($E163=0,0,IF(COUNTIFS($A$10:$A$89,$C163)&lt;&gt;1,"brak danych",IF(COUNTIFS($A$10:$A$89,$C163,$G$10:$G$89,"&lt;&gt;")=0,"brak danych",VLOOKUP($C163,$A$10:$J$89,7,FALSE)*$E163))))))</x:f>
      </x:c>
      <x:c r="I163" s="25" t="str">
        <x:f>IF($A163="","",IF(AND($C163="",$E163=""),"",IF($E163="","brak danych",IF($E163=0,0,IF(COUNTIFS($A$10:$A$89,$C163)&lt;&gt;1,"brak danych",IF(COUNTIFS($A$10:$A$89,$C163,$H$10:$H$89,"&lt;&gt;")=0,"brak danych",VLOOKUP($C163,$A$10:$J$89,8,FALSE)*$E163))))))</x:f>
      </x:c>
      <x:c r="J163" s="25" t="str">
        <x:f>IF($A163="","",IF(AND($C163="",$E163=""),"",IF($E163="","brak danych",IF($E163=0,0,IF(COUNTIFS($A$10:$A$89,$C163)&lt;&gt;1,"brak danych",IF(COUNTIFS($A$10:$A$89,$C163,$I$10:$I$89,"&lt;&gt;")=0,"brak danych",VLOOKUP($C163,$A$10:$J$89,9,FALSE)*$E163))))))</x:f>
      </x:c>
      <x:c r="K163" s="25" t="str">
        <x:f>IF($A163="","",IF(AND($C163="",$E163=""),"",IF($E163="","brak danych",IF($E163=0,0,IF(COUNTIFS($A$10:$A$89,$C163)&lt;&gt;1,"brak danych",IF(COUNTIFS($A$10:$A$89,$C163,$J$10:$J$89,"&lt;&gt;")=0,"brak danych",VLOOKUP($C163,$A$10:$J$89,10,FALSE)*$E163))))))</x:f>
      </x:c>
      <x:c r="L163" s="24" t="str">
        <x:f>IF($A163="","",IF($F163="","",IF($F163=0,0,IF(COUNTIFS($A$10:$A$89,$C163)&lt;&gt;1,"brak danych",IF(COUNTIFS($A$10:$A$89,$C163,$F$10:$F$89,"&lt;&gt;")=0,"brak danych",VLOOKUP($C163,$A$10:$J$89,6,FALSE)*$F163)))))</x:f>
      </x:c>
      <x:c r="M163" s="25" t="str">
        <x:f>IF($A163="","",IF($F163="","",IF($F163=0,0,IF(COUNTIFS($A$10:$A$89,$C163)&lt;&gt;1,"brak danych",IF(COUNTIFS($A$10:$A$89,$C163,$G$10:$G$89,"&lt;&gt;")=0,"brak danych",VLOOKUP($C163,$A$10:$J$89,7,FALSE)*$F163)))))</x:f>
      </x:c>
      <x:c r="N163" s="25" t="str">
        <x:f>IF($A163="","",IF($F163="","",IF($F163=0,0,IF(COUNTIFS($A$10:$A$89,$C163)&lt;&gt;1,"brak danych",IF(COUNTIFS($A$10:$A$89,$C163,$H$10:$H$89,"&lt;&gt;")=0,"brak danych",VLOOKUP($C163,$A$10:$J$89,8,FALSE)*$F163)))))</x:f>
      </x:c>
      <x:c r="O163" s="25" t="str">
        <x:f>IF($A163="","",IF($F163="","",IF($F163=0,0,IF(COUNTIFS($A$10:$A$89,$C163)&lt;&gt;1,"brak danych",IF(COUNTIFS($A$10:$A$89,$C163,$I$10:$I$89,"&lt;&gt;")=0,"brak danych",VLOOKUP($C163,$A$10:$J$89,9,FALSE)*$F163)))))</x:f>
      </x:c>
      <x:c r="P163" s="25" t="str">
        <x:f>IF($A163="","",IF($F163="","",IF($F163=0,0,IF(COUNTIFS($A$10:$A$89,$C163)&lt;&gt;1,"brak danych",IF(COUNTIFS($A$10:$A$89,$C163,$J$10:$J$89,"&lt;&gt;")=0,"brak danych",VLOOKUP($C163,$A$10:$J$89,10,FALSE)*$F163)))))</x:f>
      </x:c>
      <x:c r="Q163" s="18"/>
    </x:row>
    <x:row r="164" ht="25" customHeight="1">
      <x:c r="A164" s="6"/>
      <x:c r="B164" s="30"/>
      <x:c r="C164" s="5"/>
      <x:c r="D164" s="5"/>
      <x:c r="E164" s="32"/>
      <x:c r="F164" s="32"/>
      <x:c r="G164" s="24" t="str">
        <x:f>IF($A164="","",IF(AND($C164="",$E164=""),"",IF($E164="","brak danych",IF($E164=0,0,IF(COUNTIFS($A$10:$A$89,$C164)&lt;&gt;1,"brak danych",IF(COUNTIFS($A$10:$A$89,$C164,$F$10:$F$89,"&lt;&gt;")=0,"brak danych",VLOOKUP($C164,$A$10:$J$89,6,FALSE)*$E164))))))</x:f>
      </x:c>
      <x:c r="H164" s="25" t="str">
        <x:f>IF($A164="","",IF(AND($C164="",$E164=""),"",IF($E164="","brak danych",IF($E164=0,0,IF(COUNTIFS($A$10:$A$89,$C164)&lt;&gt;1,"brak danych",IF(COUNTIFS($A$10:$A$89,$C164,$G$10:$G$89,"&lt;&gt;")=0,"brak danych",VLOOKUP($C164,$A$10:$J$89,7,FALSE)*$E164))))))</x:f>
      </x:c>
      <x:c r="I164" s="25" t="str">
        <x:f>IF($A164="","",IF(AND($C164="",$E164=""),"",IF($E164="","brak danych",IF($E164=0,0,IF(COUNTIFS($A$10:$A$89,$C164)&lt;&gt;1,"brak danych",IF(COUNTIFS($A$10:$A$89,$C164,$H$10:$H$89,"&lt;&gt;")=0,"brak danych",VLOOKUP($C164,$A$10:$J$89,8,FALSE)*$E164))))))</x:f>
      </x:c>
      <x:c r="J164" s="25" t="str">
        <x:f>IF($A164="","",IF(AND($C164="",$E164=""),"",IF($E164="","brak danych",IF($E164=0,0,IF(COUNTIFS($A$10:$A$89,$C164)&lt;&gt;1,"brak danych",IF(COUNTIFS($A$10:$A$89,$C164,$I$10:$I$89,"&lt;&gt;")=0,"brak danych",VLOOKUP($C164,$A$10:$J$89,9,FALSE)*$E164))))))</x:f>
      </x:c>
      <x:c r="K164" s="25" t="str">
        <x:f>IF($A164="","",IF(AND($C164="",$E164=""),"",IF($E164="","brak danych",IF($E164=0,0,IF(COUNTIFS($A$10:$A$89,$C164)&lt;&gt;1,"brak danych",IF(COUNTIFS($A$10:$A$89,$C164,$J$10:$J$89,"&lt;&gt;")=0,"brak danych",VLOOKUP($C164,$A$10:$J$89,10,FALSE)*$E164))))))</x:f>
      </x:c>
      <x:c r="L164" s="24" t="str">
        <x:f>IF($A164="","",IF($F164="","",IF($F164=0,0,IF(COUNTIFS($A$10:$A$89,$C164)&lt;&gt;1,"brak danych",IF(COUNTIFS($A$10:$A$89,$C164,$F$10:$F$89,"&lt;&gt;")=0,"brak danych",VLOOKUP($C164,$A$10:$J$89,6,FALSE)*$F164)))))</x:f>
      </x:c>
      <x:c r="M164" s="25" t="str">
        <x:f>IF($A164="","",IF($F164="","",IF($F164=0,0,IF(COUNTIFS($A$10:$A$89,$C164)&lt;&gt;1,"brak danych",IF(COUNTIFS($A$10:$A$89,$C164,$G$10:$G$89,"&lt;&gt;")=0,"brak danych",VLOOKUP($C164,$A$10:$J$89,7,FALSE)*$F164)))))</x:f>
      </x:c>
      <x:c r="N164" s="25" t="str">
        <x:f>IF($A164="","",IF($F164="","",IF($F164=0,0,IF(COUNTIFS($A$10:$A$89,$C164)&lt;&gt;1,"brak danych",IF(COUNTIFS($A$10:$A$89,$C164,$H$10:$H$89,"&lt;&gt;")=0,"brak danych",VLOOKUP($C164,$A$10:$J$89,8,FALSE)*$F164)))))</x:f>
      </x:c>
      <x:c r="O164" s="25" t="str">
        <x:f>IF($A164="","",IF($F164="","",IF($F164=0,0,IF(COUNTIFS($A$10:$A$89,$C164)&lt;&gt;1,"brak danych",IF(COUNTIFS($A$10:$A$89,$C164,$I$10:$I$89,"&lt;&gt;")=0,"brak danych",VLOOKUP($C164,$A$10:$J$89,9,FALSE)*$F164)))))</x:f>
      </x:c>
      <x:c r="P164" s="25" t="str">
        <x:f>IF($A164="","",IF($F164="","",IF($F164=0,0,IF(COUNTIFS($A$10:$A$89,$C164)&lt;&gt;1,"brak danych",IF(COUNTIFS($A$10:$A$89,$C164,$J$10:$J$89,"&lt;&gt;")=0,"brak danych",VLOOKUP($C164,$A$10:$J$89,10,FALSE)*$F164)))))</x:f>
      </x:c>
      <x:c r="Q164" s="18"/>
    </x:row>
    <x:row r="165" ht="25" customHeight="1">
      <x:c r="A165" s="6"/>
      <x:c r="B165" s="30"/>
      <x:c r="C165" s="5"/>
      <x:c r="D165" s="5"/>
      <x:c r="E165" s="32"/>
      <x:c r="F165" s="32"/>
      <x:c r="G165" s="24" t="str">
        <x:f>IF($A165="","",IF(AND($C165="",$E165=""),"",IF($E165="","brak danych",IF($E165=0,0,IF(COUNTIFS($A$10:$A$89,$C165)&lt;&gt;1,"brak danych",IF(COUNTIFS($A$10:$A$89,$C165,$F$10:$F$89,"&lt;&gt;")=0,"brak danych",VLOOKUP($C165,$A$10:$J$89,6,FALSE)*$E165))))))</x:f>
      </x:c>
      <x:c r="H165" s="25" t="str">
        <x:f>IF($A165="","",IF(AND($C165="",$E165=""),"",IF($E165="","brak danych",IF($E165=0,0,IF(COUNTIFS($A$10:$A$89,$C165)&lt;&gt;1,"brak danych",IF(COUNTIFS($A$10:$A$89,$C165,$G$10:$G$89,"&lt;&gt;")=0,"brak danych",VLOOKUP($C165,$A$10:$J$89,7,FALSE)*$E165))))))</x:f>
      </x:c>
      <x:c r="I165" s="25" t="str">
        <x:f>IF($A165="","",IF(AND($C165="",$E165=""),"",IF($E165="","brak danych",IF($E165=0,0,IF(COUNTIFS($A$10:$A$89,$C165)&lt;&gt;1,"brak danych",IF(COUNTIFS($A$10:$A$89,$C165,$H$10:$H$89,"&lt;&gt;")=0,"brak danych",VLOOKUP($C165,$A$10:$J$89,8,FALSE)*$E165))))))</x:f>
      </x:c>
      <x:c r="J165" s="25" t="str">
        <x:f>IF($A165="","",IF(AND($C165="",$E165=""),"",IF($E165="","brak danych",IF($E165=0,0,IF(COUNTIFS($A$10:$A$89,$C165)&lt;&gt;1,"brak danych",IF(COUNTIFS($A$10:$A$89,$C165,$I$10:$I$89,"&lt;&gt;")=0,"brak danych",VLOOKUP($C165,$A$10:$J$89,9,FALSE)*$E165))))))</x:f>
      </x:c>
      <x:c r="K165" s="25" t="str">
        <x:f>IF($A165="","",IF(AND($C165="",$E165=""),"",IF($E165="","brak danych",IF($E165=0,0,IF(COUNTIFS($A$10:$A$89,$C165)&lt;&gt;1,"brak danych",IF(COUNTIFS($A$10:$A$89,$C165,$J$10:$J$89,"&lt;&gt;")=0,"brak danych",VLOOKUP($C165,$A$10:$J$89,10,FALSE)*$E165))))))</x:f>
      </x:c>
      <x:c r="L165" s="24" t="str">
        <x:f>IF($A165="","",IF($F165="","",IF($F165=0,0,IF(COUNTIFS($A$10:$A$89,$C165)&lt;&gt;1,"brak danych",IF(COUNTIFS($A$10:$A$89,$C165,$F$10:$F$89,"&lt;&gt;")=0,"brak danych",VLOOKUP($C165,$A$10:$J$89,6,FALSE)*$F165)))))</x:f>
      </x:c>
      <x:c r="M165" s="25" t="str">
        <x:f>IF($A165="","",IF($F165="","",IF($F165=0,0,IF(COUNTIFS($A$10:$A$89,$C165)&lt;&gt;1,"brak danych",IF(COUNTIFS($A$10:$A$89,$C165,$G$10:$G$89,"&lt;&gt;")=0,"brak danych",VLOOKUP($C165,$A$10:$J$89,7,FALSE)*$F165)))))</x:f>
      </x:c>
      <x:c r="N165" s="25" t="str">
        <x:f>IF($A165="","",IF($F165="","",IF($F165=0,0,IF(COUNTIFS($A$10:$A$89,$C165)&lt;&gt;1,"brak danych",IF(COUNTIFS($A$10:$A$89,$C165,$H$10:$H$89,"&lt;&gt;")=0,"brak danych",VLOOKUP($C165,$A$10:$J$89,8,FALSE)*$F165)))))</x:f>
      </x:c>
      <x:c r="O165" s="25" t="str">
        <x:f>IF($A165="","",IF($F165="","",IF($F165=0,0,IF(COUNTIFS($A$10:$A$89,$C165)&lt;&gt;1,"brak danych",IF(COUNTIFS($A$10:$A$89,$C165,$I$10:$I$89,"&lt;&gt;")=0,"brak danych",VLOOKUP($C165,$A$10:$J$89,9,FALSE)*$F165)))))</x:f>
      </x:c>
      <x:c r="P165" s="25" t="str">
        <x:f>IF($A165="","",IF($F165="","",IF($F165=0,0,IF(COUNTIFS($A$10:$A$89,$C165)&lt;&gt;1,"brak danych",IF(COUNTIFS($A$10:$A$89,$C165,$J$10:$J$89,"&lt;&gt;")=0,"brak danych",VLOOKUP($C165,$A$10:$J$89,10,FALSE)*$F165)))))</x:f>
      </x:c>
      <x:c r="Q165" s="18"/>
    </x:row>
    <x:row r="166" ht="25" customHeight="1">
      <x:c r="A166" s="6"/>
      <x:c r="B166" s="30"/>
      <x:c r="C166" s="5"/>
      <x:c r="D166" s="5"/>
      <x:c r="E166" s="32"/>
      <x:c r="F166" s="32"/>
      <x:c r="G166" s="24" t="str">
        <x:f>IF($A166="","",IF(AND($C166="",$E166=""),"",IF($E166="","brak danych",IF($E166=0,0,IF(COUNTIFS($A$10:$A$89,$C166)&lt;&gt;1,"brak danych",IF(COUNTIFS($A$10:$A$89,$C166,$F$10:$F$89,"&lt;&gt;")=0,"brak danych",VLOOKUP($C166,$A$10:$J$89,6,FALSE)*$E166))))))</x:f>
      </x:c>
      <x:c r="H166" s="25" t="str">
        <x:f>IF($A166="","",IF(AND($C166="",$E166=""),"",IF($E166="","brak danych",IF($E166=0,0,IF(COUNTIFS($A$10:$A$89,$C166)&lt;&gt;1,"brak danych",IF(COUNTIFS($A$10:$A$89,$C166,$G$10:$G$89,"&lt;&gt;")=0,"brak danych",VLOOKUP($C166,$A$10:$J$89,7,FALSE)*$E166))))))</x:f>
      </x:c>
      <x:c r="I166" s="25" t="str">
        <x:f>IF($A166="","",IF(AND($C166="",$E166=""),"",IF($E166="","brak danych",IF($E166=0,0,IF(COUNTIFS($A$10:$A$89,$C166)&lt;&gt;1,"brak danych",IF(COUNTIFS($A$10:$A$89,$C166,$H$10:$H$89,"&lt;&gt;")=0,"brak danych",VLOOKUP($C166,$A$10:$J$89,8,FALSE)*$E166))))))</x:f>
      </x:c>
      <x:c r="J166" s="25" t="str">
        <x:f>IF($A166="","",IF(AND($C166="",$E166=""),"",IF($E166="","brak danych",IF($E166=0,0,IF(COUNTIFS($A$10:$A$89,$C166)&lt;&gt;1,"brak danych",IF(COUNTIFS($A$10:$A$89,$C166,$I$10:$I$89,"&lt;&gt;")=0,"brak danych",VLOOKUP($C166,$A$10:$J$89,9,FALSE)*$E166))))))</x:f>
      </x:c>
      <x:c r="K166" s="25" t="str">
        <x:f>IF($A166="","",IF(AND($C166="",$E166=""),"",IF($E166="","brak danych",IF($E166=0,0,IF(COUNTIFS($A$10:$A$89,$C166)&lt;&gt;1,"brak danych",IF(COUNTIFS($A$10:$A$89,$C166,$J$10:$J$89,"&lt;&gt;")=0,"brak danych",VLOOKUP($C166,$A$10:$J$89,10,FALSE)*$E166))))))</x:f>
      </x:c>
      <x:c r="L166" s="24" t="str">
        <x:f>IF($A166="","",IF($F166="","",IF($F166=0,0,IF(COUNTIFS($A$10:$A$89,$C166)&lt;&gt;1,"brak danych",IF(COUNTIFS($A$10:$A$89,$C166,$F$10:$F$89,"&lt;&gt;")=0,"brak danych",VLOOKUP($C166,$A$10:$J$89,6,FALSE)*$F166)))))</x:f>
      </x:c>
      <x:c r="M166" s="25" t="str">
        <x:f>IF($A166="","",IF($F166="","",IF($F166=0,0,IF(COUNTIFS($A$10:$A$89,$C166)&lt;&gt;1,"brak danych",IF(COUNTIFS($A$10:$A$89,$C166,$G$10:$G$89,"&lt;&gt;")=0,"brak danych",VLOOKUP($C166,$A$10:$J$89,7,FALSE)*$F166)))))</x:f>
      </x:c>
      <x:c r="N166" s="25" t="str">
        <x:f>IF($A166="","",IF($F166="","",IF($F166=0,0,IF(COUNTIFS($A$10:$A$89,$C166)&lt;&gt;1,"brak danych",IF(COUNTIFS($A$10:$A$89,$C166,$H$10:$H$89,"&lt;&gt;")=0,"brak danych",VLOOKUP($C166,$A$10:$J$89,8,FALSE)*$F166)))))</x:f>
      </x:c>
      <x:c r="O166" s="25" t="str">
        <x:f>IF($A166="","",IF($F166="","",IF($F166=0,0,IF(COUNTIFS($A$10:$A$89,$C166)&lt;&gt;1,"brak danych",IF(COUNTIFS($A$10:$A$89,$C166,$I$10:$I$89,"&lt;&gt;")=0,"brak danych",VLOOKUP($C166,$A$10:$J$89,9,FALSE)*$F166)))))</x:f>
      </x:c>
      <x:c r="P166" s="25" t="str">
        <x:f>IF($A166="","",IF($F166="","",IF($F166=0,0,IF(COUNTIFS($A$10:$A$89,$C166)&lt;&gt;1,"brak danych",IF(COUNTIFS($A$10:$A$89,$C166,$J$10:$J$89,"&lt;&gt;")=0,"brak danych",VLOOKUP($C166,$A$10:$J$89,10,FALSE)*$F166)))))</x:f>
      </x:c>
      <x:c r="Q166" s="18"/>
    </x:row>
    <x:row r="167" ht="25" customHeight="1">
      <x:c r="A167" s="6"/>
      <x:c r="B167" s="30"/>
      <x:c r="C167" s="5"/>
      <x:c r="D167" s="5"/>
      <x:c r="E167" s="32"/>
      <x:c r="F167" s="32"/>
      <x:c r="G167" s="24" t="str">
        <x:f>IF($A167="","",IF(AND($C167="",$E167=""),"",IF($E167="","brak danych",IF($E167=0,0,IF(COUNTIFS($A$10:$A$89,$C167)&lt;&gt;1,"brak danych",IF(COUNTIFS($A$10:$A$89,$C167,$F$10:$F$89,"&lt;&gt;")=0,"brak danych",VLOOKUP($C167,$A$10:$J$89,6,FALSE)*$E167))))))</x:f>
      </x:c>
      <x:c r="H167" s="25" t="str">
        <x:f>IF($A167="","",IF(AND($C167="",$E167=""),"",IF($E167="","brak danych",IF($E167=0,0,IF(COUNTIFS($A$10:$A$89,$C167)&lt;&gt;1,"brak danych",IF(COUNTIFS($A$10:$A$89,$C167,$G$10:$G$89,"&lt;&gt;")=0,"brak danych",VLOOKUP($C167,$A$10:$J$89,7,FALSE)*$E167))))))</x:f>
      </x:c>
      <x:c r="I167" s="25" t="str">
        <x:f>IF($A167="","",IF(AND($C167="",$E167=""),"",IF($E167="","brak danych",IF($E167=0,0,IF(COUNTIFS($A$10:$A$89,$C167)&lt;&gt;1,"brak danych",IF(COUNTIFS($A$10:$A$89,$C167,$H$10:$H$89,"&lt;&gt;")=0,"brak danych",VLOOKUP($C167,$A$10:$J$89,8,FALSE)*$E167))))))</x:f>
      </x:c>
      <x:c r="J167" s="25" t="str">
        <x:f>IF($A167="","",IF(AND($C167="",$E167=""),"",IF($E167="","brak danych",IF($E167=0,0,IF(COUNTIFS($A$10:$A$89,$C167)&lt;&gt;1,"brak danych",IF(COUNTIFS($A$10:$A$89,$C167,$I$10:$I$89,"&lt;&gt;")=0,"brak danych",VLOOKUP($C167,$A$10:$J$89,9,FALSE)*$E167))))))</x:f>
      </x:c>
      <x:c r="K167" s="25" t="str">
        <x:f>IF($A167="","",IF(AND($C167="",$E167=""),"",IF($E167="","brak danych",IF($E167=0,0,IF(COUNTIFS($A$10:$A$89,$C167)&lt;&gt;1,"brak danych",IF(COUNTIFS($A$10:$A$89,$C167,$J$10:$J$89,"&lt;&gt;")=0,"brak danych",VLOOKUP($C167,$A$10:$J$89,10,FALSE)*$E167))))))</x:f>
      </x:c>
      <x:c r="L167" s="24" t="str">
        <x:f>IF($A167="","",IF($F167="","",IF($F167=0,0,IF(COUNTIFS($A$10:$A$89,$C167)&lt;&gt;1,"brak danych",IF(COUNTIFS($A$10:$A$89,$C167,$F$10:$F$89,"&lt;&gt;")=0,"brak danych",VLOOKUP($C167,$A$10:$J$89,6,FALSE)*$F167)))))</x:f>
      </x:c>
      <x:c r="M167" s="25" t="str">
        <x:f>IF($A167="","",IF($F167="","",IF($F167=0,0,IF(COUNTIFS($A$10:$A$89,$C167)&lt;&gt;1,"brak danych",IF(COUNTIFS($A$10:$A$89,$C167,$G$10:$G$89,"&lt;&gt;")=0,"brak danych",VLOOKUP($C167,$A$10:$J$89,7,FALSE)*$F167)))))</x:f>
      </x:c>
      <x:c r="N167" s="25" t="str">
        <x:f>IF($A167="","",IF($F167="","",IF($F167=0,0,IF(COUNTIFS($A$10:$A$89,$C167)&lt;&gt;1,"brak danych",IF(COUNTIFS($A$10:$A$89,$C167,$H$10:$H$89,"&lt;&gt;")=0,"brak danych",VLOOKUP($C167,$A$10:$J$89,8,FALSE)*$F167)))))</x:f>
      </x:c>
      <x:c r="O167" s="25" t="str">
        <x:f>IF($A167="","",IF($F167="","",IF($F167=0,0,IF(COUNTIFS($A$10:$A$89,$C167)&lt;&gt;1,"brak danych",IF(COUNTIFS($A$10:$A$89,$C167,$I$10:$I$89,"&lt;&gt;")=0,"brak danych",VLOOKUP($C167,$A$10:$J$89,9,FALSE)*$F167)))))</x:f>
      </x:c>
      <x:c r="P167" s="25" t="str">
        <x:f>IF($A167="","",IF($F167="","",IF($F167=0,0,IF(COUNTIFS($A$10:$A$89,$C167)&lt;&gt;1,"brak danych",IF(COUNTIFS($A$10:$A$89,$C167,$J$10:$J$89,"&lt;&gt;")=0,"brak danych",VLOOKUP($C167,$A$10:$J$89,10,FALSE)*$F167)))))</x:f>
      </x:c>
      <x:c r="Q167" s="18"/>
    </x:row>
    <x:row r="168" ht="25" customHeight="1">
      <x:c r="A168" s="6"/>
      <x:c r="B168" s="30"/>
      <x:c r="C168" s="5"/>
      <x:c r="D168" s="5"/>
      <x:c r="E168" s="32"/>
      <x:c r="F168" s="32"/>
      <x:c r="G168" s="24" t="str">
        <x:f>IF($A168="","",IF(AND($C168="",$E168=""),"",IF($E168="","brak danych",IF($E168=0,0,IF(COUNTIFS($A$10:$A$89,$C168)&lt;&gt;1,"brak danych",IF(COUNTIFS($A$10:$A$89,$C168,$F$10:$F$89,"&lt;&gt;")=0,"brak danych",VLOOKUP($C168,$A$10:$J$89,6,FALSE)*$E168))))))</x:f>
      </x:c>
      <x:c r="H168" s="25" t="str">
        <x:f>IF($A168="","",IF(AND($C168="",$E168=""),"",IF($E168="","brak danych",IF($E168=0,0,IF(COUNTIFS($A$10:$A$89,$C168)&lt;&gt;1,"brak danych",IF(COUNTIFS($A$10:$A$89,$C168,$G$10:$G$89,"&lt;&gt;")=0,"brak danych",VLOOKUP($C168,$A$10:$J$89,7,FALSE)*$E168))))))</x:f>
      </x:c>
      <x:c r="I168" s="25" t="str">
        <x:f>IF($A168="","",IF(AND($C168="",$E168=""),"",IF($E168="","brak danych",IF($E168=0,0,IF(COUNTIFS($A$10:$A$89,$C168)&lt;&gt;1,"brak danych",IF(COUNTIFS($A$10:$A$89,$C168,$H$10:$H$89,"&lt;&gt;")=0,"brak danych",VLOOKUP($C168,$A$10:$J$89,8,FALSE)*$E168))))))</x:f>
      </x:c>
      <x:c r="J168" s="25" t="str">
        <x:f>IF($A168="","",IF(AND($C168="",$E168=""),"",IF($E168="","brak danych",IF($E168=0,0,IF(COUNTIFS($A$10:$A$89,$C168)&lt;&gt;1,"brak danych",IF(COUNTIFS($A$10:$A$89,$C168,$I$10:$I$89,"&lt;&gt;")=0,"brak danych",VLOOKUP($C168,$A$10:$J$89,9,FALSE)*$E168))))))</x:f>
      </x:c>
      <x:c r="K168" s="25" t="str">
        <x:f>IF($A168="","",IF(AND($C168="",$E168=""),"",IF($E168="","brak danych",IF($E168=0,0,IF(COUNTIFS($A$10:$A$89,$C168)&lt;&gt;1,"brak danych",IF(COUNTIFS($A$10:$A$89,$C168,$J$10:$J$89,"&lt;&gt;")=0,"brak danych",VLOOKUP($C168,$A$10:$J$89,10,FALSE)*$E168))))))</x:f>
      </x:c>
      <x:c r="L168" s="24" t="str">
        <x:f>IF($A168="","",IF($F168="","",IF($F168=0,0,IF(COUNTIFS($A$10:$A$89,$C168)&lt;&gt;1,"brak danych",IF(COUNTIFS($A$10:$A$89,$C168,$F$10:$F$89,"&lt;&gt;")=0,"brak danych",VLOOKUP($C168,$A$10:$J$89,6,FALSE)*$F168)))))</x:f>
      </x:c>
      <x:c r="M168" s="25" t="str">
        <x:f>IF($A168="","",IF($F168="","",IF($F168=0,0,IF(COUNTIFS($A$10:$A$89,$C168)&lt;&gt;1,"brak danych",IF(COUNTIFS($A$10:$A$89,$C168,$G$10:$G$89,"&lt;&gt;")=0,"brak danych",VLOOKUP($C168,$A$10:$J$89,7,FALSE)*$F168)))))</x:f>
      </x:c>
      <x:c r="N168" s="25" t="str">
        <x:f>IF($A168="","",IF($F168="","",IF($F168=0,0,IF(COUNTIFS($A$10:$A$89,$C168)&lt;&gt;1,"brak danych",IF(COUNTIFS($A$10:$A$89,$C168,$H$10:$H$89,"&lt;&gt;")=0,"brak danych",VLOOKUP($C168,$A$10:$J$89,8,FALSE)*$F168)))))</x:f>
      </x:c>
      <x:c r="O168" s="25" t="str">
        <x:f>IF($A168="","",IF($F168="","",IF($F168=0,0,IF(COUNTIFS($A$10:$A$89,$C168)&lt;&gt;1,"brak danych",IF(COUNTIFS($A$10:$A$89,$C168,$I$10:$I$89,"&lt;&gt;")=0,"brak danych",VLOOKUP($C168,$A$10:$J$89,9,FALSE)*$F168)))))</x:f>
      </x:c>
      <x:c r="P168" s="25" t="str">
        <x:f>IF($A168="","",IF($F168="","",IF($F168=0,0,IF(COUNTIFS($A$10:$A$89,$C168)&lt;&gt;1,"brak danych",IF(COUNTIFS($A$10:$A$89,$C168,$J$10:$J$89,"&lt;&gt;")=0,"brak danych",VLOOKUP($C168,$A$10:$J$89,10,FALSE)*$F168)))))</x:f>
      </x:c>
      <x:c r="Q168" s="18"/>
    </x:row>
    <x:row r="169" ht="25" customHeight="1">
      <x:c r="A169" s="6"/>
      <x:c r="B169" s="30"/>
      <x:c r="C169" s="5"/>
      <x:c r="D169" s="5"/>
      <x:c r="E169" s="32"/>
      <x:c r="F169" s="32"/>
      <x:c r="G169" s="24" t="str">
        <x:f>IF($A169="","",IF(AND($C169="",$E169=""),"",IF($E169="","brak danych",IF($E169=0,0,IF(COUNTIFS($A$10:$A$89,$C169)&lt;&gt;1,"brak danych",IF(COUNTIFS($A$10:$A$89,$C169,$F$10:$F$89,"&lt;&gt;")=0,"brak danych",VLOOKUP($C169,$A$10:$J$89,6,FALSE)*$E169))))))</x:f>
      </x:c>
      <x:c r="H169" s="25" t="str">
        <x:f>IF($A169="","",IF(AND($C169="",$E169=""),"",IF($E169="","brak danych",IF($E169=0,0,IF(COUNTIFS($A$10:$A$89,$C169)&lt;&gt;1,"brak danych",IF(COUNTIFS($A$10:$A$89,$C169,$G$10:$G$89,"&lt;&gt;")=0,"brak danych",VLOOKUP($C169,$A$10:$J$89,7,FALSE)*$E169))))))</x:f>
      </x:c>
      <x:c r="I169" s="25" t="str">
        <x:f>IF($A169="","",IF(AND($C169="",$E169=""),"",IF($E169="","brak danych",IF($E169=0,0,IF(COUNTIFS($A$10:$A$89,$C169)&lt;&gt;1,"brak danych",IF(COUNTIFS($A$10:$A$89,$C169,$H$10:$H$89,"&lt;&gt;")=0,"brak danych",VLOOKUP($C169,$A$10:$J$89,8,FALSE)*$E169))))))</x:f>
      </x:c>
      <x:c r="J169" s="25" t="str">
        <x:f>IF($A169="","",IF(AND($C169="",$E169=""),"",IF($E169="","brak danych",IF($E169=0,0,IF(COUNTIFS($A$10:$A$89,$C169)&lt;&gt;1,"brak danych",IF(COUNTIFS($A$10:$A$89,$C169,$I$10:$I$89,"&lt;&gt;")=0,"brak danych",VLOOKUP($C169,$A$10:$J$89,9,FALSE)*$E169))))))</x:f>
      </x:c>
      <x:c r="K169" s="25" t="str">
        <x:f>IF($A169="","",IF(AND($C169="",$E169=""),"",IF($E169="","brak danych",IF($E169=0,0,IF(COUNTIFS($A$10:$A$89,$C169)&lt;&gt;1,"brak danych",IF(COUNTIFS($A$10:$A$89,$C169,$J$10:$J$89,"&lt;&gt;")=0,"brak danych",VLOOKUP($C169,$A$10:$J$89,10,FALSE)*$E169))))))</x:f>
      </x:c>
      <x:c r="L169" s="24" t="str">
        <x:f>IF($A169="","",IF($F169="","",IF($F169=0,0,IF(COUNTIFS($A$10:$A$89,$C169)&lt;&gt;1,"brak danych",IF(COUNTIFS($A$10:$A$89,$C169,$F$10:$F$89,"&lt;&gt;")=0,"brak danych",VLOOKUP($C169,$A$10:$J$89,6,FALSE)*$F169)))))</x:f>
      </x:c>
      <x:c r="M169" s="25" t="str">
        <x:f>IF($A169="","",IF($F169="","",IF($F169=0,0,IF(COUNTIFS($A$10:$A$89,$C169)&lt;&gt;1,"brak danych",IF(COUNTIFS($A$10:$A$89,$C169,$G$10:$G$89,"&lt;&gt;")=0,"brak danych",VLOOKUP($C169,$A$10:$J$89,7,FALSE)*$F169)))))</x:f>
      </x:c>
      <x:c r="N169" s="25" t="str">
        <x:f>IF($A169="","",IF($F169="","",IF($F169=0,0,IF(COUNTIFS($A$10:$A$89,$C169)&lt;&gt;1,"brak danych",IF(COUNTIFS($A$10:$A$89,$C169,$H$10:$H$89,"&lt;&gt;")=0,"brak danych",VLOOKUP($C169,$A$10:$J$89,8,FALSE)*$F169)))))</x:f>
      </x:c>
      <x:c r="O169" s="25" t="str">
        <x:f>IF($A169="","",IF($F169="","",IF($F169=0,0,IF(COUNTIFS($A$10:$A$89,$C169)&lt;&gt;1,"brak danych",IF(COUNTIFS($A$10:$A$89,$C169,$I$10:$I$89,"&lt;&gt;")=0,"brak danych",VLOOKUP($C169,$A$10:$J$89,9,FALSE)*$F169)))))</x:f>
      </x:c>
      <x:c r="P169" s="25" t="str">
        <x:f>IF($A169="","",IF($F169="","",IF($F169=0,0,IF(COUNTIFS($A$10:$A$89,$C169)&lt;&gt;1,"brak danych",IF(COUNTIFS($A$10:$A$89,$C169,$J$10:$J$89,"&lt;&gt;")=0,"brak danych",VLOOKUP($C169,$A$10:$J$89,10,FALSE)*$F169)))))</x:f>
      </x:c>
      <x:c r="Q169" s="18"/>
    </x:row>
    <x:row r="170" ht="25" customHeight="1">
      <x:c r="A170" s="6"/>
      <x:c r="B170" s="30"/>
      <x:c r="C170" s="5"/>
      <x:c r="D170" s="5"/>
      <x:c r="E170" s="32"/>
      <x:c r="F170" s="32"/>
      <x:c r="G170" s="24" t="str">
        <x:f>IF($A170="","",IF(AND($C170="",$E170=""),"",IF($E170="","brak danych",IF($E170=0,0,IF(COUNTIFS($A$10:$A$89,$C170)&lt;&gt;1,"brak danych",IF(COUNTIFS($A$10:$A$89,$C170,$F$10:$F$89,"&lt;&gt;")=0,"brak danych",VLOOKUP($C170,$A$10:$J$89,6,FALSE)*$E170))))))</x:f>
      </x:c>
      <x:c r="H170" s="25" t="str">
        <x:f>IF($A170="","",IF(AND($C170="",$E170=""),"",IF($E170="","brak danych",IF($E170=0,0,IF(COUNTIFS($A$10:$A$89,$C170)&lt;&gt;1,"brak danych",IF(COUNTIFS($A$10:$A$89,$C170,$G$10:$G$89,"&lt;&gt;")=0,"brak danych",VLOOKUP($C170,$A$10:$J$89,7,FALSE)*$E170))))))</x:f>
      </x:c>
      <x:c r="I170" s="25" t="str">
        <x:f>IF($A170="","",IF(AND($C170="",$E170=""),"",IF($E170="","brak danych",IF($E170=0,0,IF(COUNTIFS($A$10:$A$89,$C170)&lt;&gt;1,"brak danych",IF(COUNTIFS($A$10:$A$89,$C170,$H$10:$H$89,"&lt;&gt;")=0,"brak danych",VLOOKUP($C170,$A$10:$J$89,8,FALSE)*$E170))))))</x:f>
      </x:c>
      <x:c r="J170" s="25" t="str">
        <x:f>IF($A170="","",IF(AND($C170="",$E170=""),"",IF($E170="","brak danych",IF($E170=0,0,IF(COUNTIFS($A$10:$A$89,$C170)&lt;&gt;1,"brak danych",IF(COUNTIFS($A$10:$A$89,$C170,$I$10:$I$89,"&lt;&gt;")=0,"brak danych",VLOOKUP($C170,$A$10:$J$89,9,FALSE)*$E170))))))</x:f>
      </x:c>
      <x:c r="K170" s="25" t="str">
        <x:f>IF($A170="","",IF(AND($C170="",$E170=""),"",IF($E170="","brak danych",IF($E170=0,0,IF(COUNTIFS($A$10:$A$89,$C170)&lt;&gt;1,"brak danych",IF(COUNTIFS($A$10:$A$89,$C170,$J$10:$J$89,"&lt;&gt;")=0,"brak danych",VLOOKUP($C170,$A$10:$J$89,10,FALSE)*$E170))))))</x:f>
      </x:c>
      <x:c r="L170" s="24" t="str">
        <x:f>IF($A170="","",IF($F170="","",IF($F170=0,0,IF(COUNTIFS($A$10:$A$89,$C170)&lt;&gt;1,"brak danych",IF(COUNTIFS($A$10:$A$89,$C170,$F$10:$F$89,"&lt;&gt;")=0,"brak danych",VLOOKUP($C170,$A$10:$J$89,6,FALSE)*$F170)))))</x:f>
      </x:c>
      <x:c r="M170" s="25" t="str">
        <x:f>IF($A170="","",IF($F170="","",IF($F170=0,0,IF(COUNTIFS($A$10:$A$89,$C170)&lt;&gt;1,"brak danych",IF(COUNTIFS($A$10:$A$89,$C170,$G$10:$G$89,"&lt;&gt;")=0,"brak danych",VLOOKUP($C170,$A$10:$J$89,7,FALSE)*$F170)))))</x:f>
      </x:c>
      <x:c r="N170" s="25" t="str">
        <x:f>IF($A170="","",IF($F170="","",IF($F170=0,0,IF(COUNTIFS($A$10:$A$89,$C170)&lt;&gt;1,"brak danych",IF(COUNTIFS($A$10:$A$89,$C170,$H$10:$H$89,"&lt;&gt;")=0,"brak danych",VLOOKUP($C170,$A$10:$J$89,8,FALSE)*$F170)))))</x:f>
      </x:c>
      <x:c r="O170" s="25" t="str">
        <x:f>IF($A170="","",IF($F170="","",IF($F170=0,0,IF(COUNTIFS($A$10:$A$89,$C170)&lt;&gt;1,"brak danych",IF(COUNTIFS($A$10:$A$89,$C170,$I$10:$I$89,"&lt;&gt;")=0,"brak danych",VLOOKUP($C170,$A$10:$J$89,9,FALSE)*$F170)))))</x:f>
      </x:c>
      <x:c r="P170" s="25" t="str">
        <x:f>IF($A170="","",IF($F170="","",IF($F170=0,0,IF(COUNTIFS($A$10:$A$89,$C170)&lt;&gt;1,"brak danych",IF(COUNTIFS($A$10:$A$89,$C170,$J$10:$J$89,"&lt;&gt;")=0,"brak danych",VLOOKUP($C170,$A$10:$J$89,10,FALSE)*$F170)))))</x:f>
      </x:c>
      <x:c r="Q170" s="18"/>
    </x:row>
    <x:row r="171" ht="25" customHeight="1">
      <x:c r="A171" s="6"/>
      <x:c r="B171" s="30"/>
      <x:c r="C171" s="5"/>
      <x:c r="D171" s="5"/>
      <x:c r="E171" s="32"/>
      <x:c r="F171" s="32"/>
      <x:c r="G171" s="24" t="str">
        <x:f>IF($A171="","",IF(AND($C171="",$E171=""),"",IF($E171="","brak danych",IF($E171=0,0,IF(COUNTIFS($A$10:$A$89,$C171)&lt;&gt;1,"brak danych",IF(COUNTIFS($A$10:$A$89,$C171,$F$10:$F$89,"&lt;&gt;")=0,"brak danych",VLOOKUP($C171,$A$10:$J$89,6,FALSE)*$E171))))))</x:f>
      </x:c>
      <x:c r="H171" s="25" t="str">
        <x:f>IF($A171="","",IF(AND($C171="",$E171=""),"",IF($E171="","brak danych",IF($E171=0,0,IF(COUNTIFS($A$10:$A$89,$C171)&lt;&gt;1,"brak danych",IF(COUNTIFS($A$10:$A$89,$C171,$G$10:$G$89,"&lt;&gt;")=0,"brak danych",VLOOKUP($C171,$A$10:$J$89,7,FALSE)*$E171))))))</x:f>
      </x:c>
      <x:c r="I171" s="25" t="str">
        <x:f>IF($A171="","",IF(AND($C171="",$E171=""),"",IF($E171="","brak danych",IF($E171=0,0,IF(COUNTIFS($A$10:$A$89,$C171)&lt;&gt;1,"brak danych",IF(COUNTIFS($A$10:$A$89,$C171,$H$10:$H$89,"&lt;&gt;")=0,"brak danych",VLOOKUP($C171,$A$10:$J$89,8,FALSE)*$E171))))))</x:f>
      </x:c>
      <x:c r="J171" s="25" t="str">
        <x:f>IF($A171="","",IF(AND($C171="",$E171=""),"",IF($E171="","brak danych",IF($E171=0,0,IF(COUNTIFS($A$10:$A$89,$C171)&lt;&gt;1,"brak danych",IF(COUNTIFS($A$10:$A$89,$C171,$I$10:$I$89,"&lt;&gt;")=0,"brak danych",VLOOKUP($C171,$A$10:$J$89,9,FALSE)*$E171))))))</x:f>
      </x:c>
      <x:c r="K171" s="25" t="str">
        <x:f>IF($A171="","",IF(AND($C171="",$E171=""),"",IF($E171="","brak danych",IF($E171=0,0,IF(COUNTIFS($A$10:$A$89,$C171)&lt;&gt;1,"brak danych",IF(COUNTIFS($A$10:$A$89,$C171,$J$10:$J$89,"&lt;&gt;")=0,"brak danych",VLOOKUP($C171,$A$10:$J$89,10,FALSE)*$E171))))))</x:f>
      </x:c>
      <x:c r="L171" s="24" t="str">
        <x:f>IF($A171="","",IF($F171="","",IF($F171=0,0,IF(COUNTIFS($A$10:$A$89,$C171)&lt;&gt;1,"brak danych",IF(COUNTIFS($A$10:$A$89,$C171,$F$10:$F$89,"&lt;&gt;")=0,"brak danych",VLOOKUP($C171,$A$10:$J$89,6,FALSE)*$F171)))))</x:f>
      </x:c>
      <x:c r="M171" s="25" t="str">
        <x:f>IF($A171="","",IF($F171="","",IF($F171=0,0,IF(COUNTIFS($A$10:$A$89,$C171)&lt;&gt;1,"brak danych",IF(COUNTIFS($A$10:$A$89,$C171,$G$10:$G$89,"&lt;&gt;")=0,"brak danych",VLOOKUP($C171,$A$10:$J$89,7,FALSE)*$F171)))))</x:f>
      </x:c>
      <x:c r="N171" s="25" t="str">
        <x:f>IF($A171="","",IF($F171="","",IF($F171=0,0,IF(COUNTIFS($A$10:$A$89,$C171)&lt;&gt;1,"brak danych",IF(COUNTIFS($A$10:$A$89,$C171,$H$10:$H$89,"&lt;&gt;")=0,"brak danych",VLOOKUP($C171,$A$10:$J$89,8,FALSE)*$F171)))))</x:f>
      </x:c>
      <x:c r="O171" s="25" t="str">
        <x:f>IF($A171="","",IF($F171="","",IF($F171=0,0,IF(COUNTIFS($A$10:$A$89,$C171)&lt;&gt;1,"brak danych",IF(COUNTIFS($A$10:$A$89,$C171,$I$10:$I$89,"&lt;&gt;")=0,"brak danych",VLOOKUP($C171,$A$10:$J$89,9,FALSE)*$F171)))))</x:f>
      </x:c>
      <x:c r="P171" s="25" t="str">
        <x:f>IF($A171="","",IF($F171="","",IF($F171=0,0,IF(COUNTIFS($A$10:$A$89,$C171)&lt;&gt;1,"brak danych",IF(COUNTIFS($A$10:$A$89,$C171,$J$10:$J$89,"&lt;&gt;")=0,"brak danych",VLOOKUP($C171,$A$10:$J$89,10,FALSE)*$F171)))))</x:f>
      </x:c>
      <x:c r="Q171" s="18"/>
    </x:row>
    <x:row r="172" ht="25" customHeight="1">
      <x:c r="A172" s="6"/>
      <x:c r="B172" s="30"/>
      <x:c r="C172" s="5"/>
      <x:c r="D172" s="5"/>
      <x:c r="E172" s="32"/>
      <x:c r="F172" s="32"/>
      <x:c r="G172" s="24" t="str">
        <x:f>IF($A172="","",IF(AND($C172="",$E172=""),"",IF($E172="","brak danych",IF($E172=0,0,IF(COUNTIFS($A$10:$A$89,$C172)&lt;&gt;1,"brak danych",IF(COUNTIFS($A$10:$A$89,$C172,$F$10:$F$89,"&lt;&gt;")=0,"brak danych",VLOOKUP($C172,$A$10:$J$89,6,FALSE)*$E172))))))</x:f>
      </x:c>
      <x:c r="H172" s="25" t="str">
        <x:f>IF($A172="","",IF(AND($C172="",$E172=""),"",IF($E172="","brak danych",IF($E172=0,0,IF(COUNTIFS($A$10:$A$89,$C172)&lt;&gt;1,"brak danych",IF(COUNTIFS($A$10:$A$89,$C172,$G$10:$G$89,"&lt;&gt;")=0,"brak danych",VLOOKUP($C172,$A$10:$J$89,7,FALSE)*$E172))))))</x:f>
      </x:c>
      <x:c r="I172" s="25" t="str">
        <x:f>IF($A172="","",IF(AND($C172="",$E172=""),"",IF($E172="","brak danych",IF($E172=0,0,IF(COUNTIFS($A$10:$A$89,$C172)&lt;&gt;1,"brak danych",IF(COUNTIFS($A$10:$A$89,$C172,$H$10:$H$89,"&lt;&gt;")=0,"brak danych",VLOOKUP($C172,$A$10:$J$89,8,FALSE)*$E172))))))</x:f>
      </x:c>
      <x:c r="J172" s="25" t="str">
        <x:f>IF($A172="","",IF(AND($C172="",$E172=""),"",IF($E172="","brak danych",IF($E172=0,0,IF(COUNTIFS($A$10:$A$89,$C172)&lt;&gt;1,"brak danych",IF(COUNTIFS($A$10:$A$89,$C172,$I$10:$I$89,"&lt;&gt;")=0,"brak danych",VLOOKUP($C172,$A$10:$J$89,9,FALSE)*$E172))))))</x:f>
      </x:c>
      <x:c r="K172" s="25" t="str">
        <x:f>IF($A172="","",IF(AND($C172="",$E172=""),"",IF($E172="","brak danych",IF($E172=0,0,IF(COUNTIFS($A$10:$A$89,$C172)&lt;&gt;1,"brak danych",IF(COUNTIFS($A$10:$A$89,$C172,$J$10:$J$89,"&lt;&gt;")=0,"brak danych",VLOOKUP($C172,$A$10:$J$89,10,FALSE)*$E172))))))</x:f>
      </x:c>
      <x:c r="L172" s="24" t="str">
        <x:f>IF($A172="","",IF($F172="","",IF($F172=0,0,IF(COUNTIFS($A$10:$A$89,$C172)&lt;&gt;1,"brak danych",IF(COUNTIFS($A$10:$A$89,$C172,$F$10:$F$89,"&lt;&gt;")=0,"brak danych",VLOOKUP($C172,$A$10:$J$89,6,FALSE)*$F172)))))</x:f>
      </x:c>
      <x:c r="M172" s="25" t="str">
        <x:f>IF($A172="","",IF($F172="","",IF($F172=0,0,IF(COUNTIFS($A$10:$A$89,$C172)&lt;&gt;1,"brak danych",IF(COUNTIFS($A$10:$A$89,$C172,$G$10:$G$89,"&lt;&gt;")=0,"brak danych",VLOOKUP($C172,$A$10:$J$89,7,FALSE)*$F172)))))</x:f>
      </x:c>
      <x:c r="N172" s="25" t="str">
        <x:f>IF($A172="","",IF($F172="","",IF($F172=0,0,IF(COUNTIFS($A$10:$A$89,$C172)&lt;&gt;1,"brak danych",IF(COUNTIFS($A$10:$A$89,$C172,$H$10:$H$89,"&lt;&gt;")=0,"brak danych",VLOOKUP($C172,$A$10:$J$89,8,FALSE)*$F172)))))</x:f>
      </x:c>
      <x:c r="O172" s="25" t="str">
        <x:f>IF($A172="","",IF($F172="","",IF($F172=0,0,IF(COUNTIFS($A$10:$A$89,$C172)&lt;&gt;1,"brak danych",IF(COUNTIFS($A$10:$A$89,$C172,$I$10:$I$89,"&lt;&gt;")=0,"brak danych",VLOOKUP($C172,$A$10:$J$89,9,FALSE)*$F172)))))</x:f>
      </x:c>
      <x:c r="P172" s="25" t="str">
        <x:f>IF($A172="","",IF($F172="","",IF($F172=0,0,IF(COUNTIFS($A$10:$A$89,$C172)&lt;&gt;1,"brak danych",IF(COUNTIFS($A$10:$A$89,$C172,$J$10:$J$89,"&lt;&gt;")=0,"brak danych",VLOOKUP($C172,$A$10:$J$89,10,FALSE)*$F172)))))</x:f>
      </x:c>
      <x:c r="Q172" s="18"/>
    </x:row>
    <x:row r="173" ht="25" customHeight="1">
      <x:c r="A173" s="6"/>
      <x:c r="B173" s="30"/>
      <x:c r="C173" s="5"/>
      <x:c r="D173" s="5"/>
      <x:c r="E173" s="32"/>
      <x:c r="F173" s="32"/>
      <x:c r="G173" s="24" t="str">
        <x:f>IF($A173="","",IF(AND($C173="",$E173=""),"",IF($E173="","brak danych",IF($E173=0,0,IF(COUNTIFS($A$10:$A$89,$C173)&lt;&gt;1,"brak danych",IF(COUNTIFS($A$10:$A$89,$C173,$F$10:$F$89,"&lt;&gt;")=0,"brak danych",VLOOKUP($C173,$A$10:$J$89,6,FALSE)*$E173))))))</x:f>
      </x:c>
      <x:c r="H173" s="25" t="str">
        <x:f>IF($A173="","",IF(AND($C173="",$E173=""),"",IF($E173="","brak danych",IF($E173=0,0,IF(COUNTIFS($A$10:$A$89,$C173)&lt;&gt;1,"brak danych",IF(COUNTIFS($A$10:$A$89,$C173,$G$10:$G$89,"&lt;&gt;")=0,"brak danych",VLOOKUP($C173,$A$10:$J$89,7,FALSE)*$E173))))))</x:f>
      </x:c>
      <x:c r="I173" s="25" t="str">
        <x:f>IF($A173="","",IF(AND($C173="",$E173=""),"",IF($E173="","brak danych",IF($E173=0,0,IF(COUNTIFS($A$10:$A$89,$C173)&lt;&gt;1,"brak danych",IF(COUNTIFS($A$10:$A$89,$C173,$H$10:$H$89,"&lt;&gt;")=0,"brak danych",VLOOKUP($C173,$A$10:$J$89,8,FALSE)*$E173))))))</x:f>
      </x:c>
      <x:c r="J173" s="25" t="str">
        <x:f>IF($A173="","",IF(AND($C173="",$E173=""),"",IF($E173="","brak danych",IF($E173=0,0,IF(COUNTIFS($A$10:$A$89,$C173)&lt;&gt;1,"brak danych",IF(COUNTIFS($A$10:$A$89,$C173,$I$10:$I$89,"&lt;&gt;")=0,"brak danych",VLOOKUP($C173,$A$10:$J$89,9,FALSE)*$E173))))))</x:f>
      </x:c>
      <x:c r="K173" s="25" t="str">
        <x:f>IF($A173="","",IF(AND($C173="",$E173=""),"",IF($E173="","brak danych",IF($E173=0,0,IF(COUNTIFS($A$10:$A$89,$C173)&lt;&gt;1,"brak danych",IF(COUNTIFS($A$10:$A$89,$C173,$J$10:$J$89,"&lt;&gt;")=0,"brak danych",VLOOKUP($C173,$A$10:$J$89,10,FALSE)*$E173))))))</x:f>
      </x:c>
      <x:c r="L173" s="24" t="str">
        <x:f>IF($A173="","",IF($F173="","",IF($F173=0,0,IF(COUNTIFS($A$10:$A$89,$C173)&lt;&gt;1,"brak danych",IF(COUNTIFS($A$10:$A$89,$C173,$F$10:$F$89,"&lt;&gt;")=0,"brak danych",VLOOKUP($C173,$A$10:$J$89,6,FALSE)*$F173)))))</x:f>
      </x:c>
      <x:c r="M173" s="25" t="str">
        <x:f>IF($A173="","",IF($F173="","",IF($F173=0,0,IF(COUNTIFS($A$10:$A$89,$C173)&lt;&gt;1,"brak danych",IF(COUNTIFS($A$10:$A$89,$C173,$G$10:$G$89,"&lt;&gt;")=0,"brak danych",VLOOKUP($C173,$A$10:$J$89,7,FALSE)*$F173)))))</x:f>
      </x:c>
      <x:c r="N173" s="25" t="str">
        <x:f>IF($A173="","",IF($F173="","",IF($F173=0,0,IF(COUNTIFS($A$10:$A$89,$C173)&lt;&gt;1,"brak danych",IF(COUNTIFS($A$10:$A$89,$C173,$H$10:$H$89,"&lt;&gt;")=0,"brak danych",VLOOKUP($C173,$A$10:$J$89,8,FALSE)*$F173)))))</x:f>
      </x:c>
      <x:c r="O173" s="25" t="str">
        <x:f>IF($A173="","",IF($F173="","",IF($F173=0,0,IF(COUNTIFS($A$10:$A$89,$C173)&lt;&gt;1,"brak danych",IF(COUNTIFS($A$10:$A$89,$C173,$I$10:$I$89,"&lt;&gt;")=0,"brak danych",VLOOKUP($C173,$A$10:$J$89,9,FALSE)*$F173)))))</x:f>
      </x:c>
      <x:c r="P173" s="25" t="str">
        <x:f>IF($A173="","",IF($F173="","",IF($F173=0,0,IF(COUNTIFS($A$10:$A$89,$C173)&lt;&gt;1,"brak danych",IF(COUNTIFS($A$10:$A$89,$C173,$J$10:$J$89,"&lt;&gt;")=0,"brak danych",VLOOKUP($C173,$A$10:$J$89,10,FALSE)*$F173)))))</x:f>
      </x:c>
      <x:c r="Q173" s="18"/>
    </x:row>
    <x:row r="174" ht="25" customHeight="1">
      <x:c r="A174" s="6"/>
      <x:c r="B174" s="30"/>
      <x:c r="C174" s="5"/>
      <x:c r="D174" s="5"/>
      <x:c r="E174" s="32"/>
      <x:c r="F174" s="32"/>
      <x:c r="G174" s="24" t="str">
        <x:f>IF($A174="","",IF(AND($C174="",$E174=""),"",IF($E174="","brak danych",IF($E174=0,0,IF(COUNTIFS($A$10:$A$89,$C174)&lt;&gt;1,"brak danych",IF(COUNTIFS($A$10:$A$89,$C174,$F$10:$F$89,"&lt;&gt;")=0,"brak danych",VLOOKUP($C174,$A$10:$J$89,6,FALSE)*$E174))))))</x:f>
      </x:c>
      <x:c r="H174" s="25" t="str">
        <x:f>IF($A174="","",IF(AND($C174="",$E174=""),"",IF($E174="","brak danych",IF($E174=0,0,IF(COUNTIFS($A$10:$A$89,$C174)&lt;&gt;1,"brak danych",IF(COUNTIFS($A$10:$A$89,$C174,$G$10:$G$89,"&lt;&gt;")=0,"brak danych",VLOOKUP($C174,$A$10:$J$89,7,FALSE)*$E174))))))</x:f>
      </x:c>
      <x:c r="I174" s="25" t="str">
        <x:f>IF($A174="","",IF(AND($C174="",$E174=""),"",IF($E174="","brak danych",IF($E174=0,0,IF(COUNTIFS($A$10:$A$89,$C174)&lt;&gt;1,"brak danych",IF(COUNTIFS($A$10:$A$89,$C174,$H$10:$H$89,"&lt;&gt;")=0,"brak danych",VLOOKUP($C174,$A$10:$J$89,8,FALSE)*$E174))))))</x:f>
      </x:c>
      <x:c r="J174" s="25" t="str">
        <x:f>IF($A174="","",IF(AND($C174="",$E174=""),"",IF($E174="","brak danych",IF($E174=0,0,IF(COUNTIFS($A$10:$A$89,$C174)&lt;&gt;1,"brak danych",IF(COUNTIFS($A$10:$A$89,$C174,$I$10:$I$89,"&lt;&gt;")=0,"brak danych",VLOOKUP($C174,$A$10:$J$89,9,FALSE)*$E174))))))</x:f>
      </x:c>
      <x:c r="K174" s="25" t="str">
        <x:f>IF($A174="","",IF(AND($C174="",$E174=""),"",IF($E174="","brak danych",IF($E174=0,0,IF(COUNTIFS($A$10:$A$89,$C174)&lt;&gt;1,"brak danych",IF(COUNTIFS($A$10:$A$89,$C174,$J$10:$J$89,"&lt;&gt;")=0,"brak danych",VLOOKUP($C174,$A$10:$J$89,10,FALSE)*$E174))))))</x:f>
      </x:c>
      <x:c r="L174" s="24" t="str">
        <x:f>IF($A174="","",IF($F174="","",IF($F174=0,0,IF(COUNTIFS($A$10:$A$89,$C174)&lt;&gt;1,"brak danych",IF(COUNTIFS($A$10:$A$89,$C174,$F$10:$F$89,"&lt;&gt;")=0,"brak danych",VLOOKUP($C174,$A$10:$J$89,6,FALSE)*$F174)))))</x:f>
      </x:c>
      <x:c r="M174" s="25" t="str">
        <x:f>IF($A174="","",IF($F174="","",IF($F174=0,0,IF(COUNTIFS($A$10:$A$89,$C174)&lt;&gt;1,"brak danych",IF(COUNTIFS($A$10:$A$89,$C174,$G$10:$G$89,"&lt;&gt;")=0,"brak danych",VLOOKUP($C174,$A$10:$J$89,7,FALSE)*$F174)))))</x:f>
      </x:c>
      <x:c r="N174" s="25" t="str">
        <x:f>IF($A174="","",IF($F174="","",IF($F174=0,0,IF(COUNTIFS($A$10:$A$89,$C174)&lt;&gt;1,"brak danych",IF(COUNTIFS($A$10:$A$89,$C174,$H$10:$H$89,"&lt;&gt;")=0,"brak danych",VLOOKUP($C174,$A$10:$J$89,8,FALSE)*$F174)))))</x:f>
      </x:c>
      <x:c r="O174" s="25" t="str">
        <x:f>IF($A174="","",IF($F174="","",IF($F174=0,0,IF(COUNTIFS($A$10:$A$89,$C174)&lt;&gt;1,"brak danych",IF(COUNTIFS($A$10:$A$89,$C174,$I$10:$I$89,"&lt;&gt;")=0,"brak danych",VLOOKUP($C174,$A$10:$J$89,9,FALSE)*$F174)))))</x:f>
      </x:c>
      <x:c r="P174" s="25" t="str">
        <x:f>IF($A174="","",IF($F174="","",IF($F174=0,0,IF(COUNTIFS($A$10:$A$89,$C174)&lt;&gt;1,"brak danych",IF(COUNTIFS($A$10:$A$89,$C174,$J$10:$J$89,"&lt;&gt;")=0,"brak danych",VLOOKUP($C174,$A$10:$J$89,10,FALSE)*$F174)))))</x:f>
      </x:c>
      <x:c r="Q174" s="18"/>
    </x:row>
    <x:row r="175" ht="25" customHeight="1">
      <x:c r="A175" s="6"/>
      <x:c r="B175" s="30"/>
      <x:c r="C175" s="5"/>
      <x:c r="D175" s="5"/>
      <x:c r="E175" s="32"/>
      <x:c r="F175" s="32"/>
      <x:c r="G175" s="24" t="str">
        <x:f>IF($A175="","",IF(AND($C175="",$E175=""),"",IF($E175="","brak danych",IF($E175=0,0,IF(COUNTIFS($A$10:$A$89,$C175)&lt;&gt;1,"brak danych",IF(COUNTIFS($A$10:$A$89,$C175,$F$10:$F$89,"&lt;&gt;")=0,"brak danych",VLOOKUP($C175,$A$10:$J$89,6,FALSE)*$E175))))))</x:f>
      </x:c>
      <x:c r="H175" s="25" t="str">
        <x:f>IF($A175="","",IF(AND($C175="",$E175=""),"",IF($E175="","brak danych",IF($E175=0,0,IF(COUNTIFS($A$10:$A$89,$C175)&lt;&gt;1,"brak danych",IF(COUNTIFS($A$10:$A$89,$C175,$G$10:$G$89,"&lt;&gt;")=0,"brak danych",VLOOKUP($C175,$A$10:$J$89,7,FALSE)*$E175))))))</x:f>
      </x:c>
      <x:c r="I175" s="25" t="str">
        <x:f>IF($A175="","",IF(AND($C175="",$E175=""),"",IF($E175="","brak danych",IF($E175=0,0,IF(COUNTIFS($A$10:$A$89,$C175)&lt;&gt;1,"brak danych",IF(COUNTIFS($A$10:$A$89,$C175,$H$10:$H$89,"&lt;&gt;")=0,"brak danych",VLOOKUP($C175,$A$10:$J$89,8,FALSE)*$E175))))))</x:f>
      </x:c>
      <x:c r="J175" s="25" t="str">
        <x:f>IF($A175="","",IF(AND($C175="",$E175=""),"",IF($E175="","brak danych",IF($E175=0,0,IF(COUNTIFS($A$10:$A$89,$C175)&lt;&gt;1,"brak danych",IF(COUNTIFS($A$10:$A$89,$C175,$I$10:$I$89,"&lt;&gt;")=0,"brak danych",VLOOKUP($C175,$A$10:$J$89,9,FALSE)*$E175))))))</x:f>
      </x:c>
      <x:c r="K175" s="25" t="str">
        <x:f>IF($A175="","",IF(AND($C175="",$E175=""),"",IF($E175="","brak danych",IF($E175=0,0,IF(COUNTIFS($A$10:$A$89,$C175)&lt;&gt;1,"brak danych",IF(COUNTIFS($A$10:$A$89,$C175,$J$10:$J$89,"&lt;&gt;")=0,"brak danych",VLOOKUP($C175,$A$10:$J$89,10,FALSE)*$E175))))))</x:f>
      </x:c>
      <x:c r="L175" s="24" t="str">
        <x:f>IF($A175="","",IF($F175="","",IF($F175=0,0,IF(COUNTIFS($A$10:$A$89,$C175)&lt;&gt;1,"brak danych",IF(COUNTIFS($A$10:$A$89,$C175,$F$10:$F$89,"&lt;&gt;")=0,"brak danych",VLOOKUP($C175,$A$10:$J$89,6,FALSE)*$F175)))))</x:f>
      </x:c>
      <x:c r="M175" s="25" t="str">
        <x:f>IF($A175="","",IF($F175="","",IF($F175=0,0,IF(COUNTIFS($A$10:$A$89,$C175)&lt;&gt;1,"brak danych",IF(COUNTIFS($A$10:$A$89,$C175,$G$10:$G$89,"&lt;&gt;")=0,"brak danych",VLOOKUP($C175,$A$10:$J$89,7,FALSE)*$F175)))))</x:f>
      </x:c>
      <x:c r="N175" s="25" t="str">
        <x:f>IF($A175="","",IF($F175="","",IF($F175=0,0,IF(COUNTIFS($A$10:$A$89,$C175)&lt;&gt;1,"brak danych",IF(COUNTIFS($A$10:$A$89,$C175,$H$10:$H$89,"&lt;&gt;")=0,"brak danych",VLOOKUP($C175,$A$10:$J$89,8,FALSE)*$F175)))))</x:f>
      </x:c>
      <x:c r="O175" s="25" t="str">
        <x:f>IF($A175="","",IF($F175="","",IF($F175=0,0,IF(COUNTIFS($A$10:$A$89,$C175)&lt;&gt;1,"brak danych",IF(COUNTIFS($A$10:$A$89,$C175,$I$10:$I$89,"&lt;&gt;")=0,"brak danych",VLOOKUP($C175,$A$10:$J$89,9,FALSE)*$F175)))))</x:f>
      </x:c>
      <x:c r="P175" s="25" t="str">
        <x:f>IF($A175="","",IF($F175="","",IF($F175=0,0,IF(COUNTIFS($A$10:$A$89,$C175)&lt;&gt;1,"brak danych",IF(COUNTIFS($A$10:$A$89,$C175,$J$10:$J$89,"&lt;&gt;")=0,"brak danych",VLOOKUP($C175,$A$10:$J$89,10,FALSE)*$F175)))))</x:f>
      </x:c>
      <x:c r="Q175" s="18"/>
    </x:row>
    <x:row r="176" ht="25" customHeight="1">
      <x:c r="A176" s="6"/>
      <x:c r="B176" s="30"/>
      <x:c r="C176" s="5"/>
      <x:c r="D176" s="5"/>
      <x:c r="E176" s="32"/>
      <x:c r="F176" s="32"/>
      <x:c r="G176" s="24" t="str">
        <x:f>IF($A176="","",IF(AND($C176="",$E176=""),"",IF($E176="","brak danych",IF($E176=0,0,IF(COUNTIFS($A$10:$A$89,$C176)&lt;&gt;1,"brak danych",IF(COUNTIFS($A$10:$A$89,$C176,$F$10:$F$89,"&lt;&gt;")=0,"brak danych",VLOOKUP($C176,$A$10:$J$89,6,FALSE)*$E176))))))</x:f>
      </x:c>
      <x:c r="H176" s="25" t="str">
        <x:f>IF($A176="","",IF(AND($C176="",$E176=""),"",IF($E176="","brak danych",IF($E176=0,0,IF(COUNTIFS($A$10:$A$89,$C176)&lt;&gt;1,"brak danych",IF(COUNTIFS($A$10:$A$89,$C176,$G$10:$G$89,"&lt;&gt;")=0,"brak danych",VLOOKUP($C176,$A$10:$J$89,7,FALSE)*$E176))))))</x:f>
      </x:c>
      <x:c r="I176" s="25" t="str">
        <x:f>IF($A176="","",IF(AND($C176="",$E176=""),"",IF($E176="","brak danych",IF($E176=0,0,IF(COUNTIFS($A$10:$A$89,$C176)&lt;&gt;1,"brak danych",IF(COUNTIFS($A$10:$A$89,$C176,$H$10:$H$89,"&lt;&gt;")=0,"brak danych",VLOOKUP($C176,$A$10:$J$89,8,FALSE)*$E176))))))</x:f>
      </x:c>
      <x:c r="J176" s="25" t="str">
        <x:f>IF($A176="","",IF(AND($C176="",$E176=""),"",IF($E176="","brak danych",IF($E176=0,0,IF(COUNTIFS($A$10:$A$89,$C176)&lt;&gt;1,"brak danych",IF(COUNTIFS($A$10:$A$89,$C176,$I$10:$I$89,"&lt;&gt;")=0,"brak danych",VLOOKUP($C176,$A$10:$J$89,9,FALSE)*$E176))))))</x:f>
      </x:c>
      <x:c r="K176" s="25" t="str">
        <x:f>IF($A176="","",IF(AND($C176="",$E176=""),"",IF($E176="","brak danych",IF($E176=0,0,IF(COUNTIFS($A$10:$A$89,$C176)&lt;&gt;1,"brak danych",IF(COUNTIFS($A$10:$A$89,$C176,$J$10:$J$89,"&lt;&gt;")=0,"brak danych",VLOOKUP($C176,$A$10:$J$89,10,FALSE)*$E176))))))</x:f>
      </x:c>
      <x:c r="L176" s="24" t="str">
        <x:f>IF($A176="","",IF($F176="","",IF($F176=0,0,IF(COUNTIFS($A$10:$A$89,$C176)&lt;&gt;1,"brak danych",IF(COUNTIFS($A$10:$A$89,$C176,$F$10:$F$89,"&lt;&gt;")=0,"brak danych",VLOOKUP($C176,$A$10:$J$89,6,FALSE)*$F176)))))</x:f>
      </x:c>
      <x:c r="M176" s="25" t="str">
        <x:f>IF($A176="","",IF($F176="","",IF($F176=0,0,IF(COUNTIFS($A$10:$A$89,$C176)&lt;&gt;1,"brak danych",IF(COUNTIFS($A$10:$A$89,$C176,$G$10:$G$89,"&lt;&gt;")=0,"brak danych",VLOOKUP($C176,$A$10:$J$89,7,FALSE)*$F176)))))</x:f>
      </x:c>
      <x:c r="N176" s="25" t="str">
        <x:f>IF($A176="","",IF($F176="","",IF($F176=0,0,IF(COUNTIFS($A$10:$A$89,$C176)&lt;&gt;1,"brak danych",IF(COUNTIFS($A$10:$A$89,$C176,$H$10:$H$89,"&lt;&gt;")=0,"brak danych",VLOOKUP($C176,$A$10:$J$89,8,FALSE)*$F176)))))</x:f>
      </x:c>
      <x:c r="O176" s="25" t="str">
        <x:f>IF($A176="","",IF($F176="","",IF($F176=0,0,IF(COUNTIFS($A$10:$A$89,$C176)&lt;&gt;1,"brak danych",IF(COUNTIFS($A$10:$A$89,$C176,$I$10:$I$89,"&lt;&gt;")=0,"brak danych",VLOOKUP($C176,$A$10:$J$89,9,FALSE)*$F176)))))</x:f>
      </x:c>
      <x:c r="P176" s="25" t="str">
        <x:f>IF($A176="","",IF($F176="","",IF($F176=0,0,IF(COUNTIFS($A$10:$A$89,$C176)&lt;&gt;1,"brak danych",IF(COUNTIFS($A$10:$A$89,$C176,$J$10:$J$89,"&lt;&gt;")=0,"brak danych",VLOOKUP($C176,$A$10:$J$89,10,FALSE)*$F176)))))</x:f>
      </x:c>
      <x:c r="Q176" s="18"/>
    </x:row>
    <x:row r="177" ht="25" customHeight="1">
      <x:c r="A177" s="6"/>
      <x:c r="B177" s="30"/>
      <x:c r="C177" s="5"/>
      <x:c r="D177" s="5"/>
      <x:c r="E177" s="32"/>
      <x:c r="F177" s="32"/>
      <x:c r="G177" s="24" t="str">
        <x:f>IF($A177="","",IF(AND($C177="",$E177=""),"",IF($E177="","brak danych",IF($E177=0,0,IF(COUNTIFS($A$10:$A$89,$C177)&lt;&gt;1,"brak danych",IF(COUNTIFS($A$10:$A$89,$C177,$F$10:$F$89,"&lt;&gt;")=0,"brak danych",VLOOKUP($C177,$A$10:$J$89,6,FALSE)*$E177))))))</x:f>
      </x:c>
      <x:c r="H177" s="25" t="str">
        <x:f>IF($A177="","",IF(AND($C177="",$E177=""),"",IF($E177="","brak danych",IF($E177=0,0,IF(COUNTIFS($A$10:$A$89,$C177)&lt;&gt;1,"brak danych",IF(COUNTIFS($A$10:$A$89,$C177,$G$10:$G$89,"&lt;&gt;")=0,"brak danych",VLOOKUP($C177,$A$10:$J$89,7,FALSE)*$E177))))))</x:f>
      </x:c>
      <x:c r="I177" s="25" t="str">
        <x:f>IF($A177="","",IF(AND($C177="",$E177=""),"",IF($E177="","brak danych",IF($E177=0,0,IF(COUNTIFS($A$10:$A$89,$C177)&lt;&gt;1,"brak danych",IF(COUNTIFS($A$10:$A$89,$C177,$H$10:$H$89,"&lt;&gt;")=0,"brak danych",VLOOKUP($C177,$A$10:$J$89,8,FALSE)*$E177))))))</x:f>
      </x:c>
      <x:c r="J177" s="25" t="str">
        <x:f>IF($A177="","",IF(AND($C177="",$E177=""),"",IF($E177="","brak danych",IF($E177=0,0,IF(COUNTIFS($A$10:$A$89,$C177)&lt;&gt;1,"brak danych",IF(COUNTIFS($A$10:$A$89,$C177,$I$10:$I$89,"&lt;&gt;")=0,"brak danych",VLOOKUP($C177,$A$10:$J$89,9,FALSE)*$E177))))))</x:f>
      </x:c>
      <x:c r="K177" s="25" t="str">
        <x:f>IF($A177="","",IF(AND($C177="",$E177=""),"",IF($E177="","brak danych",IF($E177=0,0,IF(COUNTIFS($A$10:$A$89,$C177)&lt;&gt;1,"brak danych",IF(COUNTIFS($A$10:$A$89,$C177,$J$10:$J$89,"&lt;&gt;")=0,"brak danych",VLOOKUP($C177,$A$10:$J$89,10,FALSE)*$E177))))))</x:f>
      </x:c>
      <x:c r="L177" s="24" t="str">
        <x:f>IF($A177="","",IF($F177="","",IF($F177=0,0,IF(COUNTIFS($A$10:$A$89,$C177)&lt;&gt;1,"brak danych",IF(COUNTIFS($A$10:$A$89,$C177,$F$10:$F$89,"&lt;&gt;")=0,"brak danych",VLOOKUP($C177,$A$10:$J$89,6,FALSE)*$F177)))))</x:f>
      </x:c>
      <x:c r="M177" s="25" t="str">
        <x:f>IF($A177="","",IF($F177="","",IF($F177=0,0,IF(COUNTIFS($A$10:$A$89,$C177)&lt;&gt;1,"brak danych",IF(COUNTIFS($A$10:$A$89,$C177,$G$10:$G$89,"&lt;&gt;")=0,"brak danych",VLOOKUP($C177,$A$10:$J$89,7,FALSE)*$F177)))))</x:f>
      </x:c>
      <x:c r="N177" s="25" t="str">
        <x:f>IF($A177="","",IF($F177="","",IF($F177=0,0,IF(COUNTIFS($A$10:$A$89,$C177)&lt;&gt;1,"brak danych",IF(COUNTIFS($A$10:$A$89,$C177,$H$10:$H$89,"&lt;&gt;")=0,"brak danych",VLOOKUP($C177,$A$10:$J$89,8,FALSE)*$F177)))))</x:f>
      </x:c>
      <x:c r="O177" s="25" t="str">
        <x:f>IF($A177="","",IF($F177="","",IF($F177=0,0,IF(COUNTIFS($A$10:$A$89,$C177)&lt;&gt;1,"brak danych",IF(COUNTIFS($A$10:$A$89,$C177,$I$10:$I$89,"&lt;&gt;")=0,"brak danych",VLOOKUP($C177,$A$10:$J$89,9,FALSE)*$F177)))))</x:f>
      </x:c>
      <x:c r="P177" s="25" t="str">
        <x:f>IF($A177="","",IF($F177="","",IF($F177=0,0,IF(COUNTIFS($A$10:$A$89,$C177)&lt;&gt;1,"brak danych",IF(COUNTIFS($A$10:$A$89,$C177,$J$10:$J$89,"&lt;&gt;")=0,"brak danych",VLOOKUP($C177,$A$10:$J$89,10,FALSE)*$F177)))))</x:f>
      </x:c>
      <x:c r="Q177" s="18"/>
    </x:row>
    <x:row r="178" ht="25" customHeight="1">
      <x:c r="A178" s="6"/>
      <x:c r="B178" s="30"/>
      <x:c r="C178" s="5"/>
      <x:c r="D178" s="5"/>
      <x:c r="E178" s="32"/>
      <x:c r="F178" s="32"/>
      <x:c r="G178" s="24" t="str">
        <x:f>IF($A178="","",IF(AND($C178="",$E178=""),"",IF($E178="","brak danych",IF($E178=0,0,IF(COUNTIFS($A$10:$A$89,$C178)&lt;&gt;1,"brak danych",IF(COUNTIFS($A$10:$A$89,$C178,$F$10:$F$89,"&lt;&gt;")=0,"brak danych",VLOOKUP($C178,$A$10:$J$89,6,FALSE)*$E178))))))</x:f>
      </x:c>
      <x:c r="H178" s="25" t="str">
        <x:f>IF($A178="","",IF(AND($C178="",$E178=""),"",IF($E178="","brak danych",IF($E178=0,0,IF(COUNTIFS($A$10:$A$89,$C178)&lt;&gt;1,"brak danych",IF(COUNTIFS($A$10:$A$89,$C178,$G$10:$G$89,"&lt;&gt;")=0,"brak danych",VLOOKUP($C178,$A$10:$J$89,7,FALSE)*$E178))))))</x:f>
      </x:c>
      <x:c r="I178" s="25" t="str">
        <x:f>IF($A178="","",IF(AND($C178="",$E178=""),"",IF($E178="","brak danych",IF($E178=0,0,IF(COUNTIFS($A$10:$A$89,$C178)&lt;&gt;1,"brak danych",IF(COUNTIFS($A$10:$A$89,$C178,$H$10:$H$89,"&lt;&gt;")=0,"brak danych",VLOOKUP($C178,$A$10:$J$89,8,FALSE)*$E178))))))</x:f>
      </x:c>
      <x:c r="J178" s="25" t="str">
        <x:f>IF($A178="","",IF(AND($C178="",$E178=""),"",IF($E178="","brak danych",IF($E178=0,0,IF(COUNTIFS($A$10:$A$89,$C178)&lt;&gt;1,"brak danych",IF(COUNTIFS($A$10:$A$89,$C178,$I$10:$I$89,"&lt;&gt;")=0,"brak danych",VLOOKUP($C178,$A$10:$J$89,9,FALSE)*$E178))))))</x:f>
      </x:c>
      <x:c r="K178" s="25" t="str">
        <x:f>IF($A178="","",IF(AND($C178="",$E178=""),"",IF($E178="","brak danych",IF($E178=0,0,IF(COUNTIFS($A$10:$A$89,$C178)&lt;&gt;1,"brak danych",IF(COUNTIFS($A$10:$A$89,$C178,$J$10:$J$89,"&lt;&gt;")=0,"brak danych",VLOOKUP($C178,$A$10:$J$89,10,FALSE)*$E178))))))</x:f>
      </x:c>
      <x:c r="L178" s="24" t="str">
        <x:f>IF($A178="","",IF($F178="","",IF($F178=0,0,IF(COUNTIFS($A$10:$A$89,$C178)&lt;&gt;1,"brak danych",IF(COUNTIFS($A$10:$A$89,$C178,$F$10:$F$89,"&lt;&gt;")=0,"brak danych",VLOOKUP($C178,$A$10:$J$89,6,FALSE)*$F178)))))</x:f>
      </x:c>
      <x:c r="M178" s="25" t="str">
        <x:f>IF($A178="","",IF($F178="","",IF($F178=0,0,IF(COUNTIFS($A$10:$A$89,$C178)&lt;&gt;1,"brak danych",IF(COUNTIFS($A$10:$A$89,$C178,$G$10:$G$89,"&lt;&gt;")=0,"brak danych",VLOOKUP($C178,$A$10:$J$89,7,FALSE)*$F178)))))</x:f>
      </x:c>
      <x:c r="N178" s="25" t="str">
        <x:f>IF($A178="","",IF($F178="","",IF($F178=0,0,IF(COUNTIFS($A$10:$A$89,$C178)&lt;&gt;1,"brak danych",IF(COUNTIFS($A$10:$A$89,$C178,$H$10:$H$89,"&lt;&gt;")=0,"brak danych",VLOOKUP($C178,$A$10:$J$89,8,FALSE)*$F178)))))</x:f>
      </x:c>
      <x:c r="O178" s="25" t="str">
        <x:f>IF($A178="","",IF($F178="","",IF($F178=0,0,IF(COUNTIFS($A$10:$A$89,$C178)&lt;&gt;1,"brak danych",IF(COUNTIFS($A$10:$A$89,$C178,$I$10:$I$89,"&lt;&gt;")=0,"brak danych",VLOOKUP($C178,$A$10:$J$89,9,FALSE)*$F178)))))</x:f>
      </x:c>
      <x:c r="P178" s="25" t="str">
        <x:f>IF($A178="","",IF($F178="","",IF($F178=0,0,IF(COUNTIFS($A$10:$A$89,$C178)&lt;&gt;1,"brak danych",IF(COUNTIFS($A$10:$A$89,$C178,$J$10:$J$89,"&lt;&gt;")=0,"brak danych",VLOOKUP($C178,$A$10:$J$89,10,FALSE)*$F178)))))</x:f>
      </x:c>
      <x:c r="Q178" s="18"/>
    </x:row>
    <x:row r="179" ht="25" customHeight="1">
      <x:c r="A179" s="6"/>
      <x:c r="B179" s="30"/>
      <x:c r="C179" s="5"/>
      <x:c r="D179" s="5"/>
      <x:c r="E179" s="32"/>
      <x:c r="F179" s="32"/>
      <x:c r="G179" s="24" t="str">
        <x:f>IF($A179="","",IF(AND($C179="",$E179=""),"",IF($E179="","brak danych",IF($E179=0,0,IF(COUNTIFS($A$10:$A$89,$C179)&lt;&gt;1,"brak danych",IF(COUNTIFS($A$10:$A$89,$C179,$F$10:$F$89,"&lt;&gt;")=0,"brak danych",VLOOKUP($C179,$A$10:$J$89,6,FALSE)*$E179))))))</x:f>
      </x:c>
      <x:c r="H179" s="25" t="str">
        <x:f>IF($A179="","",IF(AND($C179="",$E179=""),"",IF($E179="","brak danych",IF($E179=0,0,IF(COUNTIFS($A$10:$A$89,$C179)&lt;&gt;1,"brak danych",IF(COUNTIFS($A$10:$A$89,$C179,$G$10:$G$89,"&lt;&gt;")=0,"brak danych",VLOOKUP($C179,$A$10:$J$89,7,FALSE)*$E179))))))</x:f>
      </x:c>
      <x:c r="I179" s="25" t="str">
        <x:f>IF($A179="","",IF(AND($C179="",$E179=""),"",IF($E179="","brak danych",IF($E179=0,0,IF(COUNTIFS($A$10:$A$89,$C179)&lt;&gt;1,"brak danych",IF(COUNTIFS($A$10:$A$89,$C179,$H$10:$H$89,"&lt;&gt;")=0,"brak danych",VLOOKUP($C179,$A$10:$J$89,8,FALSE)*$E179))))))</x:f>
      </x:c>
      <x:c r="J179" s="25" t="str">
        <x:f>IF($A179="","",IF(AND($C179="",$E179=""),"",IF($E179="","brak danych",IF($E179=0,0,IF(COUNTIFS($A$10:$A$89,$C179)&lt;&gt;1,"brak danych",IF(COUNTIFS($A$10:$A$89,$C179,$I$10:$I$89,"&lt;&gt;")=0,"brak danych",VLOOKUP($C179,$A$10:$J$89,9,FALSE)*$E179))))))</x:f>
      </x:c>
      <x:c r="K179" s="25" t="str">
        <x:f>IF($A179="","",IF(AND($C179="",$E179=""),"",IF($E179="","brak danych",IF($E179=0,0,IF(COUNTIFS($A$10:$A$89,$C179)&lt;&gt;1,"brak danych",IF(COUNTIFS($A$10:$A$89,$C179,$J$10:$J$89,"&lt;&gt;")=0,"brak danych",VLOOKUP($C179,$A$10:$J$89,10,FALSE)*$E179))))))</x:f>
      </x:c>
      <x:c r="L179" s="24" t="str">
        <x:f>IF($A179="","",IF($F179="","",IF($F179=0,0,IF(COUNTIFS($A$10:$A$89,$C179)&lt;&gt;1,"brak danych",IF(COUNTIFS($A$10:$A$89,$C179,$F$10:$F$89,"&lt;&gt;")=0,"brak danych",VLOOKUP($C179,$A$10:$J$89,6,FALSE)*$F179)))))</x:f>
      </x:c>
      <x:c r="M179" s="25" t="str">
        <x:f>IF($A179="","",IF($F179="","",IF($F179=0,0,IF(COUNTIFS($A$10:$A$89,$C179)&lt;&gt;1,"brak danych",IF(COUNTIFS($A$10:$A$89,$C179,$G$10:$G$89,"&lt;&gt;")=0,"brak danych",VLOOKUP($C179,$A$10:$J$89,7,FALSE)*$F179)))))</x:f>
      </x:c>
      <x:c r="N179" s="25" t="str">
        <x:f>IF($A179="","",IF($F179="","",IF($F179=0,0,IF(COUNTIFS($A$10:$A$89,$C179)&lt;&gt;1,"brak danych",IF(COUNTIFS($A$10:$A$89,$C179,$H$10:$H$89,"&lt;&gt;")=0,"brak danych",VLOOKUP($C179,$A$10:$J$89,8,FALSE)*$F179)))))</x:f>
      </x:c>
      <x:c r="O179" s="25" t="str">
        <x:f>IF($A179="","",IF($F179="","",IF($F179=0,0,IF(COUNTIFS($A$10:$A$89,$C179)&lt;&gt;1,"brak danych",IF(COUNTIFS($A$10:$A$89,$C179,$I$10:$I$89,"&lt;&gt;")=0,"brak danych",VLOOKUP($C179,$A$10:$J$89,9,FALSE)*$F179)))))</x:f>
      </x:c>
      <x:c r="P179" s="25" t="str">
        <x:f>IF($A179="","",IF($F179="","",IF($F179=0,0,IF(COUNTIFS($A$10:$A$89,$C179)&lt;&gt;1,"brak danych",IF(COUNTIFS($A$10:$A$89,$C179,$J$10:$J$89,"&lt;&gt;")=0,"brak danych",VLOOKUP($C179,$A$10:$J$89,10,FALSE)*$F179)))))</x:f>
      </x:c>
      <x:c r="Q179" s="18"/>
    </x:row>
    <x:row r="180" ht="25" customHeight="1">
      <x:c r="A180" s="6"/>
      <x:c r="B180" s="30"/>
      <x:c r="C180" s="5"/>
      <x:c r="D180" s="5"/>
      <x:c r="E180" s="32"/>
      <x:c r="F180" s="32"/>
      <x:c r="G180" s="24" t="str">
        <x:f>IF($A180="","",IF(AND($C180="",$E180=""),"",IF($E180="","brak danych",IF($E180=0,0,IF(COUNTIFS($A$10:$A$89,$C180)&lt;&gt;1,"brak danych",IF(COUNTIFS($A$10:$A$89,$C180,$F$10:$F$89,"&lt;&gt;")=0,"brak danych",VLOOKUP($C180,$A$10:$J$89,6,FALSE)*$E180))))))</x:f>
      </x:c>
      <x:c r="H180" s="25" t="str">
        <x:f>IF($A180="","",IF(AND($C180="",$E180=""),"",IF($E180="","brak danych",IF($E180=0,0,IF(COUNTIFS($A$10:$A$89,$C180)&lt;&gt;1,"brak danych",IF(COUNTIFS($A$10:$A$89,$C180,$G$10:$G$89,"&lt;&gt;")=0,"brak danych",VLOOKUP($C180,$A$10:$J$89,7,FALSE)*$E180))))))</x:f>
      </x:c>
      <x:c r="I180" s="25" t="str">
        <x:f>IF($A180="","",IF(AND($C180="",$E180=""),"",IF($E180="","brak danych",IF($E180=0,0,IF(COUNTIFS($A$10:$A$89,$C180)&lt;&gt;1,"brak danych",IF(COUNTIFS($A$10:$A$89,$C180,$H$10:$H$89,"&lt;&gt;")=0,"brak danych",VLOOKUP($C180,$A$10:$J$89,8,FALSE)*$E180))))))</x:f>
      </x:c>
      <x:c r="J180" s="25" t="str">
        <x:f>IF($A180="","",IF(AND($C180="",$E180=""),"",IF($E180="","brak danych",IF($E180=0,0,IF(COUNTIFS($A$10:$A$89,$C180)&lt;&gt;1,"brak danych",IF(COUNTIFS($A$10:$A$89,$C180,$I$10:$I$89,"&lt;&gt;")=0,"brak danych",VLOOKUP($C180,$A$10:$J$89,9,FALSE)*$E180))))))</x:f>
      </x:c>
      <x:c r="K180" s="25" t="str">
        <x:f>IF($A180="","",IF(AND($C180="",$E180=""),"",IF($E180="","brak danych",IF($E180=0,0,IF(COUNTIFS($A$10:$A$89,$C180)&lt;&gt;1,"brak danych",IF(COUNTIFS($A$10:$A$89,$C180,$J$10:$J$89,"&lt;&gt;")=0,"brak danych",VLOOKUP($C180,$A$10:$J$89,10,FALSE)*$E180))))))</x:f>
      </x:c>
      <x:c r="L180" s="24" t="str">
        <x:f>IF($A180="","",IF($F180="","",IF($F180=0,0,IF(COUNTIFS($A$10:$A$89,$C180)&lt;&gt;1,"brak danych",IF(COUNTIFS($A$10:$A$89,$C180,$F$10:$F$89,"&lt;&gt;")=0,"brak danych",VLOOKUP($C180,$A$10:$J$89,6,FALSE)*$F180)))))</x:f>
      </x:c>
      <x:c r="M180" s="25" t="str">
        <x:f>IF($A180="","",IF($F180="","",IF($F180=0,0,IF(COUNTIFS($A$10:$A$89,$C180)&lt;&gt;1,"brak danych",IF(COUNTIFS($A$10:$A$89,$C180,$G$10:$G$89,"&lt;&gt;")=0,"brak danych",VLOOKUP($C180,$A$10:$J$89,7,FALSE)*$F180)))))</x:f>
      </x:c>
      <x:c r="N180" s="25" t="str">
        <x:f>IF($A180="","",IF($F180="","",IF($F180=0,0,IF(COUNTIFS($A$10:$A$89,$C180)&lt;&gt;1,"brak danych",IF(COUNTIFS($A$10:$A$89,$C180,$H$10:$H$89,"&lt;&gt;")=0,"brak danych",VLOOKUP($C180,$A$10:$J$89,8,FALSE)*$F180)))))</x:f>
      </x:c>
      <x:c r="O180" s="25" t="str">
        <x:f>IF($A180="","",IF($F180="","",IF($F180=0,0,IF(COUNTIFS($A$10:$A$89,$C180)&lt;&gt;1,"brak danych",IF(COUNTIFS($A$10:$A$89,$C180,$I$10:$I$89,"&lt;&gt;")=0,"brak danych",VLOOKUP($C180,$A$10:$J$89,9,FALSE)*$F180)))))</x:f>
      </x:c>
      <x:c r="P180" s="25" t="str">
        <x:f>IF($A180="","",IF($F180="","",IF($F180=0,0,IF(COUNTIFS($A$10:$A$89,$C180)&lt;&gt;1,"brak danych",IF(COUNTIFS($A$10:$A$89,$C180,$J$10:$J$89,"&lt;&gt;")=0,"brak danych",VLOOKUP($C180,$A$10:$J$89,10,FALSE)*$F180)))))</x:f>
      </x:c>
      <x:c r="Q180" s="18"/>
    </x:row>
    <x:row r="181" ht="25" customHeight="1">
      <x:c r="A181" s="6"/>
      <x:c r="B181" s="30"/>
      <x:c r="C181" s="5"/>
      <x:c r="D181" s="5"/>
      <x:c r="E181" s="32"/>
      <x:c r="F181" s="32"/>
      <x:c r="G181" s="24" t="str">
        <x:f>IF($A181="","",IF(AND($C181="",$E181=""),"",IF($E181="","brak danych",IF($E181=0,0,IF(COUNTIFS($A$10:$A$89,$C181)&lt;&gt;1,"brak danych",IF(COUNTIFS($A$10:$A$89,$C181,$F$10:$F$89,"&lt;&gt;")=0,"brak danych",VLOOKUP($C181,$A$10:$J$89,6,FALSE)*$E181))))))</x:f>
      </x:c>
      <x:c r="H181" s="25" t="str">
        <x:f>IF($A181="","",IF(AND($C181="",$E181=""),"",IF($E181="","brak danych",IF($E181=0,0,IF(COUNTIFS($A$10:$A$89,$C181)&lt;&gt;1,"brak danych",IF(COUNTIFS($A$10:$A$89,$C181,$G$10:$G$89,"&lt;&gt;")=0,"brak danych",VLOOKUP($C181,$A$10:$J$89,7,FALSE)*$E181))))))</x:f>
      </x:c>
      <x:c r="I181" s="25" t="str">
        <x:f>IF($A181="","",IF(AND($C181="",$E181=""),"",IF($E181="","brak danych",IF($E181=0,0,IF(COUNTIFS($A$10:$A$89,$C181)&lt;&gt;1,"brak danych",IF(COUNTIFS($A$10:$A$89,$C181,$H$10:$H$89,"&lt;&gt;")=0,"brak danych",VLOOKUP($C181,$A$10:$J$89,8,FALSE)*$E181))))))</x:f>
      </x:c>
      <x:c r="J181" s="25" t="str">
        <x:f>IF($A181="","",IF(AND($C181="",$E181=""),"",IF($E181="","brak danych",IF($E181=0,0,IF(COUNTIFS($A$10:$A$89,$C181)&lt;&gt;1,"brak danych",IF(COUNTIFS($A$10:$A$89,$C181,$I$10:$I$89,"&lt;&gt;")=0,"brak danych",VLOOKUP($C181,$A$10:$J$89,9,FALSE)*$E181))))))</x:f>
      </x:c>
      <x:c r="K181" s="25" t="str">
        <x:f>IF($A181="","",IF(AND($C181="",$E181=""),"",IF($E181="","brak danych",IF($E181=0,0,IF(COUNTIFS($A$10:$A$89,$C181)&lt;&gt;1,"brak danych",IF(COUNTIFS($A$10:$A$89,$C181,$J$10:$J$89,"&lt;&gt;")=0,"brak danych",VLOOKUP($C181,$A$10:$J$89,10,FALSE)*$E181))))))</x:f>
      </x:c>
      <x:c r="L181" s="24" t="str">
        <x:f>IF($A181="","",IF($F181="","",IF($F181=0,0,IF(COUNTIFS($A$10:$A$89,$C181)&lt;&gt;1,"brak danych",IF(COUNTIFS($A$10:$A$89,$C181,$F$10:$F$89,"&lt;&gt;")=0,"brak danych",VLOOKUP($C181,$A$10:$J$89,6,FALSE)*$F181)))))</x:f>
      </x:c>
      <x:c r="M181" s="25" t="str">
        <x:f>IF($A181="","",IF($F181="","",IF($F181=0,0,IF(COUNTIFS($A$10:$A$89,$C181)&lt;&gt;1,"brak danych",IF(COUNTIFS($A$10:$A$89,$C181,$G$10:$G$89,"&lt;&gt;")=0,"brak danych",VLOOKUP($C181,$A$10:$J$89,7,FALSE)*$F181)))))</x:f>
      </x:c>
      <x:c r="N181" s="25" t="str">
        <x:f>IF($A181="","",IF($F181="","",IF($F181=0,0,IF(COUNTIFS($A$10:$A$89,$C181)&lt;&gt;1,"brak danych",IF(COUNTIFS($A$10:$A$89,$C181,$H$10:$H$89,"&lt;&gt;")=0,"brak danych",VLOOKUP($C181,$A$10:$J$89,8,FALSE)*$F181)))))</x:f>
      </x:c>
      <x:c r="O181" s="25" t="str">
        <x:f>IF($A181="","",IF($F181="","",IF($F181=0,0,IF(COUNTIFS($A$10:$A$89,$C181)&lt;&gt;1,"brak danych",IF(COUNTIFS($A$10:$A$89,$C181,$I$10:$I$89,"&lt;&gt;")=0,"brak danych",VLOOKUP($C181,$A$10:$J$89,9,FALSE)*$F181)))))</x:f>
      </x:c>
      <x:c r="P181" s="25" t="str">
        <x:f>IF($A181="","",IF($F181="","",IF($F181=0,0,IF(COUNTIFS($A$10:$A$89,$C181)&lt;&gt;1,"brak danych",IF(COUNTIFS($A$10:$A$89,$C181,$J$10:$J$89,"&lt;&gt;")=0,"brak danych",VLOOKUP($C181,$A$10:$J$89,10,FALSE)*$F181)))))</x:f>
      </x:c>
      <x:c r="Q181" s="18"/>
    </x:row>
    <x:row r="182" ht="25" customHeight="1">
      <x:c r="A182" s="6"/>
      <x:c r="B182" s="30"/>
      <x:c r="C182" s="5"/>
      <x:c r="D182" s="5"/>
      <x:c r="E182" s="32"/>
      <x:c r="F182" s="32"/>
      <x:c r="G182" s="24" t="str">
        <x:f>IF($A182="","",IF(AND($C182="",$E182=""),"",IF($E182="","brak danych",IF($E182=0,0,IF(COUNTIFS($A$10:$A$89,$C182)&lt;&gt;1,"brak danych",IF(COUNTIFS($A$10:$A$89,$C182,$F$10:$F$89,"&lt;&gt;")=0,"brak danych",VLOOKUP($C182,$A$10:$J$89,6,FALSE)*$E182))))))</x:f>
      </x:c>
      <x:c r="H182" s="25" t="str">
        <x:f>IF($A182="","",IF(AND($C182="",$E182=""),"",IF($E182="","brak danych",IF($E182=0,0,IF(COUNTIFS($A$10:$A$89,$C182)&lt;&gt;1,"brak danych",IF(COUNTIFS($A$10:$A$89,$C182,$G$10:$G$89,"&lt;&gt;")=0,"brak danych",VLOOKUP($C182,$A$10:$J$89,7,FALSE)*$E182))))))</x:f>
      </x:c>
      <x:c r="I182" s="25" t="str">
        <x:f>IF($A182="","",IF(AND($C182="",$E182=""),"",IF($E182="","brak danych",IF($E182=0,0,IF(COUNTIFS($A$10:$A$89,$C182)&lt;&gt;1,"brak danych",IF(COUNTIFS($A$10:$A$89,$C182,$H$10:$H$89,"&lt;&gt;")=0,"brak danych",VLOOKUP($C182,$A$10:$J$89,8,FALSE)*$E182))))))</x:f>
      </x:c>
      <x:c r="J182" s="25" t="str">
        <x:f>IF($A182="","",IF(AND($C182="",$E182=""),"",IF($E182="","brak danych",IF($E182=0,0,IF(COUNTIFS($A$10:$A$89,$C182)&lt;&gt;1,"brak danych",IF(COUNTIFS($A$10:$A$89,$C182,$I$10:$I$89,"&lt;&gt;")=0,"brak danych",VLOOKUP($C182,$A$10:$J$89,9,FALSE)*$E182))))))</x:f>
      </x:c>
      <x:c r="K182" s="25" t="str">
        <x:f>IF($A182="","",IF(AND($C182="",$E182=""),"",IF($E182="","brak danych",IF($E182=0,0,IF(COUNTIFS($A$10:$A$89,$C182)&lt;&gt;1,"brak danych",IF(COUNTIFS($A$10:$A$89,$C182,$J$10:$J$89,"&lt;&gt;")=0,"brak danych",VLOOKUP($C182,$A$10:$J$89,10,FALSE)*$E182))))))</x:f>
      </x:c>
      <x:c r="L182" s="24" t="str">
        <x:f>IF($A182="","",IF($F182="","",IF($F182=0,0,IF(COUNTIFS($A$10:$A$89,$C182)&lt;&gt;1,"brak danych",IF(COUNTIFS($A$10:$A$89,$C182,$F$10:$F$89,"&lt;&gt;")=0,"brak danych",VLOOKUP($C182,$A$10:$J$89,6,FALSE)*$F182)))))</x:f>
      </x:c>
      <x:c r="M182" s="25" t="str">
        <x:f>IF($A182="","",IF($F182="","",IF($F182=0,0,IF(COUNTIFS($A$10:$A$89,$C182)&lt;&gt;1,"brak danych",IF(COUNTIFS($A$10:$A$89,$C182,$G$10:$G$89,"&lt;&gt;")=0,"brak danych",VLOOKUP($C182,$A$10:$J$89,7,FALSE)*$F182)))))</x:f>
      </x:c>
      <x:c r="N182" s="25" t="str">
        <x:f>IF($A182="","",IF($F182="","",IF($F182=0,0,IF(COUNTIFS($A$10:$A$89,$C182)&lt;&gt;1,"brak danych",IF(COUNTIFS($A$10:$A$89,$C182,$H$10:$H$89,"&lt;&gt;")=0,"brak danych",VLOOKUP($C182,$A$10:$J$89,8,FALSE)*$F182)))))</x:f>
      </x:c>
      <x:c r="O182" s="25" t="str">
        <x:f>IF($A182="","",IF($F182="","",IF($F182=0,0,IF(COUNTIFS($A$10:$A$89,$C182)&lt;&gt;1,"brak danych",IF(COUNTIFS($A$10:$A$89,$C182,$I$10:$I$89,"&lt;&gt;")=0,"brak danych",VLOOKUP($C182,$A$10:$J$89,9,FALSE)*$F182)))))</x:f>
      </x:c>
      <x:c r="P182" s="25" t="str">
        <x:f>IF($A182="","",IF($F182="","",IF($F182=0,0,IF(COUNTIFS($A$10:$A$89,$C182)&lt;&gt;1,"brak danych",IF(COUNTIFS($A$10:$A$89,$C182,$J$10:$J$89,"&lt;&gt;")=0,"brak danych",VLOOKUP($C182,$A$10:$J$89,10,FALSE)*$F182)))))</x:f>
      </x:c>
      <x:c r="Q182" s="18"/>
    </x:row>
    <x:row r="183" ht="25" customHeight="1">
      <x:c r="A183" s="6"/>
      <x:c r="B183" s="30"/>
      <x:c r="C183" s="5"/>
      <x:c r="D183" s="5"/>
      <x:c r="E183" s="32"/>
      <x:c r="F183" s="32"/>
      <x:c r="G183" s="24" t="str">
        <x:f>IF($A183="","",IF(AND($C183="",$E183=""),"",IF($E183="","brak danych",IF($E183=0,0,IF(COUNTIFS($A$10:$A$89,$C183)&lt;&gt;1,"brak danych",IF(COUNTIFS($A$10:$A$89,$C183,$F$10:$F$89,"&lt;&gt;")=0,"brak danych",VLOOKUP($C183,$A$10:$J$89,6,FALSE)*$E183))))))</x:f>
      </x:c>
      <x:c r="H183" s="25" t="str">
        <x:f>IF($A183="","",IF(AND($C183="",$E183=""),"",IF($E183="","brak danych",IF($E183=0,0,IF(COUNTIFS($A$10:$A$89,$C183)&lt;&gt;1,"brak danych",IF(COUNTIFS($A$10:$A$89,$C183,$G$10:$G$89,"&lt;&gt;")=0,"brak danych",VLOOKUP($C183,$A$10:$J$89,7,FALSE)*$E183))))))</x:f>
      </x:c>
      <x:c r="I183" s="25" t="str">
        <x:f>IF($A183="","",IF(AND($C183="",$E183=""),"",IF($E183="","brak danych",IF($E183=0,0,IF(COUNTIFS($A$10:$A$89,$C183)&lt;&gt;1,"brak danych",IF(COUNTIFS($A$10:$A$89,$C183,$H$10:$H$89,"&lt;&gt;")=0,"brak danych",VLOOKUP($C183,$A$10:$J$89,8,FALSE)*$E183))))))</x:f>
      </x:c>
      <x:c r="J183" s="25" t="str">
        <x:f>IF($A183="","",IF(AND($C183="",$E183=""),"",IF($E183="","brak danych",IF($E183=0,0,IF(COUNTIFS($A$10:$A$89,$C183)&lt;&gt;1,"brak danych",IF(COUNTIFS($A$10:$A$89,$C183,$I$10:$I$89,"&lt;&gt;")=0,"brak danych",VLOOKUP($C183,$A$10:$J$89,9,FALSE)*$E183))))))</x:f>
      </x:c>
      <x:c r="K183" s="25" t="str">
        <x:f>IF($A183="","",IF(AND($C183="",$E183=""),"",IF($E183="","brak danych",IF($E183=0,0,IF(COUNTIFS($A$10:$A$89,$C183)&lt;&gt;1,"brak danych",IF(COUNTIFS($A$10:$A$89,$C183,$J$10:$J$89,"&lt;&gt;")=0,"brak danych",VLOOKUP($C183,$A$10:$J$89,10,FALSE)*$E183))))))</x:f>
      </x:c>
      <x:c r="L183" s="24" t="str">
        <x:f>IF($A183="","",IF($F183="","",IF($F183=0,0,IF(COUNTIFS($A$10:$A$89,$C183)&lt;&gt;1,"brak danych",IF(COUNTIFS($A$10:$A$89,$C183,$F$10:$F$89,"&lt;&gt;")=0,"brak danych",VLOOKUP($C183,$A$10:$J$89,6,FALSE)*$F183)))))</x:f>
      </x:c>
      <x:c r="M183" s="25" t="str">
        <x:f>IF($A183="","",IF($F183="","",IF($F183=0,0,IF(COUNTIFS($A$10:$A$89,$C183)&lt;&gt;1,"brak danych",IF(COUNTIFS($A$10:$A$89,$C183,$G$10:$G$89,"&lt;&gt;")=0,"brak danych",VLOOKUP($C183,$A$10:$J$89,7,FALSE)*$F183)))))</x:f>
      </x:c>
      <x:c r="N183" s="25" t="str">
        <x:f>IF($A183="","",IF($F183="","",IF($F183=0,0,IF(COUNTIFS($A$10:$A$89,$C183)&lt;&gt;1,"brak danych",IF(COUNTIFS($A$10:$A$89,$C183,$H$10:$H$89,"&lt;&gt;")=0,"brak danych",VLOOKUP($C183,$A$10:$J$89,8,FALSE)*$F183)))))</x:f>
      </x:c>
      <x:c r="O183" s="25" t="str">
        <x:f>IF($A183="","",IF($F183="","",IF($F183=0,0,IF(COUNTIFS($A$10:$A$89,$C183)&lt;&gt;1,"brak danych",IF(COUNTIFS($A$10:$A$89,$C183,$I$10:$I$89,"&lt;&gt;")=0,"brak danych",VLOOKUP($C183,$A$10:$J$89,9,FALSE)*$F183)))))</x:f>
      </x:c>
      <x:c r="P183" s="25" t="str">
        <x:f>IF($A183="","",IF($F183="","",IF($F183=0,0,IF(COUNTIFS($A$10:$A$89,$C183)&lt;&gt;1,"brak danych",IF(COUNTIFS($A$10:$A$89,$C183,$J$10:$J$89,"&lt;&gt;")=0,"brak danych",VLOOKUP($C183,$A$10:$J$89,10,FALSE)*$F183)))))</x:f>
      </x:c>
      <x:c r="Q183" s="18"/>
    </x:row>
    <x:row r="184" ht="25" customHeight="1">
      <x:c r="A184" s="6"/>
      <x:c r="B184" s="30"/>
      <x:c r="C184" s="5"/>
      <x:c r="D184" s="5"/>
      <x:c r="E184" s="32"/>
      <x:c r="F184" s="32"/>
      <x:c r="G184" s="24" t="str">
        <x:f>IF($A184="","",IF(AND($C184="",$E184=""),"",IF($E184="","brak danych",IF($E184=0,0,IF(COUNTIFS($A$10:$A$89,$C184)&lt;&gt;1,"brak danych",IF(COUNTIFS($A$10:$A$89,$C184,$F$10:$F$89,"&lt;&gt;")=0,"brak danych",VLOOKUP($C184,$A$10:$J$89,6,FALSE)*$E184))))))</x:f>
      </x:c>
      <x:c r="H184" s="25" t="str">
        <x:f>IF($A184="","",IF(AND($C184="",$E184=""),"",IF($E184="","brak danych",IF($E184=0,0,IF(COUNTIFS($A$10:$A$89,$C184)&lt;&gt;1,"brak danych",IF(COUNTIFS($A$10:$A$89,$C184,$G$10:$G$89,"&lt;&gt;")=0,"brak danych",VLOOKUP($C184,$A$10:$J$89,7,FALSE)*$E184))))))</x:f>
      </x:c>
      <x:c r="I184" s="25" t="str">
        <x:f>IF($A184="","",IF(AND($C184="",$E184=""),"",IF($E184="","brak danych",IF($E184=0,0,IF(COUNTIFS($A$10:$A$89,$C184)&lt;&gt;1,"brak danych",IF(COUNTIFS($A$10:$A$89,$C184,$H$10:$H$89,"&lt;&gt;")=0,"brak danych",VLOOKUP($C184,$A$10:$J$89,8,FALSE)*$E184))))))</x:f>
      </x:c>
      <x:c r="J184" s="25" t="str">
        <x:f>IF($A184="","",IF(AND($C184="",$E184=""),"",IF($E184="","brak danych",IF($E184=0,0,IF(COUNTIFS($A$10:$A$89,$C184)&lt;&gt;1,"brak danych",IF(COUNTIFS($A$10:$A$89,$C184,$I$10:$I$89,"&lt;&gt;")=0,"brak danych",VLOOKUP($C184,$A$10:$J$89,9,FALSE)*$E184))))))</x:f>
      </x:c>
      <x:c r="K184" s="25" t="str">
        <x:f>IF($A184="","",IF(AND($C184="",$E184=""),"",IF($E184="","brak danych",IF($E184=0,0,IF(COUNTIFS($A$10:$A$89,$C184)&lt;&gt;1,"brak danych",IF(COUNTIFS($A$10:$A$89,$C184,$J$10:$J$89,"&lt;&gt;")=0,"brak danych",VLOOKUP($C184,$A$10:$J$89,10,FALSE)*$E184))))))</x:f>
      </x:c>
      <x:c r="L184" s="24" t="str">
        <x:f>IF($A184="","",IF($F184="","",IF($F184=0,0,IF(COUNTIFS($A$10:$A$89,$C184)&lt;&gt;1,"brak danych",IF(COUNTIFS($A$10:$A$89,$C184,$F$10:$F$89,"&lt;&gt;")=0,"brak danych",VLOOKUP($C184,$A$10:$J$89,6,FALSE)*$F184)))))</x:f>
      </x:c>
      <x:c r="M184" s="25" t="str">
        <x:f>IF($A184="","",IF($F184="","",IF($F184=0,0,IF(COUNTIFS($A$10:$A$89,$C184)&lt;&gt;1,"brak danych",IF(COUNTIFS($A$10:$A$89,$C184,$G$10:$G$89,"&lt;&gt;")=0,"brak danych",VLOOKUP($C184,$A$10:$J$89,7,FALSE)*$F184)))))</x:f>
      </x:c>
      <x:c r="N184" s="25" t="str">
        <x:f>IF($A184="","",IF($F184="","",IF($F184=0,0,IF(COUNTIFS($A$10:$A$89,$C184)&lt;&gt;1,"brak danych",IF(COUNTIFS($A$10:$A$89,$C184,$H$10:$H$89,"&lt;&gt;")=0,"brak danych",VLOOKUP($C184,$A$10:$J$89,8,FALSE)*$F184)))))</x:f>
      </x:c>
      <x:c r="O184" s="25" t="str">
        <x:f>IF($A184="","",IF($F184="","",IF($F184=0,0,IF(COUNTIFS($A$10:$A$89,$C184)&lt;&gt;1,"brak danych",IF(COUNTIFS($A$10:$A$89,$C184,$I$10:$I$89,"&lt;&gt;")=0,"brak danych",VLOOKUP($C184,$A$10:$J$89,9,FALSE)*$F184)))))</x:f>
      </x:c>
      <x:c r="P184" s="25" t="str">
        <x:f>IF($A184="","",IF($F184="","",IF($F184=0,0,IF(COUNTIFS($A$10:$A$89,$C184)&lt;&gt;1,"brak danych",IF(COUNTIFS($A$10:$A$89,$C184,$J$10:$J$89,"&lt;&gt;")=0,"brak danych",VLOOKUP($C184,$A$10:$J$89,10,FALSE)*$F184)))))</x:f>
      </x:c>
      <x:c r="Q184" s="18"/>
    </x:row>
    <x:row r="185" ht="25" customHeight="1">
      <x:c r="A185" s="6"/>
      <x:c r="B185" s="30"/>
      <x:c r="C185" s="5"/>
      <x:c r="D185" s="5"/>
      <x:c r="E185" s="32"/>
      <x:c r="F185" s="32"/>
      <x:c r="G185" s="24" t="str">
        <x:f>IF($A185="","",IF(AND($C185="",$E185=""),"",IF($E185="","brak danych",IF($E185=0,0,IF(COUNTIFS($A$10:$A$89,$C185)&lt;&gt;1,"brak danych",IF(COUNTIFS($A$10:$A$89,$C185,$F$10:$F$89,"&lt;&gt;")=0,"brak danych",VLOOKUP($C185,$A$10:$J$89,6,FALSE)*$E185))))))</x:f>
      </x:c>
      <x:c r="H185" s="25" t="str">
        <x:f>IF($A185="","",IF(AND($C185="",$E185=""),"",IF($E185="","brak danych",IF($E185=0,0,IF(COUNTIFS($A$10:$A$89,$C185)&lt;&gt;1,"brak danych",IF(COUNTIFS($A$10:$A$89,$C185,$G$10:$G$89,"&lt;&gt;")=0,"brak danych",VLOOKUP($C185,$A$10:$J$89,7,FALSE)*$E185))))))</x:f>
      </x:c>
      <x:c r="I185" s="25" t="str">
        <x:f>IF($A185="","",IF(AND($C185="",$E185=""),"",IF($E185="","brak danych",IF($E185=0,0,IF(COUNTIFS($A$10:$A$89,$C185)&lt;&gt;1,"brak danych",IF(COUNTIFS($A$10:$A$89,$C185,$H$10:$H$89,"&lt;&gt;")=0,"brak danych",VLOOKUP($C185,$A$10:$J$89,8,FALSE)*$E185))))))</x:f>
      </x:c>
      <x:c r="J185" s="25" t="str">
        <x:f>IF($A185="","",IF(AND($C185="",$E185=""),"",IF($E185="","brak danych",IF($E185=0,0,IF(COUNTIFS($A$10:$A$89,$C185)&lt;&gt;1,"brak danych",IF(COUNTIFS($A$10:$A$89,$C185,$I$10:$I$89,"&lt;&gt;")=0,"brak danych",VLOOKUP($C185,$A$10:$J$89,9,FALSE)*$E185))))))</x:f>
      </x:c>
      <x:c r="K185" s="25" t="str">
        <x:f>IF($A185="","",IF(AND($C185="",$E185=""),"",IF($E185="","brak danych",IF($E185=0,0,IF(COUNTIFS($A$10:$A$89,$C185)&lt;&gt;1,"brak danych",IF(COUNTIFS($A$10:$A$89,$C185,$J$10:$J$89,"&lt;&gt;")=0,"brak danych",VLOOKUP($C185,$A$10:$J$89,10,FALSE)*$E185))))))</x:f>
      </x:c>
      <x:c r="L185" s="24" t="str">
        <x:f>IF($A185="","",IF($F185="","",IF($F185=0,0,IF(COUNTIFS($A$10:$A$89,$C185)&lt;&gt;1,"brak danych",IF(COUNTIFS($A$10:$A$89,$C185,$F$10:$F$89,"&lt;&gt;")=0,"brak danych",VLOOKUP($C185,$A$10:$J$89,6,FALSE)*$F185)))))</x:f>
      </x:c>
      <x:c r="M185" s="25" t="str">
        <x:f>IF($A185="","",IF($F185="","",IF($F185=0,0,IF(COUNTIFS($A$10:$A$89,$C185)&lt;&gt;1,"brak danych",IF(COUNTIFS($A$10:$A$89,$C185,$G$10:$G$89,"&lt;&gt;")=0,"brak danych",VLOOKUP($C185,$A$10:$J$89,7,FALSE)*$F185)))))</x:f>
      </x:c>
      <x:c r="N185" s="25" t="str">
        <x:f>IF($A185="","",IF($F185="","",IF($F185=0,0,IF(COUNTIFS($A$10:$A$89,$C185)&lt;&gt;1,"brak danych",IF(COUNTIFS($A$10:$A$89,$C185,$H$10:$H$89,"&lt;&gt;")=0,"brak danych",VLOOKUP($C185,$A$10:$J$89,8,FALSE)*$F185)))))</x:f>
      </x:c>
      <x:c r="O185" s="25" t="str">
        <x:f>IF($A185="","",IF($F185="","",IF($F185=0,0,IF(COUNTIFS($A$10:$A$89,$C185)&lt;&gt;1,"brak danych",IF(COUNTIFS($A$10:$A$89,$C185,$I$10:$I$89,"&lt;&gt;")=0,"brak danych",VLOOKUP($C185,$A$10:$J$89,9,FALSE)*$F185)))))</x:f>
      </x:c>
      <x:c r="P185" s="25" t="str">
        <x:f>IF($A185="","",IF($F185="","",IF($F185=0,0,IF(COUNTIFS($A$10:$A$89,$C185)&lt;&gt;1,"brak danych",IF(COUNTIFS($A$10:$A$89,$C185,$J$10:$J$89,"&lt;&gt;")=0,"brak danych",VLOOKUP($C185,$A$10:$J$89,10,FALSE)*$F185)))))</x:f>
      </x:c>
      <x:c r="Q185" s="18"/>
    </x:row>
    <x:row r="186" ht="25" customHeight="1">
      <x:c r="A186" s="6"/>
      <x:c r="B186" s="30"/>
      <x:c r="C186" s="5"/>
      <x:c r="D186" s="5"/>
      <x:c r="E186" s="32"/>
      <x:c r="F186" s="32"/>
      <x:c r="G186" s="24" t="str">
        <x:f>IF($A186="","",IF(AND($C186="",$E186=""),"",IF($E186="","brak danych",IF($E186=0,0,IF(COUNTIFS($A$10:$A$89,$C186)&lt;&gt;1,"brak danych",IF(COUNTIFS($A$10:$A$89,$C186,$F$10:$F$89,"&lt;&gt;")=0,"brak danych",VLOOKUP($C186,$A$10:$J$89,6,FALSE)*$E186))))))</x:f>
      </x:c>
      <x:c r="H186" s="25" t="str">
        <x:f>IF($A186="","",IF(AND($C186="",$E186=""),"",IF($E186="","brak danych",IF($E186=0,0,IF(COUNTIFS($A$10:$A$89,$C186)&lt;&gt;1,"brak danych",IF(COUNTIFS($A$10:$A$89,$C186,$G$10:$G$89,"&lt;&gt;")=0,"brak danych",VLOOKUP($C186,$A$10:$J$89,7,FALSE)*$E186))))))</x:f>
      </x:c>
      <x:c r="I186" s="25" t="str">
        <x:f>IF($A186="","",IF(AND($C186="",$E186=""),"",IF($E186="","brak danych",IF($E186=0,0,IF(COUNTIFS($A$10:$A$89,$C186)&lt;&gt;1,"brak danych",IF(COUNTIFS($A$10:$A$89,$C186,$H$10:$H$89,"&lt;&gt;")=0,"brak danych",VLOOKUP($C186,$A$10:$J$89,8,FALSE)*$E186))))))</x:f>
      </x:c>
      <x:c r="J186" s="25" t="str">
        <x:f>IF($A186="","",IF(AND($C186="",$E186=""),"",IF($E186="","brak danych",IF($E186=0,0,IF(COUNTIFS($A$10:$A$89,$C186)&lt;&gt;1,"brak danych",IF(COUNTIFS($A$10:$A$89,$C186,$I$10:$I$89,"&lt;&gt;")=0,"brak danych",VLOOKUP($C186,$A$10:$J$89,9,FALSE)*$E186))))))</x:f>
      </x:c>
      <x:c r="K186" s="25" t="str">
        <x:f>IF($A186="","",IF(AND($C186="",$E186=""),"",IF($E186="","brak danych",IF($E186=0,0,IF(COUNTIFS($A$10:$A$89,$C186)&lt;&gt;1,"brak danych",IF(COUNTIFS($A$10:$A$89,$C186,$J$10:$J$89,"&lt;&gt;")=0,"brak danych",VLOOKUP($C186,$A$10:$J$89,10,FALSE)*$E186))))))</x:f>
      </x:c>
      <x:c r="L186" s="24" t="str">
        <x:f>IF($A186="","",IF($F186="","",IF($F186=0,0,IF(COUNTIFS($A$10:$A$89,$C186)&lt;&gt;1,"brak danych",IF(COUNTIFS($A$10:$A$89,$C186,$F$10:$F$89,"&lt;&gt;")=0,"brak danych",VLOOKUP($C186,$A$10:$J$89,6,FALSE)*$F186)))))</x:f>
      </x:c>
      <x:c r="M186" s="25" t="str">
        <x:f>IF($A186="","",IF($F186="","",IF($F186=0,0,IF(COUNTIFS($A$10:$A$89,$C186)&lt;&gt;1,"brak danych",IF(COUNTIFS($A$10:$A$89,$C186,$G$10:$G$89,"&lt;&gt;")=0,"brak danych",VLOOKUP($C186,$A$10:$J$89,7,FALSE)*$F186)))))</x:f>
      </x:c>
      <x:c r="N186" s="25" t="str">
        <x:f>IF($A186="","",IF($F186="","",IF($F186=0,0,IF(COUNTIFS($A$10:$A$89,$C186)&lt;&gt;1,"brak danych",IF(COUNTIFS($A$10:$A$89,$C186,$H$10:$H$89,"&lt;&gt;")=0,"brak danych",VLOOKUP($C186,$A$10:$J$89,8,FALSE)*$F186)))))</x:f>
      </x:c>
      <x:c r="O186" s="25" t="str">
        <x:f>IF($A186="","",IF($F186="","",IF($F186=0,0,IF(COUNTIFS($A$10:$A$89,$C186)&lt;&gt;1,"brak danych",IF(COUNTIFS($A$10:$A$89,$C186,$I$10:$I$89,"&lt;&gt;")=0,"brak danych",VLOOKUP($C186,$A$10:$J$89,9,FALSE)*$F186)))))</x:f>
      </x:c>
      <x:c r="P186" s="25" t="str">
        <x:f>IF($A186="","",IF($F186="","",IF($F186=0,0,IF(COUNTIFS($A$10:$A$89,$C186)&lt;&gt;1,"brak danych",IF(COUNTIFS($A$10:$A$89,$C186,$J$10:$J$89,"&lt;&gt;")=0,"brak danych",VLOOKUP($C186,$A$10:$J$89,10,FALSE)*$F186)))))</x:f>
      </x:c>
      <x:c r="Q186" s="18"/>
    </x:row>
    <x:row r="187" ht="25" customHeight="1">
      <x:c r="A187" s="6"/>
      <x:c r="B187" s="30"/>
      <x:c r="C187" s="5"/>
      <x:c r="D187" s="5"/>
      <x:c r="E187" s="32"/>
      <x:c r="F187" s="32"/>
      <x:c r="G187" s="24" t="str">
        <x:f>IF($A187="","",IF(AND($C187="",$E187=""),"",IF($E187="","brak danych",IF($E187=0,0,IF(COUNTIFS($A$10:$A$89,$C187)&lt;&gt;1,"brak danych",IF(COUNTIFS($A$10:$A$89,$C187,$F$10:$F$89,"&lt;&gt;")=0,"brak danych",VLOOKUP($C187,$A$10:$J$89,6,FALSE)*$E187))))))</x:f>
      </x:c>
      <x:c r="H187" s="25" t="str">
        <x:f>IF($A187="","",IF(AND($C187="",$E187=""),"",IF($E187="","brak danych",IF($E187=0,0,IF(COUNTIFS($A$10:$A$89,$C187)&lt;&gt;1,"brak danych",IF(COUNTIFS($A$10:$A$89,$C187,$G$10:$G$89,"&lt;&gt;")=0,"brak danych",VLOOKUP($C187,$A$10:$J$89,7,FALSE)*$E187))))))</x:f>
      </x:c>
      <x:c r="I187" s="25" t="str">
        <x:f>IF($A187="","",IF(AND($C187="",$E187=""),"",IF($E187="","brak danych",IF($E187=0,0,IF(COUNTIFS($A$10:$A$89,$C187)&lt;&gt;1,"brak danych",IF(COUNTIFS($A$10:$A$89,$C187,$H$10:$H$89,"&lt;&gt;")=0,"brak danych",VLOOKUP($C187,$A$10:$J$89,8,FALSE)*$E187))))))</x:f>
      </x:c>
      <x:c r="J187" s="25" t="str">
        <x:f>IF($A187="","",IF(AND($C187="",$E187=""),"",IF($E187="","brak danych",IF($E187=0,0,IF(COUNTIFS($A$10:$A$89,$C187)&lt;&gt;1,"brak danych",IF(COUNTIFS($A$10:$A$89,$C187,$I$10:$I$89,"&lt;&gt;")=0,"brak danych",VLOOKUP($C187,$A$10:$J$89,9,FALSE)*$E187))))))</x:f>
      </x:c>
      <x:c r="K187" s="25" t="str">
        <x:f>IF($A187="","",IF(AND($C187="",$E187=""),"",IF($E187="","brak danych",IF($E187=0,0,IF(COUNTIFS($A$10:$A$89,$C187)&lt;&gt;1,"brak danych",IF(COUNTIFS($A$10:$A$89,$C187,$J$10:$J$89,"&lt;&gt;")=0,"brak danych",VLOOKUP($C187,$A$10:$J$89,10,FALSE)*$E187))))))</x:f>
      </x:c>
      <x:c r="L187" s="24" t="str">
        <x:f>IF($A187="","",IF($F187="","",IF($F187=0,0,IF(COUNTIFS($A$10:$A$89,$C187)&lt;&gt;1,"brak danych",IF(COUNTIFS($A$10:$A$89,$C187,$F$10:$F$89,"&lt;&gt;")=0,"brak danych",VLOOKUP($C187,$A$10:$J$89,6,FALSE)*$F187)))))</x:f>
      </x:c>
      <x:c r="M187" s="25" t="str">
        <x:f>IF($A187="","",IF($F187="","",IF($F187=0,0,IF(COUNTIFS($A$10:$A$89,$C187)&lt;&gt;1,"brak danych",IF(COUNTIFS($A$10:$A$89,$C187,$G$10:$G$89,"&lt;&gt;")=0,"brak danych",VLOOKUP($C187,$A$10:$J$89,7,FALSE)*$F187)))))</x:f>
      </x:c>
      <x:c r="N187" s="25" t="str">
        <x:f>IF($A187="","",IF($F187="","",IF($F187=0,0,IF(COUNTIFS($A$10:$A$89,$C187)&lt;&gt;1,"brak danych",IF(COUNTIFS($A$10:$A$89,$C187,$H$10:$H$89,"&lt;&gt;")=0,"brak danych",VLOOKUP($C187,$A$10:$J$89,8,FALSE)*$F187)))))</x:f>
      </x:c>
      <x:c r="O187" s="25" t="str">
        <x:f>IF($A187="","",IF($F187="","",IF($F187=0,0,IF(COUNTIFS($A$10:$A$89,$C187)&lt;&gt;1,"brak danych",IF(COUNTIFS($A$10:$A$89,$C187,$I$10:$I$89,"&lt;&gt;")=0,"brak danych",VLOOKUP($C187,$A$10:$J$89,9,FALSE)*$F187)))))</x:f>
      </x:c>
      <x:c r="P187" s="25" t="str">
        <x:f>IF($A187="","",IF($F187="","",IF($F187=0,0,IF(COUNTIFS($A$10:$A$89,$C187)&lt;&gt;1,"brak danych",IF(COUNTIFS($A$10:$A$89,$C187,$J$10:$J$89,"&lt;&gt;")=0,"brak danych",VLOOKUP($C187,$A$10:$J$89,10,FALSE)*$F187)))))</x:f>
      </x:c>
      <x:c r="Q187" s="18"/>
    </x:row>
    <x:row r="188" ht="25" customHeight="1">
      <x:c r="A188" s="6"/>
      <x:c r="B188" s="30"/>
      <x:c r="C188" s="5"/>
      <x:c r="D188" s="5"/>
      <x:c r="E188" s="32"/>
      <x:c r="F188" s="32"/>
      <x:c r="G188" s="24" t="str">
        <x:f>IF($A188="","",IF(AND($C188="",$E188=""),"",IF($E188="","brak danych",IF($E188=0,0,IF(COUNTIFS($A$10:$A$89,$C188)&lt;&gt;1,"brak danych",IF(COUNTIFS($A$10:$A$89,$C188,$F$10:$F$89,"&lt;&gt;")=0,"brak danych",VLOOKUP($C188,$A$10:$J$89,6,FALSE)*$E188))))))</x:f>
      </x:c>
      <x:c r="H188" s="25" t="str">
        <x:f>IF($A188="","",IF(AND($C188="",$E188=""),"",IF($E188="","brak danych",IF($E188=0,0,IF(COUNTIFS($A$10:$A$89,$C188)&lt;&gt;1,"brak danych",IF(COUNTIFS($A$10:$A$89,$C188,$G$10:$G$89,"&lt;&gt;")=0,"brak danych",VLOOKUP($C188,$A$10:$J$89,7,FALSE)*$E188))))))</x:f>
      </x:c>
      <x:c r="I188" s="25" t="str">
        <x:f>IF($A188="","",IF(AND($C188="",$E188=""),"",IF($E188="","brak danych",IF($E188=0,0,IF(COUNTIFS($A$10:$A$89,$C188)&lt;&gt;1,"brak danych",IF(COUNTIFS($A$10:$A$89,$C188,$H$10:$H$89,"&lt;&gt;")=0,"brak danych",VLOOKUP($C188,$A$10:$J$89,8,FALSE)*$E188))))))</x:f>
      </x:c>
      <x:c r="J188" s="25" t="str">
        <x:f>IF($A188="","",IF(AND($C188="",$E188=""),"",IF($E188="","brak danych",IF($E188=0,0,IF(COUNTIFS($A$10:$A$89,$C188)&lt;&gt;1,"brak danych",IF(COUNTIFS($A$10:$A$89,$C188,$I$10:$I$89,"&lt;&gt;")=0,"brak danych",VLOOKUP($C188,$A$10:$J$89,9,FALSE)*$E188))))))</x:f>
      </x:c>
      <x:c r="K188" s="25" t="str">
        <x:f>IF($A188="","",IF(AND($C188="",$E188=""),"",IF($E188="","brak danych",IF($E188=0,0,IF(COUNTIFS($A$10:$A$89,$C188)&lt;&gt;1,"brak danych",IF(COUNTIFS($A$10:$A$89,$C188,$J$10:$J$89,"&lt;&gt;")=0,"brak danych",VLOOKUP($C188,$A$10:$J$89,10,FALSE)*$E188))))))</x:f>
      </x:c>
      <x:c r="L188" s="24" t="str">
        <x:f>IF($A188="","",IF($F188="","",IF($F188=0,0,IF(COUNTIFS($A$10:$A$89,$C188)&lt;&gt;1,"brak danych",IF(COUNTIFS($A$10:$A$89,$C188,$F$10:$F$89,"&lt;&gt;")=0,"brak danych",VLOOKUP($C188,$A$10:$J$89,6,FALSE)*$F188)))))</x:f>
      </x:c>
      <x:c r="M188" s="25" t="str">
        <x:f>IF($A188="","",IF($F188="","",IF($F188=0,0,IF(COUNTIFS($A$10:$A$89,$C188)&lt;&gt;1,"brak danych",IF(COUNTIFS($A$10:$A$89,$C188,$G$10:$G$89,"&lt;&gt;")=0,"brak danych",VLOOKUP($C188,$A$10:$J$89,7,FALSE)*$F188)))))</x:f>
      </x:c>
      <x:c r="N188" s="25" t="str">
        <x:f>IF($A188="","",IF($F188="","",IF($F188=0,0,IF(COUNTIFS($A$10:$A$89,$C188)&lt;&gt;1,"brak danych",IF(COUNTIFS($A$10:$A$89,$C188,$H$10:$H$89,"&lt;&gt;")=0,"brak danych",VLOOKUP($C188,$A$10:$J$89,8,FALSE)*$F188)))))</x:f>
      </x:c>
      <x:c r="O188" s="25" t="str">
        <x:f>IF($A188="","",IF($F188="","",IF($F188=0,0,IF(COUNTIFS($A$10:$A$89,$C188)&lt;&gt;1,"brak danych",IF(COUNTIFS($A$10:$A$89,$C188,$I$10:$I$89,"&lt;&gt;")=0,"brak danych",VLOOKUP($C188,$A$10:$J$89,9,FALSE)*$F188)))))</x:f>
      </x:c>
      <x:c r="P188" s="25" t="str">
        <x:f>IF($A188="","",IF($F188="","",IF($F188=0,0,IF(COUNTIFS($A$10:$A$89,$C188)&lt;&gt;1,"brak danych",IF(COUNTIFS($A$10:$A$89,$C188,$J$10:$J$89,"&lt;&gt;")=0,"brak danych",VLOOKUP($C188,$A$10:$J$89,10,FALSE)*$F188)))))</x:f>
      </x:c>
      <x:c r="Q188" s="18"/>
    </x:row>
    <x:row r="189" ht="25" customHeight="1">
      <x:c r="A189" s="6"/>
      <x:c r="B189" s="30"/>
      <x:c r="C189" s="5"/>
      <x:c r="D189" s="5"/>
      <x:c r="E189" s="32"/>
      <x:c r="F189" s="32"/>
      <x:c r="G189" s="24" t="str">
        <x:f>IF($A189="","",IF(AND($C189="",$E189=""),"",IF($E189="","brak danych",IF($E189=0,0,IF(COUNTIFS($A$10:$A$89,$C189)&lt;&gt;1,"brak danych",IF(COUNTIFS($A$10:$A$89,$C189,$F$10:$F$89,"&lt;&gt;")=0,"brak danych",VLOOKUP($C189,$A$10:$J$89,6,FALSE)*$E189))))))</x:f>
      </x:c>
      <x:c r="H189" s="25" t="str">
        <x:f>IF($A189="","",IF(AND($C189="",$E189=""),"",IF($E189="","brak danych",IF($E189=0,0,IF(COUNTIFS($A$10:$A$89,$C189)&lt;&gt;1,"brak danych",IF(COUNTIFS($A$10:$A$89,$C189,$G$10:$G$89,"&lt;&gt;")=0,"brak danych",VLOOKUP($C189,$A$10:$J$89,7,FALSE)*$E189))))))</x:f>
      </x:c>
      <x:c r="I189" s="25" t="str">
        <x:f>IF($A189="","",IF(AND($C189="",$E189=""),"",IF($E189="","brak danych",IF($E189=0,0,IF(COUNTIFS($A$10:$A$89,$C189)&lt;&gt;1,"brak danych",IF(COUNTIFS($A$10:$A$89,$C189,$H$10:$H$89,"&lt;&gt;")=0,"brak danych",VLOOKUP($C189,$A$10:$J$89,8,FALSE)*$E189))))))</x:f>
      </x:c>
      <x:c r="J189" s="25" t="str">
        <x:f>IF($A189="","",IF(AND($C189="",$E189=""),"",IF($E189="","brak danych",IF($E189=0,0,IF(COUNTIFS($A$10:$A$89,$C189)&lt;&gt;1,"brak danych",IF(COUNTIFS($A$10:$A$89,$C189,$I$10:$I$89,"&lt;&gt;")=0,"brak danych",VLOOKUP($C189,$A$10:$J$89,9,FALSE)*$E189))))))</x:f>
      </x:c>
      <x:c r="K189" s="25" t="str">
        <x:f>IF($A189="","",IF(AND($C189="",$E189=""),"",IF($E189="","brak danych",IF($E189=0,0,IF(COUNTIFS($A$10:$A$89,$C189)&lt;&gt;1,"brak danych",IF(COUNTIFS($A$10:$A$89,$C189,$J$10:$J$89,"&lt;&gt;")=0,"brak danych",VLOOKUP($C189,$A$10:$J$89,10,FALSE)*$E189))))))</x:f>
      </x:c>
      <x:c r="L189" s="24" t="str">
        <x:f>IF($A189="","",IF($F189="","",IF($F189=0,0,IF(COUNTIFS($A$10:$A$89,$C189)&lt;&gt;1,"brak danych",IF(COUNTIFS($A$10:$A$89,$C189,$F$10:$F$89,"&lt;&gt;")=0,"brak danych",VLOOKUP($C189,$A$10:$J$89,6,FALSE)*$F189)))))</x:f>
      </x:c>
      <x:c r="M189" s="25" t="str">
        <x:f>IF($A189="","",IF($F189="","",IF($F189=0,0,IF(COUNTIFS($A$10:$A$89,$C189)&lt;&gt;1,"brak danych",IF(COUNTIFS($A$10:$A$89,$C189,$G$10:$G$89,"&lt;&gt;")=0,"brak danych",VLOOKUP($C189,$A$10:$J$89,7,FALSE)*$F189)))))</x:f>
      </x:c>
      <x:c r="N189" s="25" t="str">
        <x:f>IF($A189="","",IF($F189="","",IF($F189=0,0,IF(COUNTIFS($A$10:$A$89,$C189)&lt;&gt;1,"brak danych",IF(COUNTIFS($A$10:$A$89,$C189,$H$10:$H$89,"&lt;&gt;")=0,"brak danych",VLOOKUP($C189,$A$10:$J$89,8,FALSE)*$F189)))))</x:f>
      </x:c>
      <x:c r="O189" s="25" t="str">
        <x:f>IF($A189="","",IF($F189="","",IF($F189=0,0,IF(COUNTIFS($A$10:$A$89,$C189)&lt;&gt;1,"brak danych",IF(COUNTIFS($A$10:$A$89,$C189,$I$10:$I$89,"&lt;&gt;")=0,"brak danych",VLOOKUP($C189,$A$10:$J$89,9,FALSE)*$F189)))))</x:f>
      </x:c>
      <x:c r="P189" s="25" t="str">
        <x:f>IF($A189="","",IF($F189="","",IF($F189=0,0,IF(COUNTIFS($A$10:$A$89,$C189)&lt;&gt;1,"brak danych",IF(COUNTIFS($A$10:$A$89,$C189,$J$10:$J$89,"&lt;&gt;")=0,"brak danych",VLOOKUP($C189,$A$10:$J$89,10,FALSE)*$F189)))))</x:f>
      </x:c>
      <x:c r="Q189" s="18"/>
    </x:row>
    <x:row r="190" ht="25" customHeight="1">
      <x:c r="A190" s="6"/>
      <x:c r="B190" s="30"/>
      <x:c r="C190" s="5"/>
      <x:c r="D190" s="5"/>
      <x:c r="E190" s="32"/>
      <x:c r="F190" s="32"/>
      <x:c r="G190" s="24" t="str">
        <x:f>IF($A190="","",IF(AND($C190="",$E190=""),"",IF($E190="","brak danych",IF($E190=0,0,IF(COUNTIFS($A$10:$A$89,$C190)&lt;&gt;1,"brak danych",IF(COUNTIFS($A$10:$A$89,$C190,$F$10:$F$89,"&lt;&gt;")=0,"brak danych",VLOOKUP($C190,$A$10:$J$89,6,FALSE)*$E190))))))</x:f>
      </x:c>
      <x:c r="H190" s="25" t="str">
        <x:f>IF($A190="","",IF(AND($C190="",$E190=""),"",IF($E190="","brak danych",IF($E190=0,0,IF(COUNTIFS($A$10:$A$89,$C190)&lt;&gt;1,"brak danych",IF(COUNTIFS($A$10:$A$89,$C190,$G$10:$G$89,"&lt;&gt;")=0,"brak danych",VLOOKUP($C190,$A$10:$J$89,7,FALSE)*$E190))))))</x:f>
      </x:c>
      <x:c r="I190" s="25" t="str">
        <x:f>IF($A190="","",IF(AND($C190="",$E190=""),"",IF($E190="","brak danych",IF($E190=0,0,IF(COUNTIFS($A$10:$A$89,$C190)&lt;&gt;1,"brak danych",IF(COUNTIFS($A$10:$A$89,$C190,$H$10:$H$89,"&lt;&gt;")=0,"brak danych",VLOOKUP($C190,$A$10:$J$89,8,FALSE)*$E190))))))</x:f>
      </x:c>
      <x:c r="J190" s="25" t="str">
        <x:f>IF($A190="","",IF(AND($C190="",$E190=""),"",IF($E190="","brak danych",IF($E190=0,0,IF(COUNTIFS($A$10:$A$89,$C190)&lt;&gt;1,"brak danych",IF(COUNTIFS($A$10:$A$89,$C190,$I$10:$I$89,"&lt;&gt;")=0,"brak danych",VLOOKUP($C190,$A$10:$J$89,9,FALSE)*$E190))))))</x:f>
      </x:c>
      <x:c r="K190" s="25" t="str">
        <x:f>IF($A190="","",IF(AND($C190="",$E190=""),"",IF($E190="","brak danych",IF($E190=0,0,IF(COUNTIFS($A$10:$A$89,$C190)&lt;&gt;1,"brak danych",IF(COUNTIFS($A$10:$A$89,$C190,$J$10:$J$89,"&lt;&gt;")=0,"brak danych",VLOOKUP($C190,$A$10:$J$89,10,FALSE)*$E190))))))</x:f>
      </x:c>
      <x:c r="L190" s="24" t="str">
        <x:f>IF($A190="","",IF($F190="","",IF($F190=0,0,IF(COUNTIFS($A$10:$A$89,$C190)&lt;&gt;1,"brak danych",IF(COUNTIFS($A$10:$A$89,$C190,$F$10:$F$89,"&lt;&gt;")=0,"brak danych",VLOOKUP($C190,$A$10:$J$89,6,FALSE)*$F190)))))</x:f>
      </x:c>
      <x:c r="M190" s="25" t="str">
        <x:f>IF($A190="","",IF($F190="","",IF($F190=0,0,IF(COUNTIFS($A$10:$A$89,$C190)&lt;&gt;1,"brak danych",IF(COUNTIFS($A$10:$A$89,$C190,$G$10:$G$89,"&lt;&gt;")=0,"brak danych",VLOOKUP($C190,$A$10:$J$89,7,FALSE)*$F190)))))</x:f>
      </x:c>
      <x:c r="N190" s="25" t="str">
        <x:f>IF($A190="","",IF($F190="","",IF($F190=0,0,IF(COUNTIFS($A$10:$A$89,$C190)&lt;&gt;1,"brak danych",IF(COUNTIFS($A$10:$A$89,$C190,$H$10:$H$89,"&lt;&gt;")=0,"brak danych",VLOOKUP($C190,$A$10:$J$89,8,FALSE)*$F190)))))</x:f>
      </x:c>
      <x:c r="O190" s="25" t="str">
        <x:f>IF($A190="","",IF($F190="","",IF($F190=0,0,IF(COUNTIFS($A$10:$A$89,$C190)&lt;&gt;1,"brak danych",IF(COUNTIFS($A$10:$A$89,$C190,$I$10:$I$89,"&lt;&gt;")=0,"brak danych",VLOOKUP($C190,$A$10:$J$89,9,FALSE)*$F190)))))</x:f>
      </x:c>
      <x:c r="P190" s="25" t="str">
        <x:f>IF($A190="","",IF($F190="","",IF($F190=0,0,IF(COUNTIFS($A$10:$A$89,$C190)&lt;&gt;1,"brak danych",IF(COUNTIFS($A$10:$A$89,$C190,$J$10:$J$89,"&lt;&gt;")=0,"brak danych",VLOOKUP($C190,$A$10:$J$89,10,FALSE)*$F190)))))</x:f>
      </x:c>
      <x:c r="Q190" s="18"/>
    </x:row>
    <x:row r="191" ht="25" customHeight="1">
      <x:c r="A191" s="6"/>
      <x:c r="B191" s="30"/>
      <x:c r="C191" s="5"/>
      <x:c r="D191" s="5"/>
      <x:c r="E191" s="32"/>
      <x:c r="F191" s="32"/>
      <x:c r="G191" s="24" t="str">
        <x:f>IF($A191="","",IF(AND($C191="",$E191=""),"",IF($E191="","brak danych",IF($E191=0,0,IF(COUNTIFS($A$10:$A$89,$C191)&lt;&gt;1,"brak danych",IF(COUNTIFS($A$10:$A$89,$C191,$F$10:$F$89,"&lt;&gt;")=0,"brak danych",VLOOKUP($C191,$A$10:$J$89,6,FALSE)*$E191))))))</x:f>
      </x:c>
      <x:c r="H191" s="25" t="str">
        <x:f>IF($A191="","",IF(AND($C191="",$E191=""),"",IF($E191="","brak danych",IF($E191=0,0,IF(COUNTIFS($A$10:$A$89,$C191)&lt;&gt;1,"brak danych",IF(COUNTIFS($A$10:$A$89,$C191,$G$10:$G$89,"&lt;&gt;")=0,"brak danych",VLOOKUP($C191,$A$10:$J$89,7,FALSE)*$E191))))))</x:f>
      </x:c>
      <x:c r="I191" s="25" t="str">
        <x:f>IF($A191="","",IF(AND($C191="",$E191=""),"",IF($E191="","brak danych",IF($E191=0,0,IF(COUNTIFS($A$10:$A$89,$C191)&lt;&gt;1,"brak danych",IF(COUNTIFS($A$10:$A$89,$C191,$H$10:$H$89,"&lt;&gt;")=0,"brak danych",VLOOKUP($C191,$A$10:$J$89,8,FALSE)*$E191))))))</x:f>
      </x:c>
      <x:c r="J191" s="25" t="str">
        <x:f>IF($A191="","",IF(AND($C191="",$E191=""),"",IF($E191="","brak danych",IF($E191=0,0,IF(COUNTIFS($A$10:$A$89,$C191)&lt;&gt;1,"brak danych",IF(COUNTIFS($A$10:$A$89,$C191,$I$10:$I$89,"&lt;&gt;")=0,"brak danych",VLOOKUP($C191,$A$10:$J$89,9,FALSE)*$E191))))))</x:f>
      </x:c>
      <x:c r="K191" s="25" t="str">
        <x:f>IF($A191="","",IF(AND($C191="",$E191=""),"",IF($E191="","brak danych",IF($E191=0,0,IF(COUNTIFS($A$10:$A$89,$C191)&lt;&gt;1,"brak danych",IF(COUNTIFS($A$10:$A$89,$C191,$J$10:$J$89,"&lt;&gt;")=0,"brak danych",VLOOKUP($C191,$A$10:$J$89,10,FALSE)*$E191))))))</x:f>
      </x:c>
      <x:c r="L191" s="24" t="str">
        <x:f>IF($A191="","",IF($F191="","",IF($F191=0,0,IF(COUNTIFS($A$10:$A$89,$C191)&lt;&gt;1,"brak danych",IF(COUNTIFS($A$10:$A$89,$C191,$F$10:$F$89,"&lt;&gt;")=0,"brak danych",VLOOKUP($C191,$A$10:$J$89,6,FALSE)*$F191)))))</x:f>
      </x:c>
      <x:c r="M191" s="25" t="str">
        <x:f>IF($A191="","",IF($F191="","",IF($F191=0,0,IF(COUNTIFS($A$10:$A$89,$C191)&lt;&gt;1,"brak danych",IF(COUNTIFS($A$10:$A$89,$C191,$G$10:$G$89,"&lt;&gt;")=0,"brak danych",VLOOKUP($C191,$A$10:$J$89,7,FALSE)*$F191)))))</x:f>
      </x:c>
      <x:c r="N191" s="25" t="str">
        <x:f>IF($A191="","",IF($F191="","",IF($F191=0,0,IF(COUNTIFS($A$10:$A$89,$C191)&lt;&gt;1,"brak danych",IF(COUNTIFS($A$10:$A$89,$C191,$H$10:$H$89,"&lt;&gt;")=0,"brak danych",VLOOKUP($C191,$A$10:$J$89,8,FALSE)*$F191)))))</x:f>
      </x:c>
      <x:c r="O191" s="25" t="str">
        <x:f>IF($A191="","",IF($F191="","",IF($F191=0,0,IF(COUNTIFS($A$10:$A$89,$C191)&lt;&gt;1,"brak danych",IF(COUNTIFS($A$10:$A$89,$C191,$I$10:$I$89,"&lt;&gt;")=0,"brak danych",VLOOKUP($C191,$A$10:$J$89,9,FALSE)*$F191)))))</x:f>
      </x:c>
      <x:c r="P191" s="25" t="str">
        <x:f>IF($A191="","",IF($F191="","",IF($F191=0,0,IF(COUNTIFS($A$10:$A$89,$C191)&lt;&gt;1,"brak danych",IF(COUNTIFS($A$10:$A$89,$C191,$J$10:$J$89,"&lt;&gt;")=0,"brak danych",VLOOKUP($C191,$A$10:$J$89,10,FALSE)*$F191)))))</x:f>
      </x:c>
      <x:c r="Q191" s="18"/>
    </x:row>
    <x:row r="192" ht="25" customHeight="1">
      <x:c r="A192" s="6"/>
      <x:c r="B192" s="30"/>
      <x:c r="C192" s="5"/>
      <x:c r="D192" s="5"/>
      <x:c r="E192" s="32"/>
      <x:c r="F192" s="32"/>
      <x:c r="G192" s="24" t="str">
        <x:f>IF($A192="","",IF(AND($C192="",$E192=""),"",IF($E192="","brak danych",IF($E192=0,0,IF(COUNTIFS($A$10:$A$89,$C192)&lt;&gt;1,"brak danych",IF(COUNTIFS($A$10:$A$89,$C192,$F$10:$F$89,"&lt;&gt;")=0,"brak danych",VLOOKUP($C192,$A$10:$J$89,6,FALSE)*$E192))))))</x:f>
      </x:c>
      <x:c r="H192" s="25" t="str">
        <x:f>IF($A192="","",IF(AND($C192="",$E192=""),"",IF($E192="","brak danych",IF($E192=0,0,IF(COUNTIFS($A$10:$A$89,$C192)&lt;&gt;1,"brak danych",IF(COUNTIFS($A$10:$A$89,$C192,$G$10:$G$89,"&lt;&gt;")=0,"brak danych",VLOOKUP($C192,$A$10:$J$89,7,FALSE)*$E192))))))</x:f>
      </x:c>
      <x:c r="I192" s="25" t="str">
        <x:f>IF($A192="","",IF(AND($C192="",$E192=""),"",IF($E192="","brak danych",IF($E192=0,0,IF(COUNTIFS($A$10:$A$89,$C192)&lt;&gt;1,"brak danych",IF(COUNTIFS($A$10:$A$89,$C192,$H$10:$H$89,"&lt;&gt;")=0,"brak danych",VLOOKUP($C192,$A$10:$J$89,8,FALSE)*$E192))))))</x:f>
      </x:c>
      <x:c r="J192" s="25" t="str">
        <x:f>IF($A192="","",IF(AND($C192="",$E192=""),"",IF($E192="","brak danych",IF($E192=0,0,IF(COUNTIFS($A$10:$A$89,$C192)&lt;&gt;1,"brak danych",IF(COUNTIFS($A$10:$A$89,$C192,$I$10:$I$89,"&lt;&gt;")=0,"brak danych",VLOOKUP($C192,$A$10:$J$89,9,FALSE)*$E192))))))</x:f>
      </x:c>
      <x:c r="K192" s="25" t="str">
        <x:f>IF($A192="","",IF(AND($C192="",$E192=""),"",IF($E192="","brak danych",IF($E192=0,0,IF(COUNTIFS($A$10:$A$89,$C192)&lt;&gt;1,"brak danych",IF(COUNTIFS($A$10:$A$89,$C192,$J$10:$J$89,"&lt;&gt;")=0,"brak danych",VLOOKUP($C192,$A$10:$J$89,10,FALSE)*$E192))))))</x:f>
      </x:c>
      <x:c r="L192" s="24" t="str">
        <x:f>IF($A192="","",IF($F192="","",IF($F192=0,0,IF(COUNTIFS($A$10:$A$89,$C192)&lt;&gt;1,"brak danych",IF(COUNTIFS($A$10:$A$89,$C192,$F$10:$F$89,"&lt;&gt;")=0,"brak danych",VLOOKUP($C192,$A$10:$J$89,6,FALSE)*$F192)))))</x:f>
      </x:c>
      <x:c r="M192" s="25" t="str">
        <x:f>IF($A192="","",IF($F192="","",IF($F192=0,0,IF(COUNTIFS($A$10:$A$89,$C192)&lt;&gt;1,"brak danych",IF(COUNTIFS($A$10:$A$89,$C192,$G$10:$G$89,"&lt;&gt;")=0,"brak danych",VLOOKUP($C192,$A$10:$J$89,7,FALSE)*$F192)))))</x:f>
      </x:c>
      <x:c r="N192" s="25" t="str">
        <x:f>IF($A192="","",IF($F192="","",IF($F192=0,0,IF(COUNTIFS($A$10:$A$89,$C192)&lt;&gt;1,"brak danych",IF(COUNTIFS($A$10:$A$89,$C192,$H$10:$H$89,"&lt;&gt;")=0,"brak danych",VLOOKUP($C192,$A$10:$J$89,8,FALSE)*$F192)))))</x:f>
      </x:c>
      <x:c r="O192" s="25" t="str">
        <x:f>IF($A192="","",IF($F192="","",IF($F192=0,0,IF(COUNTIFS($A$10:$A$89,$C192)&lt;&gt;1,"brak danych",IF(COUNTIFS($A$10:$A$89,$C192,$I$10:$I$89,"&lt;&gt;")=0,"brak danych",VLOOKUP($C192,$A$10:$J$89,9,FALSE)*$F192)))))</x:f>
      </x:c>
      <x:c r="P192" s="25" t="str">
        <x:f>IF($A192="","",IF($F192="","",IF($F192=0,0,IF(COUNTIFS($A$10:$A$89,$C192)&lt;&gt;1,"brak danych",IF(COUNTIFS($A$10:$A$89,$C192,$J$10:$J$89,"&lt;&gt;")=0,"brak danych",VLOOKUP($C192,$A$10:$J$89,10,FALSE)*$F192)))))</x:f>
      </x:c>
      <x:c r="Q192" s="18"/>
    </x:row>
    <x:row r="193" ht="25" customHeight="1">
      <x:c r="A193" s="6"/>
      <x:c r="B193" s="30"/>
      <x:c r="C193" s="5"/>
      <x:c r="D193" s="5"/>
      <x:c r="E193" s="32"/>
      <x:c r="F193" s="32"/>
      <x:c r="G193" s="24" t="str">
        <x:f>IF($A193="","",IF(AND($C193="",$E193=""),"",IF($E193="","brak danych",IF($E193=0,0,IF(COUNTIFS($A$10:$A$89,$C193)&lt;&gt;1,"brak danych",IF(COUNTIFS($A$10:$A$89,$C193,$F$10:$F$89,"&lt;&gt;")=0,"brak danych",VLOOKUP($C193,$A$10:$J$89,6,FALSE)*$E193))))))</x:f>
      </x:c>
      <x:c r="H193" s="25" t="str">
        <x:f>IF($A193="","",IF(AND($C193="",$E193=""),"",IF($E193="","brak danych",IF($E193=0,0,IF(COUNTIFS($A$10:$A$89,$C193)&lt;&gt;1,"brak danych",IF(COUNTIFS($A$10:$A$89,$C193,$G$10:$G$89,"&lt;&gt;")=0,"brak danych",VLOOKUP($C193,$A$10:$J$89,7,FALSE)*$E193))))))</x:f>
      </x:c>
      <x:c r="I193" s="25" t="str">
        <x:f>IF($A193="","",IF(AND($C193="",$E193=""),"",IF($E193="","brak danych",IF($E193=0,0,IF(COUNTIFS($A$10:$A$89,$C193)&lt;&gt;1,"brak danych",IF(COUNTIFS($A$10:$A$89,$C193,$H$10:$H$89,"&lt;&gt;")=0,"brak danych",VLOOKUP($C193,$A$10:$J$89,8,FALSE)*$E193))))))</x:f>
      </x:c>
      <x:c r="J193" s="25" t="str">
        <x:f>IF($A193="","",IF(AND($C193="",$E193=""),"",IF($E193="","brak danych",IF($E193=0,0,IF(COUNTIFS($A$10:$A$89,$C193)&lt;&gt;1,"brak danych",IF(COUNTIFS($A$10:$A$89,$C193,$I$10:$I$89,"&lt;&gt;")=0,"brak danych",VLOOKUP($C193,$A$10:$J$89,9,FALSE)*$E193))))))</x:f>
      </x:c>
      <x:c r="K193" s="25" t="str">
        <x:f>IF($A193="","",IF(AND($C193="",$E193=""),"",IF($E193="","brak danych",IF($E193=0,0,IF(COUNTIFS($A$10:$A$89,$C193)&lt;&gt;1,"brak danych",IF(COUNTIFS($A$10:$A$89,$C193,$J$10:$J$89,"&lt;&gt;")=0,"brak danych",VLOOKUP($C193,$A$10:$J$89,10,FALSE)*$E193))))))</x:f>
      </x:c>
      <x:c r="L193" s="24" t="str">
        <x:f>IF($A193="","",IF($F193="","",IF($F193=0,0,IF(COUNTIFS($A$10:$A$89,$C193)&lt;&gt;1,"brak danych",IF(COUNTIFS($A$10:$A$89,$C193,$F$10:$F$89,"&lt;&gt;")=0,"brak danych",VLOOKUP($C193,$A$10:$J$89,6,FALSE)*$F193)))))</x:f>
      </x:c>
      <x:c r="M193" s="25" t="str">
        <x:f>IF($A193="","",IF($F193="","",IF($F193=0,0,IF(COUNTIFS($A$10:$A$89,$C193)&lt;&gt;1,"brak danych",IF(COUNTIFS($A$10:$A$89,$C193,$G$10:$G$89,"&lt;&gt;")=0,"brak danych",VLOOKUP($C193,$A$10:$J$89,7,FALSE)*$F193)))))</x:f>
      </x:c>
      <x:c r="N193" s="25" t="str">
        <x:f>IF($A193="","",IF($F193="","",IF($F193=0,0,IF(COUNTIFS($A$10:$A$89,$C193)&lt;&gt;1,"brak danych",IF(COUNTIFS($A$10:$A$89,$C193,$H$10:$H$89,"&lt;&gt;")=0,"brak danych",VLOOKUP($C193,$A$10:$J$89,8,FALSE)*$F193)))))</x:f>
      </x:c>
      <x:c r="O193" s="25" t="str">
        <x:f>IF($A193="","",IF($F193="","",IF($F193=0,0,IF(COUNTIFS($A$10:$A$89,$C193)&lt;&gt;1,"brak danych",IF(COUNTIFS($A$10:$A$89,$C193,$I$10:$I$89,"&lt;&gt;")=0,"brak danych",VLOOKUP($C193,$A$10:$J$89,9,FALSE)*$F193)))))</x:f>
      </x:c>
      <x:c r="P193" s="25" t="str">
        <x:f>IF($A193="","",IF($F193="","",IF($F193=0,0,IF(COUNTIFS($A$10:$A$89,$C193)&lt;&gt;1,"brak danych",IF(COUNTIFS($A$10:$A$89,$C193,$J$10:$J$89,"&lt;&gt;")=0,"brak danych",VLOOKUP($C193,$A$10:$J$89,10,FALSE)*$F193)))))</x:f>
      </x:c>
      <x:c r="Q193" s="18"/>
    </x:row>
    <x:row r="194" ht="25" customHeight="1">
      <x:c r="A194" s="6"/>
      <x:c r="B194" s="30"/>
      <x:c r="C194" s="5"/>
      <x:c r="D194" s="5"/>
      <x:c r="E194" s="32"/>
      <x:c r="F194" s="32"/>
      <x:c r="G194" s="24" t="str">
        <x:f>IF($A194="","",IF(AND($C194="",$E194=""),"",IF($E194="","brak danych",IF($E194=0,0,IF(COUNTIFS($A$10:$A$89,$C194)&lt;&gt;1,"brak danych",IF(COUNTIFS($A$10:$A$89,$C194,$F$10:$F$89,"&lt;&gt;")=0,"brak danych",VLOOKUP($C194,$A$10:$J$89,6,FALSE)*$E194))))))</x:f>
      </x:c>
      <x:c r="H194" s="25" t="str">
        <x:f>IF($A194="","",IF(AND($C194="",$E194=""),"",IF($E194="","brak danych",IF($E194=0,0,IF(COUNTIFS($A$10:$A$89,$C194)&lt;&gt;1,"brak danych",IF(COUNTIFS($A$10:$A$89,$C194,$G$10:$G$89,"&lt;&gt;")=0,"brak danych",VLOOKUP($C194,$A$10:$J$89,7,FALSE)*$E194))))))</x:f>
      </x:c>
      <x:c r="I194" s="25" t="str">
        <x:f>IF($A194="","",IF(AND($C194="",$E194=""),"",IF($E194="","brak danych",IF($E194=0,0,IF(COUNTIFS($A$10:$A$89,$C194)&lt;&gt;1,"brak danych",IF(COUNTIFS($A$10:$A$89,$C194,$H$10:$H$89,"&lt;&gt;")=0,"brak danych",VLOOKUP($C194,$A$10:$J$89,8,FALSE)*$E194))))))</x:f>
      </x:c>
      <x:c r="J194" s="25" t="str">
        <x:f>IF($A194="","",IF(AND($C194="",$E194=""),"",IF($E194="","brak danych",IF($E194=0,0,IF(COUNTIFS($A$10:$A$89,$C194)&lt;&gt;1,"brak danych",IF(COUNTIFS($A$10:$A$89,$C194,$I$10:$I$89,"&lt;&gt;")=0,"brak danych",VLOOKUP($C194,$A$10:$J$89,9,FALSE)*$E194))))))</x:f>
      </x:c>
      <x:c r="K194" s="25" t="str">
        <x:f>IF($A194="","",IF(AND($C194="",$E194=""),"",IF($E194="","brak danych",IF($E194=0,0,IF(COUNTIFS($A$10:$A$89,$C194)&lt;&gt;1,"brak danych",IF(COUNTIFS($A$10:$A$89,$C194,$J$10:$J$89,"&lt;&gt;")=0,"brak danych",VLOOKUP($C194,$A$10:$J$89,10,FALSE)*$E194))))))</x:f>
      </x:c>
      <x:c r="L194" s="24" t="str">
        <x:f>IF($A194="","",IF($F194="","",IF($F194=0,0,IF(COUNTIFS($A$10:$A$89,$C194)&lt;&gt;1,"brak danych",IF(COUNTIFS($A$10:$A$89,$C194,$F$10:$F$89,"&lt;&gt;")=0,"brak danych",VLOOKUP($C194,$A$10:$J$89,6,FALSE)*$F194)))))</x:f>
      </x:c>
      <x:c r="M194" s="25" t="str">
        <x:f>IF($A194="","",IF($F194="","",IF($F194=0,0,IF(COUNTIFS($A$10:$A$89,$C194)&lt;&gt;1,"brak danych",IF(COUNTIFS($A$10:$A$89,$C194,$G$10:$G$89,"&lt;&gt;")=0,"brak danych",VLOOKUP($C194,$A$10:$J$89,7,FALSE)*$F194)))))</x:f>
      </x:c>
      <x:c r="N194" s="25" t="str">
        <x:f>IF($A194="","",IF($F194="","",IF($F194=0,0,IF(COUNTIFS($A$10:$A$89,$C194)&lt;&gt;1,"brak danych",IF(COUNTIFS($A$10:$A$89,$C194,$H$10:$H$89,"&lt;&gt;")=0,"brak danych",VLOOKUP($C194,$A$10:$J$89,8,FALSE)*$F194)))))</x:f>
      </x:c>
      <x:c r="O194" s="25" t="str">
        <x:f>IF($A194="","",IF($F194="","",IF($F194=0,0,IF(COUNTIFS($A$10:$A$89,$C194)&lt;&gt;1,"brak danych",IF(COUNTIFS($A$10:$A$89,$C194,$I$10:$I$89,"&lt;&gt;")=0,"brak danych",VLOOKUP($C194,$A$10:$J$89,9,FALSE)*$F194)))))</x:f>
      </x:c>
      <x:c r="P194" s="25" t="str">
        <x:f>IF($A194="","",IF($F194="","",IF($F194=0,0,IF(COUNTIFS($A$10:$A$89,$C194)&lt;&gt;1,"brak danych",IF(COUNTIFS($A$10:$A$89,$C194,$J$10:$J$89,"&lt;&gt;")=0,"brak danych",VLOOKUP($C194,$A$10:$J$89,10,FALSE)*$F194)))))</x:f>
      </x:c>
      <x:c r="Q194" s="18"/>
    </x:row>
    <x:row r="195" ht="25" customHeight="1">
      <x:c r="A195" s="6"/>
      <x:c r="B195" s="30"/>
      <x:c r="C195" s="5"/>
      <x:c r="D195" s="5"/>
      <x:c r="E195" s="32"/>
      <x:c r="F195" s="32"/>
      <x:c r="G195" s="24" t="str">
        <x:f>IF($A195="","",IF(AND($C195="",$E195=""),"",IF($E195="","brak danych",IF($E195=0,0,IF(COUNTIFS($A$10:$A$89,$C195)&lt;&gt;1,"brak danych",IF(COUNTIFS($A$10:$A$89,$C195,$F$10:$F$89,"&lt;&gt;")=0,"brak danych",VLOOKUP($C195,$A$10:$J$89,6,FALSE)*$E195))))))</x:f>
      </x:c>
      <x:c r="H195" s="25" t="str">
        <x:f>IF($A195="","",IF(AND($C195="",$E195=""),"",IF($E195="","brak danych",IF($E195=0,0,IF(COUNTIFS($A$10:$A$89,$C195)&lt;&gt;1,"brak danych",IF(COUNTIFS($A$10:$A$89,$C195,$G$10:$G$89,"&lt;&gt;")=0,"brak danych",VLOOKUP($C195,$A$10:$J$89,7,FALSE)*$E195))))))</x:f>
      </x:c>
      <x:c r="I195" s="25" t="str">
        <x:f>IF($A195="","",IF(AND($C195="",$E195=""),"",IF($E195="","brak danych",IF($E195=0,0,IF(COUNTIFS($A$10:$A$89,$C195)&lt;&gt;1,"brak danych",IF(COUNTIFS($A$10:$A$89,$C195,$H$10:$H$89,"&lt;&gt;")=0,"brak danych",VLOOKUP($C195,$A$10:$J$89,8,FALSE)*$E195))))))</x:f>
      </x:c>
      <x:c r="J195" s="25" t="str">
        <x:f>IF($A195="","",IF(AND($C195="",$E195=""),"",IF($E195="","brak danych",IF($E195=0,0,IF(COUNTIFS($A$10:$A$89,$C195)&lt;&gt;1,"brak danych",IF(COUNTIFS($A$10:$A$89,$C195,$I$10:$I$89,"&lt;&gt;")=0,"brak danych",VLOOKUP($C195,$A$10:$J$89,9,FALSE)*$E195))))))</x:f>
      </x:c>
      <x:c r="K195" s="25" t="str">
        <x:f>IF($A195="","",IF(AND($C195="",$E195=""),"",IF($E195="","brak danych",IF($E195=0,0,IF(COUNTIFS($A$10:$A$89,$C195)&lt;&gt;1,"brak danych",IF(COUNTIFS($A$10:$A$89,$C195,$J$10:$J$89,"&lt;&gt;")=0,"brak danych",VLOOKUP($C195,$A$10:$J$89,10,FALSE)*$E195))))))</x:f>
      </x:c>
      <x:c r="L195" s="24" t="str">
        <x:f>IF($A195="","",IF($F195="","",IF($F195=0,0,IF(COUNTIFS($A$10:$A$89,$C195)&lt;&gt;1,"brak danych",IF(COUNTIFS($A$10:$A$89,$C195,$F$10:$F$89,"&lt;&gt;")=0,"brak danych",VLOOKUP($C195,$A$10:$J$89,6,FALSE)*$F195)))))</x:f>
      </x:c>
      <x:c r="M195" s="25" t="str">
        <x:f>IF($A195="","",IF($F195="","",IF($F195=0,0,IF(COUNTIFS($A$10:$A$89,$C195)&lt;&gt;1,"brak danych",IF(COUNTIFS($A$10:$A$89,$C195,$G$10:$G$89,"&lt;&gt;")=0,"brak danych",VLOOKUP($C195,$A$10:$J$89,7,FALSE)*$F195)))))</x:f>
      </x:c>
      <x:c r="N195" s="25" t="str">
        <x:f>IF($A195="","",IF($F195="","",IF($F195=0,0,IF(COUNTIFS($A$10:$A$89,$C195)&lt;&gt;1,"brak danych",IF(COUNTIFS($A$10:$A$89,$C195,$H$10:$H$89,"&lt;&gt;")=0,"brak danych",VLOOKUP($C195,$A$10:$J$89,8,FALSE)*$F195)))))</x:f>
      </x:c>
      <x:c r="O195" s="25" t="str">
        <x:f>IF($A195="","",IF($F195="","",IF($F195=0,0,IF(COUNTIFS($A$10:$A$89,$C195)&lt;&gt;1,"brak danych",IF(COUNTIFS($A$10:$A$89,$C195,$I$10:$I$89,"&lt;&gt;")=0,"brak danych",VLOOKUP($C195,$A$10:$J$89,9,FALSE)*$F195)))))</x:f>
      </x:c>
      <x:c r="P195" s="25" t="str">
        <x:f>IF($A195="","",IF($F195="","",IF($F195=0,0,IF(COUNTIFS($A$10:$A$89,$C195)&lt;&gt;1,"brak danych",IF(COUNTIFS($A$10:$A$89,$C195,$J$10:$J$89,"&lt;&gt;")=0,"brak danych",VLOOKUP($C195,$A$10:$J$89,10,FALSE)*$F195)))))</x:f>
      </x:c>
      <x:c r="Q195" s="18"/>
    </x:row>
    <x:row r="196" ht="25" customHeight="1">
      <x:c r="A196" s="6"/>
      <x:c r="B196" s="30"/>
      <x:c r="C196" s="5"/>
      <x:c r="D196" s="5"/>
      <x:c r="E196" s="32"/>
      <x:c r="F196" s="32"/>
      <x:c r="G196" s="24" t="str">
        <x:f>IF($A196="","",IF(AND($C196="",$E196=""),"",IF($E196="","brak danych",IF($E196=0,0,IF(COUNTIFS($A$10:$A$89,$C196)&lt;&gt;1,"brak danych",IF(COUNTIFS($A$10:$A$89,$C196,$F$10:$F$89,"&lt;&gt;")=0,"brak danych",VLOOKUP($C196,$A$10:$J$89,6,FALSE)*$E196))))))</x:f>
      </x:c>
      <x:c r="H196" s="25" t="str">
        <x:f>IF($A196="","",IF(AND($C196="",$E196=""),"",IF($E196="","brak danych",IF($E196=0,0,IF(COUNTIFS($A$10:$A$89,$C196)&lt;&gt;1,"brak danych",IF(COUNTIFS($A$10:$A$89,$C196,$G$10:$G$89,"&lt;&gt;")=0,"brak danych",VLOOKUP($C196,$A$10:$J$89,7,FALSE)*$E196))))))</x:f>
      </x:c>
      <x:c r="I196" s="25" t="str">
        <x:f>IF($A196="","",IF(AND($C196="",$E196=""),"",IF($E196="","brak danych",IF($E196=0,0,IF(COUNTIFS($A$10:$A$89,$C196)&lt;&gt;1,"brak danych",IF(COUNTIFS($A$10:$A$89,$C196,$H$10:$H$89,"&lt;&gt;")=0,"brak danych",VLOOKUP($C196,$A$10:$J$89,8,FALSE)*$E196))))))</x:f>
      </x:c>
      <x:c r="J196" s="25" t="str">
        <x:f>IF($A196="","",IF(AND($C196="",$E196=""),"",IF($E196="","brak danych",IF($E196=0,0,IF(COUNTIFS($A$10:$A$89,$C196)&lt;&gt;1,"brak danych",IF(COUNTIFS($A$10:$A$89,$C196,$I$10:$I$89,"&lt;&gt;")=0,"brak danych",VLOOKUP($C196,$A$10:$J$89,9,FALSE)*$E196))))))</x:f>
      </x:c>
      <x:c r="K196" s="25" t="str">
        <x:f>IF($A196="","",IF(AND($C196="",$E196=""),"",IF($E196="","brak danych",IF($E196=0,0,IF(COUNTIFS($A$10:$A$89,$C196)&lt;&gt;1,"brak danych",IF(COUNTIFS($A$10:$A$89,$C196,$J$10:$J$89,"&lt;&gt;")=0,"brak danych",VLOOKUP($C196,$A$10:$J$89,10,FALSE)*$E196))))))</x:f>
      </x:c>
      <x:c r="L196" s="24" t="str">
        <x:f>IF($A196="","",IF($F196="","",IF($F196=0,0,IF(COUNTIFS($A$10:$A$89,$C196)&lt;&gt;1,"brak danych",IF(COUNTIFS($A$10:$A$89,$C196,$F$10:$F$89,"&lt;&gt;")=0,"brak danych",VLOOKUP($C196,$A$10:$J$89,6,FALSE)*$F196)))))</x:f>
      </x:c>
      <x:c r="M196" s="25" t="str">
        <x:f>IF($A196="","",IF($F196="","",IF($F196=0,0,IF(COUNTIFS($A$10:$A$89,$C196)&lt;&gt;1,"brak danych",IF(COUNTIFS($A$10:$A$89,$C196,$G$10:$G$89,"&lt;&gt;")=0,"brak danych",VLOOKUP($C196,$A$10:$J$89,7,FALSE)*$F196)))))</x:f>
      </x:c>
      <x:c r="N196" s="25" t="str">
        <x:f>IF($A196="","",IF($F196="","",IF($F196=0,0,IF(COUNTIFS($A$10:$A$89,$C196)&lt;&gt;1,"brak danych",IF(COUNTIFS($A$10:$A$89,$C196,$H$10:$H$89,"&lt;&gt;")=0,"brak danych",VLOOKUP($C196,$A$10:$J$89,8,FALSE)*$F196)))))</x:f>
      </x:c>
      <x:c r="O196" s="25" t="str">
        <x:f>IF($A196="","",IF($F196="","",IF($F196=0,0,IF(COUNTIFS($A$10:$A$89,$C196)&lt;&gt;1,"brak danych",IF(COUNTIFS($A$10:$A$89,$C196,$I$10:$I$89,"&lt;&gt;")=0,"brak danych",VLOOKUP($C196,$A$10:$J$89,9,FALSE)*$F196)))))</x:f>
      </x:c>
      <x:c r="P196" s="25" t="str">
        <x:f>IF($A196="","",IF($F196="","",IF($F196=0,0,IF(COUNTIFS($A$10:$A$89,$C196)&lt;&gt;1,"brak danych",IF(COUNTIFS($A$10:$A$89,$C196,$J$10:$J$89,"&lt;&gt;")=0,"brak danych",VLOOKUP($C196,$A$10:$J$89,10,FALSE)*$F196)))))</x:f>
      </x:c>
      <x:c r="Q196" s="18"/>
    </x:row>
    <x:row r="197" ht="25" customHeight="1">
      <x:c r="A197" s="6"/>
      <x:c r="B197" s="30"/>
      <x:c r="C197" s="5"/>
      <x:c r="D197" s="5"/>
      <x:c r="E197" s="32"/>
      <x:c r="F197" s="32"/>
      <x:c r="G197" s="24" t="str">
        <x:f>IF($A197="","",IF(AND($C197="",$E197=""),"",IF($E197="","brak danych",IF($E197=0,0,IF(COUNTIFS($A$10:$A$89,$C197)&lt;&gt;1,"brak danych",IF(COUNTIFS($A$10:$A$89,$C197,$F$10:$F$89,"&lt;&gt;")=0,"brak danych",VLOOKUP($C197,$A$10:$J$89,6,FALSE)*$E197))))))</x:f>
      </x:c>
      <x:c r="H197" s="25" t="str">
        <x:f>IF($A197="","",IF(AND($C197="",$E197=""),"",IF($E197="","brak danych",IF($E197=0,0,IF(COUNTIFS($A$10:$A$89,$C197)&lt;&gt;1,"brak danych",IF(COUNTIFS($A$10:$A$89,$C197,$G$10:$G$89,"&lt;&gt;")=0,"brak danych",VLOOKUP($C197,$A$10:$J$89,7,FALSE)*$E197))))))</x:f>
      </x:c>
      <x:c r="I197" s="25" t="str">
        <x:f>IF($A197="","",IF(AND($C197="",$E197=""),"",IF($E197="","brak danych",IF($E197=0,0,IF(COUNTIFS($A$10:$A$89,$C197)&lt;&gt;1,"brak danych",IF(COUNTIFS($A$10:$A$89,$C197,$H$10:$H$89,"&lt;&gt;")=0,"brak danych",VLOOKUP($C197,$A$10:$J$89,8,FALSE)*$E197))))))</x:f>
      </x:c>
      <x:c r="J197" s="25" t="str">
        <x:f>IF($A197="","",IF(AND($C197="",$E197=""),"",IF($E197="","brak danych",IF($E197=0,0,IF(COUNTIFS($A$10:$A$89,$C197)&lt;&gt;1,"brak danych",IF(COUNTIFS($A$10:$A$89,$C197,$I$10:$I$89,"&lt;&gt;")=0,"brak danych",VLOOKUP($C197,$A$10:$J$89,9,FALSE)*$E197))))))</x:f>
      </x:c>
      <x:c r="K197" s="25" t="str">
        <x:f>IF($A197="","",IF(AND($C197="",$E197=""),"",IF($E197="","brak danych",IF($E197=0,0,IF(COUNTIFS($A$10:$A$89,$C197)&lt;&gt;1,"brak danych",IF(COUNTIFS($A$10:$A$89,$C197,$J$10:$J$89,"&lt;&gt;")=0,"brak danych",VLOOKUP($C197,$A$10:$J$89,10,FALSE)*$E197))))))</x:f>
      </x:c>
      <x:c r="L197" s="24" t="str">
        <x:f>IF($A197="","",IF($F197="","",IF($F197=0,0,IF(COUNTIFS($A$10:$A$89,$C197)&lt;&gt;1,"brak danych",IF(COUNTIFS($A$10:$A$89,$C197,$F$10:$F$89,"&lt;&gt;")=0,"brak danych",VLOOKUP($C197,$A$10:$J$89,6,FALSE)*$F197)))))</x:f>
      </x:c>
      <x:c r="M197" s="25" t="str">
        <x:f>IF($A197="","",IF($F197="","",IF($F197=0,0,IF(COUNTIFS($A$10:$A$89,$C197)&lt;&gt;1,"brak danych",IF(COUNTIFS($A$10:$A$89,$C197,$G$10:$G$89,"&lt;&gt;")=0,"brak danych",VLOOKUP($C197,$A$10:$J$89,7,FALSE)*$F197)))))</x:f>
      </x:c>
      <x:c r="N197" s="25" t="str">
        <x:f>IF($A197="","",IF($F197="","",IF($F197=0,0,IF(COUNTIFS($A$10:$A$89,$C197)&lt;&gt;1,"brak danych",IF(COUNTIFS($A$10:$A$89,$C197,$H$10:$H$89,"&lt;&gt;")=0,"brak danych",VLOOKUP($C197,$A$10:$J$89,8,FALSE)*$F197)))))</x:f>
      </x:c>
      <x:c r="O197" s="25" t="str">
        <x:f>IF($A197="","",IF($F197="","",IF($F197=0,0,IF(COUNTIFS($A$10:$A$89,$C197)&lt;&gt;1,"brak danych",IF(COUNTIFS($A$10:$A$89,$C197,$I$10:$I$89,"&lt;&gt;")=0,"brak danych",VLOOKUP($C197,$A$10:$J$89,9,FALSE)*$F197)))))</x:f>
      </x:c>
      <x:c r="P197" s="25" t="str">
        <x:f>IF($A197="","",IF($F197="","",IF($F197=0,0,IF(COUNTIFS($A$10:$A$89,$C197)&lt;&gt;1,"brak danych",IF(COUNTIFS($A$10:$A$89,$C197,$J$10:$J$89,"&lt;&gt;")=0,"brak danych",VLOOKUP($C197,$A$10:$J$89,10,FALSE)*$F197)))))</x:f>
      </x:c>
      <x:c r="Q197" s="18"/>
    </x:row>
    <x:row r="198" ht="25" customHeight="1">
      <x:c r="A198" s="6"/>
      <x:c r="B198" s="30"/>
      <x:c r="C198" s="5"/>
      <x:c r="D198" s="5"/>
      <x:c r="E198" s="32"/>
      <x:c r="F198" s="32"/>
      <x:c r="G198" s="24" t="str">
        <x:f>IF($A198="","",IF(AND($C198="",$E198=""),"",IF($E198="","brak danych",IF($E198=0,0,IF(COUNTIFS($A$10:$A$89,$C198)&lt;&gt;1,"brak danych",IF(COUNTIFS($A$10:$A$89,$C198,$F$10:$F$89,"&lt;&gt;")=0,"brak danych",VLOOKUP($C198,$A$10:$J$89,6,FALSE)*$E198))))))</x:f>
      </x:c>
      <x:c r="H198" s="25" t="str">
        <x:f>IF($A198="","",IF(AND($C198="",$E198=""),"",IF($E198="","brak danych",IF($E198=0,0,IF(COUNTIFS($A$10:$A$89,$C198)&lt;&gt;1,"brak danych",IF(COUNTIFS($A$10:$A$89,$C198,$G$10:$G$89,"&lt;&gt;")=0,"brak danych",VLOOKUP($C198,$A$10:$J$89,7,FALSE)*$E198))))))</x:f>
      </x:c>
      <x:c r="I198" s="25" t="str">
        <x:f>IF($A198="","",IF(AND($C198="",$E198=""),"",IF($E198="","brak danych",IF($E198=0,0,IF(COUNTIFS($A$10:$A$89,$C198)&lt;&gt;1,"brak danych",IF(COUNTIFS($A$10:$A$89,$C198,$H$10:$H$89,"&lt;&gt;")=0,"brak danych",VLOOKUP($C198,$A$10:$J$89,8,FALSE)*$E198))))))</x:f>
      </x:c>
      <x:c r="J198" s="25" t="str">
        <x:f>IF($A198="","",IF(AND($C198="",$E198=""),"",IF($E198="","brak danych",IF($E198=0,0,IF(COUNTIFS($A$10:$A$89,$C198)&lt;&gt;1,"brak danych",IF(COUNTIFS($A$10:$A$89,$C198,$I$10:$I$89,"&lt;&gt;")=0,"brak danych",VLOOKUP($C198,$A$10:$J$89,9,FALSE)*$E198))))))</x:f>
      </x:c>
      <x:c r="K198" s="25" t="str">
        <x:f>IF($A198="","",IF(AND($C198="",$E198=""),"",IF($E198="","brak danych",IF($E198=0,0,IF(COUNTIFS($A$10:$A$89,$C198)&lt;&gt;1,"brak danych",IF(COUNTIFS($A$10:$A$89,$C198,$J$10:$J$89,"&lt;&gt;")=0,"brak danych",VLOOKUP($C198,$A$10:$J$89,10,FALSE)*$E198))))))</x:f>
      </x:c>
      <x:c r="L198" s="24" t="str">
        <x:f>IF($A198="","",IF($F198="","",IF($F198=0,0,IF(COUNTIFS($A$10:$A$89,$C198)&lt;&gt;1,"brak danych",IF(COUNTIFS($A$10:$A$89,$C198,$F$10:$F$89,"&lt;&gt;")=0,"brak danych",VLOOKUP($C198,$A$10:$J$89,6,FALSE)*$F198)))))</x:f>
      </x:c>
      <x:c r="M198" s="25" t="str">
        <x:f>IF($A198="","",IF($F198="","",IF($F198=0,0,IF(COUNTIFS($A$10:$A$89,$C198)&lt;&gt;1,"brak danych",IF(COUNTIFS($A$10:$A$89,$C198,$G$10:$G$89,"&lt;&gt;")=0,"brak danych",VLOOKUP($C198,$A$10:$J$89,7,FALSE)*$F198)))))</x:f>
      </x:c>
      <x:c r="N198" s="25" t="str">
        <x:f>IF($A198="","",IF($F198="","",IF($F198=0,0,IF(COUNTIFS($A$10:$A$89,$C198)&lt;&gt;1,"brak danych",IF(COUNTIFS($A$10:$A$89,$C198,$H$10:$H$89,"&lt;&gt;")=0,"brak danych",VLOOKUP($C198,$A$10:$J$89,8,FALSE)*$F198)))))</x:f>
      </x:c>
      <x:c r="O198" s="25" t="str">
        <x:f>IF($A198="","",IF($F198="","",IF($F198=0,0,IF(COUNTIFS($A$10:$A$89,$C198)&lt;&gt;1,"brak danych",IF(COUNTIFS($A$10:$A$89,$C198,$I$10:$I$89,"&lt;&gt;")=0,"brak danych",VLOOKUP($C198,$A$10:$J$89,9,FALSE)*$F198)))))</x:f>
      </x:c>
      <x:c r="P198" s="25" t="str">
        <x:f>IF($A198="","",IF($F198="","",IF($F198=0,0,IF(COUNTIFS($A$10:$A$89,$C198)&lt;&gt;1,"brak danych",IF(COUNTIFS($A$10:$A$89,$C198,$J$10:$J$89,"&lt;&gt;")=0,"brak danych",VLOOKUP($C198,$A$10:$J$89,10,FALSE)*$F198)))))</x:f>
      </x:c>
      <x:c r="Q198" s="18"/>
    </x:row>
    <x:row r="199" ht="25" customHeight="1">
      <x:c r="A199" s="6"/>
      <x:c r="B199" s="30"/>
      <x:c r="C199" s="5"/>
      <x:c r="D199" s="5"/>
      <x:c r="E199" s="32"/>
      <x:c r="F199" s="32"/>
      <x:c r="G199" s="24" t="str">
        <x:f>IF($A199="","",IF(AND($C199="",$E199=""),"",IF($E199="","brak danych",IF($E199=0,0,IF(COUNTIFS($A$10:$A$89,$C199)&lt;&gt;1,"brak danych",IF(COUNTIFS($A$10:$A$89,$C199,$F$10:$F$89,"&lt;&gt;")=0,"brak danych",VLOOKUP($C199,$A$10:$J$89,6,FALSE)*$E199))))))</x:f>
      </x:c>
      <x:c r="H199" s="25" t="str">
        <x:f>IF($A199="","",IF(AND($C199="",$E199=""),"",IF($E199="","brak danych",IF($E199=0,0,IF(COUNTIFS($A$10:$A$89,$C199)&lt;&gt;1,"brak danych",IF(COUNTIFS($A$10:$A$89,$C199,$G$10:$G$89,"&lt;&gt;")=0,"brak danych",VLOOKUP($C199,$A$10:$J$89,7,FALSE)*$E199))))))</x:f>
      </x:c>
      <x:c r="I199" s="25" t="str">
        <x:f>IF($A199="","",IF(AND($C199="",$E199=""),"",IF($E199="","brak danych",IF($E199=0,0,IF(COUNTIFS($A$10:$A$89,$C199)&lt;&gt;1,"brak danych",IF(COUNTIFS($A$10:$A$89,$C199,$H$10:$H$89,"&lt;&gt;")=0,"brak danych",VLOOKUP($C199,$A$10:$J$89,8,FALSE)*$E199))))))</x:f>
      </x:c>
      <x:c r="J199" s="25" t="str">
        <x:f>IF($A199="","",IF(AND($C199="",$E199=""),"",IF($E199="","brak danych",IF($E199=0,0,IF(COUNTIFS($A$10:$A$89,$C199)&lt;&gt;1,"brak danych",IF(COUNTIFS($A$10:$A$89,$C199,$I$10:$I$89,"&lt;&gt;")=0,"brak danych",VLOOKUP($C199,$A$10:$J$89,9,FALSE)*$E199))))))</x:f>
      </x:c>
      <x:c r="K199" s="25" t="str">
        <x:f>IF($A199="","",IF(AND($C199="",$E199=""),"",IF($E199="","brak danych",IF($E199=0,0,IF(COUNTIFS($A$10:$A$89,$C199)&lt;&gt;1,"brak danych",IF(COUNTIFS($A$10:$A$89,$C199,$J$10:$J$89,"&lt;&gt;")=0,"brak danych",VLOOKUP($C199,$A$10:$J$89,10,FALSE)*$E199))))))</x:f>
      </x:c>
      <x:c r="L199" s="24" t="str">
        <x:f>IF($A199="","",IF($F199="","",IF($F199=0,0,IF(COUNTIFS($A$10:$A$89,$C199)&lt;&gt;1,"brak danych",IF(COUNTIFS($A$10:$A$89,$C199,$F$10:$F$89,"&lt;&gt;")=0,"brak danych",VLOOKUP($C199,$A$10:$J$89,6,FALSE)*$F199)))))</x:f>
      </x:c>
      <x:c r="M199" s="25" t="str">
        <x:f>IF($A199="","",IF($F199="","",IF($F199=0,0,IF(COUNTIFS($A$10:$A$89,$C199)&lt;&gt;1,"brak danych",IF(COUNTIFS($A$10:$A$89,$C199,$G$10:$G$89,"&lt;&gt;")=0,"brak danych",VLOOKUP($C199,$A$10:$J$89,7,FALSE)*$F199)))))</x:f>
      </x:c>
      <x:c r="N199" s="25" t="str">
        <x:f>IF($A199="","",IF($F199="","",IF($F199=0,0,IF(COUNTIFS($A$10:$A$89,$C199)&lt;&gt;1,"brak danych",IF(COUNTIFS($A$10:$A$89,$C199,$H$10:$H$89,"&lt;&gt;")=0,"brak danych",VLOOKUP($C199,$A$10:$J$89,8,FALSE)*$F199)))))</x:f>
      </x:c>
      <x:c r="O199" s="25" t="str">
        <x:f>IF($A199="","",IF($F199="","",IF($F199=0,0,IF(COUNTIFS($A$10:$A$89,$C199)&lt;&gt;1,"brak danych",IF(COUNTIFS($A$10:$A$89,$C199,$I$10:$I$89,"&lt;&gt;")=0,"brak danych",VLOOKUP($C199,$A$10:$J$89,9,FALSE)*$F199)))))</x:f>
      </x:c>
      <x:c r="P199" s="25" t="str">
        <x:f>IF($A199="","",IF($F199="","",IF($F199=0,0,IF(COUNTIFS($A$10:$A$89,$C199)&lt;&gt;1,"brak danych",IF(COUNTIFS($A$10:$A$89,$C199,$J$10:$J$89,"&lt;&gt;")=0,"brak danych",VLOOKUP($C199,$A$10:$J$89,10,FALSE)*$F199)))))</x:f>
      </x:c>
      <x:c r="Q199" s="18"/>
    </x:row>
    <x:row r="200" ht="25" customHeight="1">
      <x:c r="A200" s="6"/>
      <x:c r="B200" s="30"/>
      <x:c r="C200" s="5"/>
      <x:c r="D200" s="5"/>
      <x:c r="E200" s="32"/>
      <x:c r="F200" s="32"/>
      <x:c r="G200" s="24" t="str">
        <x:f>IF($A200="","",IF(AND($C200="",$E200=""),"",IF($E200="","brak danych",IF($E200=0,0,IF(COUNTIFS($A$10:$A$89,$C200)&lt;&gt;1,"brak danych",IF(COUNTIFS($A$10:$A$89,$C200,$F$10:$F$89,"&lt;&gt;")=0,"brak danych",VLOOKUP($C200,$A$10:$J$89,6,FALSE)*$E200))))))</x:f>
      </x:c>
      <x:c r="H200" s="25" t="str">
        <x:f>IF($A200="","",IF(AND($C200="",$E200=""),"",IF($E200="","brak danych",IF($E200=0,0,IF(COUNTIFS($A$10:$A$89,$C200)&lt;&gt;1,"brak danych",IF(COUNTIFS($A$10:$A$89,$C200,$G$10:$G$89,"&lt;&gt;")=0,"brak danych",VLOOKUP($C200,$A$10:$J$89,7,FALSE)*$E200))))))</x:f>
      </x:c>
      <x:c r="I200" s="25" t="str">
        <x:f>IF($A200="","",IF(AND($C200="",$E200=""),"",IF($E200="","brak danych",IF($E200=0,0,IF(COUNTIFS($A$10:$A$89,$C200)&lt;&gt;1,"brak danych",IF(COUNTIFS($A$10:$A$89,$C200,$H$10:$H$89,"&lt;&gt;")=0,"brak danych",VLOOKUP($C200,$A$10:$J$89,8,FALSE)*$E200))))))</x:f>
      </x:c>
      <x:c r="J200" s="25" t="str">
        <x:f>IF($A200="","",IF(AND($C200="",$E200=""),"",IF($E200="","brak danych",IF($E200=0,0,IF(COUNTIFS($A$10:$A$89,$C200)&lt;&gt;1,"brak danych",IF(COUNTIFS($A$10:$A$89,$C200,$I$10:$I$89,"&lt;&gt;")=0,"brak danych",VLOOKUP($C200,$A$10:$J$89,9,FALSE)*$E200))))))</x:f>
      </x:c>
      <x:c r="K200" s="25" t="str">
        <x:f>IF($A200="","",IF(AND($C200="",$E200=""),"",IF($E200="","brak danych",IF($E200=0,0,IF(COUNTIFS($A$10:$A$89,$C200)&lt;&gt;1,"brak danych",IF(COUNTIFS($A$10:$A$89,$C200,$J$10:$J$89,"&lt;&gt;")=0,"brak danych",VLOOKUP($C200,$A$10:$J$89,10,FALSE)*$E200))))))</x:f>
      </x:c>
      <x:c r="L200" s="24" t="str">
        <x:f>IF($A200="","",IF($F200="","",IF($F200=0,0,IF(COUNTIFS($A$10:$A$89,$C200)&lt;&gt;1,"brak danych",IF(COUNTIFS($A$10:$A$89,$C200,$F$10:$F$89,"&lt;&gt;")=0,"brak danych",VLOOKUP($C200,$A$10:$J$89,6,FALSE)*$F200)))))</x:f>
      </x:c>
      <x:c r="M200" s="25" t="str">
        <x:f>IF($A200="","",IF($F200="","",IF($F200=0,0,IF(COUNTIFS($A$10:$A$89,$C200)&lt;&gt;1,"brak danych",IF(COUNTIFS($A$10:$A$89,$C200,$G$10:$G$89,"&lt;&gt;")=0,"brak danych",VLOOKUP($C200,$A$10:$J$89,7,FALSE)*$F200)))))</x:f>
      </x:c>
      <x:c r="N200" s="25" t="str">
        <x:f>IF($A200="","",IF($F200="","",IF($F200=0,0,IF(COUNTIFS($A$10:$A$89,$C200)&lt;&gt;1,"brak danych",IF(COUNTIFS($A$10:$A$89,$C200,$H$10:$H$89,"&lt;&gt;")=0,"brak danych",VLOOKUP($C200,$A$10:$J$89,8,FALSE)*$F200)))))</x:f>
      </x:c>
      <x:c r="O200" s="25" t="str">
        <x:f>IF($A200="","",IF($F200="","",IF($F200=0,0,IF(COUNTIFS($A$10:$A$89,$C200)&lt;&gt;1,"brak danych",IF(COUNTIFS($A$10:$A$89,$C200,$I$10:$I$89,"&lt;&gt;")=0,"brak danych",VLOOKUP($C200,$A$10:$J$89,9,FALSE)*$F200)))))</x:f>
      </x:c>
      <x:c r="P200" s="25" t="str">
        <x:f>IF($A200="","",IF($F200="","",IF($F200=0,0,IF(COUNTIFS($A$10:$A$89,$C200)&lt;&gt;1,"brak danych",IF(COUNTIFS($A$10:$A$89,$C200,$J$10:$J$89,"&lt;&gt;")=0,"brak danych",VLOOKUP($C200,$A$10:$J$89,10,FALSE)*$F200)))))</x:f>
      </x:c>
      <x:c r="Q200" s="18"/>
    </x:row>
    <x:row r="201" ht="25" customHeight="1">
      <x:c r="A201" s="6"/>
      <x:c r="B201" s="30"/>
      <x:c r="C201" s="5"/>
      <x:c r="D201" s="5"/>
      <x:c r="E201" s="32"/>
      <x:c r="F201" s="32"/>
      <x:c r="G201" s="24" t="str">
        <x:f>IF($A201="","",IF(AND($C201="",$E201=""),"",IF($E201="","brak danych",IF($E201=0,0,IF(COUNTIFS($A$10:$A$89,$C201)&lt;&gt;1,"brak danych",IF(COUNTIFS($A$10:$A$89,$C201,$F$10:$F$89,"&lt;&gt;")=0,"brak danych",VLOOKUP($C201,$A$10:$J$89,6,FALSE)*$E201))))))</x:f>
      </x:c>
      <x:c r="H201" s="25" t="str">
        <x:f>IF($A201="","",IF(AND($C201="",$E201=""),"",IF($E201="","brak danych",IF($E201=0,0,IF(COUNTIFS($A$10:$A$89,$C201)&lt;&gt;1,"brak danych",IF(COUNTIFS($A$10:$A$89,$C201,$G$10:$G$89,"&lt;&gt;")=0,"brak danych",VLOOKUP($C201,$A$10:$J$89,7,FALSE)*$E201))))))</x:f>
      </x:c>
      <x:c r="I201" s="25" t="str">
        <x:f>IF($A201="","",IF(AND($C201="",$E201=""),"",IF($E201="","brak danych",IF($E201=0,0,IF(COUNTIFS($A$10:$A$89,$C201)&lt;&gt;1,"brak danych",IF(COUNTIFS($A$10:$A$89,$C201,$H$10:$H$89,"&lt;&gt;")=0,"brak danych",VLOOKUP($C201,$A$10:$J$89,8,FALSE)*$E201))))))</x:f>
      </x:c>
      <x:c r="J201" s="25" t="str">
        <x:f>IF($A201="","",IF(AND($C201="",$E201=""),"",IF($E201="","brak danych",IF($E201=0,0,IF(COUNTIFS($A$10:$A$89,$C201)&lt;&gt;1,"brak danych",IF(COUNTIFS($A$10:$A$89,$C201,$I$10:$I$89,"&lt;&gt;")=0,"brak danych",VLOOKUP($C201,$A$10:$J$89,9,FALSE)*$E201))))))</x:f>
      </x:c>
      <x:c r="K201" s="25" t="str">
        <x:f>IF($A201="","",IF(AND($C201="",$E201=""),"",IF($E201="","brak danych",IF($E201=0,0,IF(COUNTIFS($A$10:$A$89,$C201)&lt;&gt;1,"brak danych",IF(COUNTIFS($A$10:$A$89,$C201,$J$10:$J$89,"&lt;&gt;")=0,"brak danych",VLOOKUP($C201,$A$10:$J$89,10,FALSE)*$E201))))))</x:f>
      </x:c>
      <x:c r="L201" s="24" t="str">
        <x:f>IF($A201="","",IF($F201="","",IF($F201=0,0,IF(COUNTIFS($A$10:$A$89,$C201)&lt;&gt;1,"brak danych",IF(COUNTIFS($A$10:$A$89,$C201,$F$10:$F$89,"&lt;&gt;")=0,"brak danych",VLOOKUP($C201,$A$10:$J$89,6,FALSE)*$F201)))))</x:f>
      </x:c>
      <x:c r="M201" s="25" t="str">
        <x:f>IF($A201="","",IF($F201="","",IF($F201=0,0,IF(COUNTIFS($A$10:$A$89,$C201)&lt;&gt;1,"brak danych",IF(COUNTIFS($A$10:$A$89,$C201,$G$10:$G$89,"&lt;&gt;")=0,"brak danych",VLOOKUP($C201,$A$10:$J$89,7,FALSE)*$F201)))))</x:f>
      </x:c>
      <x:c r="N201" s="25" t="str">
        <x:f>IF($A201="","",IF($F201="","",IF($F201=0,0,IF(COUNTIFS($A$10:$A$89,$C201)&lt;&gt;1,"brak danych",IF(COUNTIFS($A$10:$A$89,$C201,$H$10:$H$89,"&lt;&gt;")=0,"brak danych",VLOOKUP($C201,$A$10:$J$89,8,FALSE)*$F201)))))</x:f>
      </x:c>
      <x:c r="O201" s="25" t="str">
        <x:f>IF($A201="","",IF($F201="","",IF($F201=0,0,IF(COUNTIFS($A$10:$A$89,$C201)&lt;&gt;1,"brak danych",IF(COUNTIFS($A$10:$A$89,$C201,$I$10:$I$89,"&lt;&gt;")=0,"brak danych",VLOOKUP($C201,$A$10:$J$89,9,FALSE)*$F201)))))</x:f>
      </x:c>
      <x:c r="P201" s="25" t="str">
        <x:f>IF($A201="","",IF($F201="","",IF($F201=0,0,IF(COUNTIFS($A$10:$A$89,$C201)&lt;&gt;1,"brak danych",IF(COUNTIFS($A$10:$A$89,$C201,$J$10:$J$89,"&lt;&gt;")=0,"brak danych",VLOOKUP($C201,$A$10:$J$89,10,FALSE)*$F201)))))</x:f>
      </x:c>
      <x:c r="Q201" s="18"/>
    </x:row>
    <x:row r="202" ht="25" customHeight="1">
      <x:c r="A202" s="6"/>
      <x:c r="B202" s="30"/>
      <x:c r="C202" s="5"/>
      <x:c r="D202" s="5"/>
      <x:c r="E202" s="32"/>
      <x:c r="F202" s="32"/>
      <x:c r="G202" s="24" t="str">
        <x:f>IF($A202="","",IF(AND($C202="",$E202=""),"",IF($E202="","brak danych",IF($E202=0,0,IF(COUNTIFS($A$10:$A$89,$C202)&lt;&gt;1,"brak danych",IF(COUNTIFS($A$10:$A$89,$C202,$F$10:$F$89,"&lt;&gt;")=0,"brak danych",VLOOKUP($C202,$A$10:$J$89,6,FALSE)*$E202))))))</x:f>
      </x:c>
      <x:c r="H202" s="25" t="str">
        <x:f>IF($A202="","",IF(AND($C202="",$E202=""),"",IF($E202="","brak danych",IF($E202=0,0,IF(COUNTIFS($A$10:$A$89,$C202)&lt;&gt;1,"brak danych",IF(COUNTIFS($A$10:$A$89,$C202,$G$10:$G$89,"&lt;&gt;")=0,"brak danych",VLOOKUP($C202,$A$10:$J$89,7,FALSE)*$E202))))))</x:f>
      </x:c>
      <x:c r="I202" s="25" t="str">
        <x:f>IF($A202="","",IF(AND($C202="",$E202=""),"",IF($E202="","brak danych",IF($E202=0,0,IF(COUNTIFS($A$10:$A$89,$C202)&lt;&gt;1,"brak danych",IF(COUNTIFS($A$10:$A$89,$C202,$H$10:$H$89,"&lt;&gt;")=0,"brak danych",VLOOKUP($C202,$A$10:$J$89,8,FALSE)*$E202))))))</x:f>
      </x:c>
      <x:c r="J202" s="25" t="str">
        <x:f>IF($A202="","",IF(AND($C202="",$E202=""),"",IF($E202="","brak danych",IF($E202=0,0,IF(COUNTIFS($A$10:$A$89,$C202)&lt;&gt;1,"brak danych",IF(COUNTIFS($A$10:$A$89,$C202,$I$10:$I$89,"&lt;&gt;")=0,"brak danych",VLOOKUP($C202,$A$10:$J$89,9,FALSE)*$E202))))))</x:f>
      </x:c>
      <x:c r="K202" s="25" t="str">
        <x:f>IF($A202="","",IF(AND($C202="",$E202=""),"",IF($E202="","brak danych",IF($E202=0,0,IF(COUNTIFS($A$10:$A$89,$C202)&lt;&gt;1,"brak danych",IF(COUNTIFS($A$10:$A$89,$C202,$J$10:$J$89,"&lt;&gt;")=0,"brak danych",VLOOKUP($C202,$A$10:$J$89,10,FALSE)*$E202))))))</x:f>
      </x:c>
      <x:c r="L202" s="24" t="str">
        <x:f>IF($A202="","",IF($F202="","",IF($F202=0,0,IF(COUNTIFS($A$10:$A$89,$C202)&lt;&gt;1,"brak danych",IF(COUNTIFS($A$10:$A$89,$C202,$F$10:$F$89,"&lt;&gt;")=0,"brak danych",VLOOKUP($C202,$A$10:$J$89,6,FALSE)*$F202)))))</x:f>
      </x:c>
      <x:c r="M202" s="25" t="str">
        <x:f>IF($A202="","",IF($F202="","",IF($F202=0,0,IF(COUNTIFS($A$10:$A$89,$C202)&lt;&gt;1,"brak danych",IF(COUNTIFS($A$10:$A$89,$C202,$G$10:$G$89,"&lt;&gt;")=0,"brak danych",VLOOKUP($C202,$A$10:$J$89,7,FALSE)*$F202)))))</x:f>
      </x:c>
      <x:c r="N202" s="25" t="str">
        <x:f>IF($A202="","",IF($F202="","",IF($F202=0,0,IF(COUNTIFS($A$10:$A$89,$C202)&lt;&gt;1,"brak danych",IF(COUNTIFS($A$10:$A$89,$C202,$H$10:$H$89,"&lt;&gt;")=0,"brak danych",VLOOKUP($C202,$A$10:$J$89,8,FALSE)*$F202)))))</x:f>
      </x:c>
      <x:c r="O202" s="25" t="str">
        <x:f>IF($A202="","",IF($F202="","",IF($F202=0,0,IF(COUNTIFS($A$10:$A$89,$C202)&lt;&gt;1,"brak danych",IF(COUNTIFS($A$10:$A$89,$C202,$I$10:$I$89,"&lt;&gt;")=0,"brak danych",VLOOKUP($C202,$A$10:$J$89,9,FALSE)*$F202)))))</x:f>
      </x:c>
      <x:c r="P202" s="25" t="str">
        <x:f>IF($A202="","",IF($F202="","",IF($F202=0,0,IF(COUNTIFS($A$10:$A$89,$C202)&lt;&gt;1,"brak danych",IF(COUNTIFS($A$10:$A$89,$C202,$J$10:$J$89,"&lt;&gt;")=0,"brak danych",VLOOKUP($C202,$A$10:$J$89,10,FALSE)*$F202)))))</x:f>
      </x:c>
      <x:c r="Q202" s="18"/>
    </x:row>
    <x:row r="203" ht="25" customHeight="1">
      <x:c r="A203" s="6"/>
      <x:c r="B203" s="30"/>
      <x:c r="C203" s="5"/>
      <x:c r="D203" s="5"/>
      <x:c r="E203" s="32"/>
      <x:c r="F203" s="32"/>
      <x:c r="G203" s="24" t="str">
        <x:f>IF($A203="","",IF(AND($C203="",$E203=""),"",IF($E203="","brak danych",IF($E203=0,0,IF(COUNTIFS($A$10:$A$89,$C203)&lt;&gt;1,"brak danych",IF(COUNTIFS($A$10:$A$89,$C203,$F$10:$F$89,"&lt;&gt;")=0,"brak danych",VLOOKUP($C203,$A$10:$J$89,6,FALSE)*$E203))))))</x:f>
      </x:c>
      <x:c r="H203" s="25" t="str">
        <x:f>IF($A203="","",IF(AND($C203="",$E203=""),"",IF($E203="","brak danych",IF($E203=0,0,IF(COUNTIFS($A$10:$A$89,$C203)&lt;&gt;1,"brak danych",IF(COUNTIFS($A$10:$A$89,$C203,$G$10:$G$89,"&lt;&gt;")=0,"brak danych",VLOOKUP($C203,$A$10:$J$89,7,FALSE)*$E203))))))</x:f>
      </x:c>
      <x:c r="I203" s="25" t="str">
        <x:f>IF($A203="","",IF(AND($C203="",$E203=""),"",IF($E203="","brak danych",IF($E203=0,0,IF(COUNTIFS($A$10:$A$89,$C203)&lt;&gt;1,"brak danych",IF(COUNTIFS($A$10:$A$89,$C203,$H$10:$H$89,"&lt;&gt;")=0,"brak danych",VLOOKUP($C203,$A$10:$J$89,8,FALSE)*$E203))))))</x:f>
      </x:c>
      <x:c r="J203" s="25" t="str">
        <x:f>IF($A203="","",IF(AND($C203="",$E203=""),"",IF($E203="","brak danych",IF($E203=0,0,IF(COUNTIFS($A$10:$A$89,$C203)&lt;&gt;1,"brak danych",IF(COUNTIFS($A$10:$A$89,$C203,$I$10:$I$89,"&lt;&gt;")=0,"brak danych",VLOOKUP($C203,$A$10:$J$89,9,FALSE)*$E203))))))</x:f>
      </x:c>
      <x:c r="K203" s="25" t="str">
        <x:f>IF($A203="","",IF(AND($C203="",$E203=""),"",IF($E203="","brak danych",IF($E203=0,0,IF(COUNTIFS($A$10:$A$89,$C203)&lt;&gt;1,"brak danych",IF(COUNTIFS($A$10:$A$89,$C203,$J$10:$J$89,"&lt;&gt;")=0,"brak danych",VLOOKUP($C203,$A$10:$J$89,10,FALSE)*$E203))))))</x:f>
      </x:c>
      <x:c r="L203" s="24" t="str">
        <x:f>IF($A203="","",IF($F203="","",IF($F203=0,0,IF(COUNTIFS($A$10:$A$89,$C203)&lt;&gt;1,"brak danych",IF(COUNTIFS($A$10:$A$89,$C203,$F$10:$F$89,"&lt;&gt;")=0,"brak danych",VLOOKUP($C203,$A$10:$J$89,6,FALSE)*$F203)))))</x:f>
      </x:c>
      <x:c r="M203" s="25" t="str">
        <x:f>IF($A203="","",IF($F203="","",IF($F203=0,0,IF(COUNTIFS($A$10:$A$89,$C203)&lt;&gt;1,"brak danych",IF(COUNTIFS($A$10:$A$89,$C203,$G$10:$G$89,"&lt;&gt;")=0,"brak danych",VLOOKUP($C203,$A$10:$J$89,7,FALSE)*$F203)))))</x:f>
      </x:c>
      <x:c r="N203" s="25" t="str">
        <x:f>IF($A203="","",IF($F203="","",IF($F203=0,0,IF(COUNTIFS($A$10:$A$89,$C203)&lt;&gt;1,"brak danych",IF(COUNTIFS($A$10:$A$89,$C203,$H$10:$H$89,"&lt;&gt;")=0,"brak danych",VLOOKUP($C203,$A$10:$J$89,8,FALSE)*$F203)))))</x:f>
      </x:c>
      <x:c r="O203" s="25" t="str">
        <x:f>IF($A203="","",IF($F203="","",IF($F203=0,0,IF(COUNTIFS($A$10:$A$89,$C203)&lt;&gt;1,"brak danych",IF(COUNTIFS($A$10:$A$89,$C203,$I$10:$I$89,"&lt;&gt;")=0,"brak danych",VLOOKUP($C203,$A$10:$J$89,9,FALSE)*$F203)))))</x:f>
      </x:c>
      <x:c r="P203" s="25" t="str">
        <x:f>IF($A203="","",IF($F203="","",IF($F203=0,0,IF(COUNTIFS($A$10:$A$89,$C203)&lt;&gt;1,"brak danych",IF(COUNTIFS($A$10:$A$89,$C203,$J$10:$J$89,"&lt;&gt;")=0,"brak danych",VLOOKUP($C203,$A$10:$J$89,10,FALSE)*$F203)))))</x:f>
      </x:c>
      <x:c r="Q203" s="18"/>
    </x:row>
    <x:row r="204" ht="25" customHeight="1">
      <x:c r="A204" s="6"/>
      <x:c r="B204" s="30"/>
      <x:c r="C204" s="5"/>
      <x:c r="D204" s="5"/>
      <x:c r="E204" s="32"/>
      <x:c r="F204" s="32"/>
      <x:c r="G204" s="24" t="str">
        <x:f>IF($A204="","",IF(AND($C204="",$E204=""),"",IF($E204="","brak danych",IF($E204=0,0,IF(COUNTIFS($A$10:$A$89,$C204)&lt;&gt;1,"brak danych",IF(COUNTIFS($A$10:$A$89,$C204,$F$10:$F$89,"&lt;&gt;")=0,"brak danych",VLOOKUP($C204,$A$10:$J$89,6,FALSE)*$E204))))))</x:f>
      </x:c>
      <x:c r="H204" s="25" t="str">
        <x:f>IF($A204="","",IF(AND($C204="",$E204=""),"",IF($E204="","brak danych",IF($E204=0,0,IF(COUNTIFS($A$10:$A$89,$C204)&lt;&gt;1,"brak danych",IF(COUNTIFS($A$10:$A$89,$C204,$G$10:$G$89,"&lt;&gt;")=0,"brak danych",VLOOKUP($C204,$A$10:$J$89,7,FALSE)*$E204))))))</x:f>
      </x:c>
      <x:c r="I204" s="25" t="str">
        <x:f>IF($A204="","",IF(AND($C204="",$E204=""),"",IF($E204="","brak danych",IF($E204=0,0,IF(COUNTIFS($A$10:$A$89,$C204)&lt;&gt;1,"brak danych",IF(COUNTIFS($A$10:$A$89,$C204,$H$10:$H$89,"&lt;&gt;")=0,"brak danych",VLOOKUP($C204,$A$10:$J$89,8,FALSE)*$E204))))))</x:f>
      </x:c>
      <x:c r="J204" s="25" t="str">
        <x:f>IF($A204="","",IF(AND($C204="",$E204=""),"",IF($E204="","brak danych",IF($E204=0,0,IF(COUNTIFS($A$10:$A$89,$C204)&lt;&gt;1,"brak danych",IF(COUNTIFS($A$10:$A$89,$C204,$I$10:$I$89,"&lt;&gt;")=0,"brak danych",VLOOKUP($C204,$A$10:$J$89,9,FALSE)*$E204))))))</x:f>
      </x:c>
      <x:c r="K204" s="25" t="str">
        <x:f>IF($A204="","",IF(AND($C204="",$E204=""),"",IF($E204="","brak danych",IF($E204=0,0,IF(COUNTIFS($A$10:$A$89,$C204)&lt;&gt;1,"brak danych",IF(COUNTIFS($A$10:$A$89,$C204,$J$10:$J$89,"&lt;&gt;")=0,"brak danych",VLOOKUP($C204,$A$10:$J$89,10,FALSE)*$E204))))))</x:f>
      </x:c>
      <x:c r="L204" s="24" t="str">
        <x:f>IF($A204="","",IF($F204="","",IF($F204=0,0,IF(COUNTIFS($A$10:$A$89,$C204)&lt;&gt;1,"brak danych",IF(COUNTIFS($A$10:$A$89,$C204,$F$10:$F$89,"&lt;&gt;")=0,"brak danych",VLOOKUP($C204,$A$10:$J$89,6,FALSE)*$F204)))))</x:f>
      </x:c>
      <x:c r="M204" s="25" t="str">
        <x:f>IF($A204="","",IF($F204="","",IF($F204=0,0,IF(COUNTIFS($A$10:$A$89,$C204)&lt;&gt;1,"brak danych",IF(COUNTIFS($A$10:$A$89,$C204,$G$10:$G$89,"&lt;&gt;")=0,"brak danych",VLOOKUP($C204,$A$10:$J$89,7,FALSE)*$F204)))))</x:f>
      </x:c>
      <x:c r="N204" s="25" t="str">
        <x:f>IF($A204="","",IF($F204="","",IF($F204=0,0,IF(COUNTIFS($A$10:$A$89,$C204)&lt;&gt;1,"brak danych",IF(COUNTIFS($A$10:$A$89,$C204,$H$10:$H$89,"&lt;&gt;")=0,"brak danych",VLOOKUP($C204,$A$10:$J$89,8,FALSE)*$F204)))))</x:f>
      </x:c>
      <x:c r="O204" s="25" t="str">
        <x:f>IF($A204="","",IF($F204="","",IF($F204=0,0,IF(COUNTIFS($A$10:$A$89,$C204)&lt;&gt;1,"brak danych",IF(COUNTIFS($A$10:$A$89,$C204,$I$10:$I$89,"&lt;&gt;")=0,"brak danych",VLOOKUP($C204,$A$10:$J$89,9,FALSE)*$F204)))))</x:f>
      </x:c>
      <x:c r="P204" s="25" t="str">
        <x:f>IF($A204="","",IF($F204="","",IF($F204=0,0,IF(COUNTIFS($A$10:$A$89,$C204)&lt;&gt;1,"brak danych",IF(COUNTIFS($A$10:$A$89,$C204,$J$10:$J$89,"&lt;&gt;")=0,"brak danych",VLOOKUP($C204,$A$10:$J$89,10,FALSE)*$F204)))))</x:f>
      </x:c>
      <x:c r="Q204" s="18"/>
    </x:row>
    <x:row r="205" ht="25" customHeight="1">
      <x:c r="A205" s="6"/>
      <x:c r="B205" s="30"/>
      <x:c r="C205" s="5"/>
      <x:c r="D205" s="5"/>
      <x:c r="E205" s="32"/>
      <x:c r="F205" s="32"/>
      <x:c r="G205" s="24" t="str">
        <x:f>IF($A205="","",IF(AND($C205="",$E205=""),"",IF($E205="","brak danych",IF($E205=0,0,IF(COUNTIFS($A$10:$A$89,$C205)&lt;&gt;1,"brak danych",IF(COUNTIFS($A$10:$A$89,$C205,$F$10:$F$89,"&lt;&gt;")=0,"brak danych",VLOOKUP($C205,$A$10:$J$89,6,FALSE)*$E205))))))</x:f>
      </x:c>
      <x:c r="H205" s="25" t="str">
        <x:f>IF($A205="","",IF(AND($C205="",$E205=""),"",IF($E205="","brak danych",IF($E205=0,0,IF(COUNTIFS($A$10:$A$89,$C205)&lt;&gt;1,"brak danych",IF(COUNTIFS($A$10:$A$89,$C205,$G$10:$G$89,"&lt;&gt;")=0,"brak danych",VLOOKUP($C205,$A$10:$J$89,7,FALSE)*$E205))))))</x:f>
      </x:c>
      <x:c r="I205" s="25" t="str">
        <x:f>IF($A205="","",IF(AND($C205="",$E205=""),"",IF($E205="","brak danych",IF($E205=0,0,IF(COUNTIFS($A$10:$A$89,$C205)&lt;&gt;1,"brak danych",IF(COUNTIFS($A$10:$A$89,$C205,$H$10:$H$89,"&lt;&gt;")=0,"brak danych",VLOOKUP($C205,$A$10:$J$89,8,FALSE)*$E205))))))</x:f>
      </x:c>
      <x:c r="J205" s="25" t="str">
        <x:f>IF($A205="","",IF(AND($C205="",$E205=""),"",IF($E205="","brak danych",IF($E205=0,0,IF(COUNTIFS($A$10:$A$89,$C205)&lt;&gt;1,"brak danych",IF(COUNTIFS($A$10:$A$89,$C205,$I$10:$I$89,"&lt;&gt;")=0,"brak danych",VLOOKUP($C205,$A$10:$J$89,9,FALSE)*$E205))))))</x:f>
      </x:c>
      <x:c r="K205" s="25" t="str">
        <x:f>IF($A205="","",IF(AND($C205="",$E205=""),"",IF($E205="","brak danych",IF($E205=0,0,IF(COUNTIFS($A$10:$A$89,$C205)&lt;&gt;1,"brak danych",IF(COUNTIFS($A$10:$A$89,$C205,$J$10:$J$89,"&lt;&gt;")=0,"brak danych",VLOOKUP($C205,$A$10:$J$89,10,FALSE)*$E205))))))</x:f>
      </x:c>
      <x:c r="L205" s="24" t="str">
        <x:f>IF($A205="","",IF($F205="","",IF($F205=0,0,IF(COUNTIFS($A$10:$A$89,$C205)&lt;&gt;1,"brak danych",IF(COUNTIFS($A$10:$A$89,$C205,$F$10:$F$89,"&lt;&gt;")=0,"brak danych",VLOOKUP($C205,$A$10:$J$89,6,FALSE)*$F205)))))</x:f>
      </x:c>
      <x:c r="M205" s="25" t="str">
        <x:f>IF($A205="","",IF($F205="","",IF($F205=0,0,IF(COUNTIFS($A$10:$A$89,$C205)&lt;&gt;1,"brak danych",IF(COUNTIFS($A$10:$A$89,$C205,$G$10:$G$89,"&lt;&gt;")=0,"brak danych",VLOOKUP($C205,$A$10:$J$89,7,FALSE)*$F205)))))</x:f>
      </x:c>
      <x:c r="N205" s="25" t="str">
        <x:f>IF($A205="","",IF($F205="","",IF($F205=0,0,IF(COUNTIFS($A$10:$A$89,$C205)&lt;&gt;1,"brak danych",IF(COUNTIFS($A$10:$A$89,$C205,$H$10:$H$89,"&lt;&gt;")=0,"brak danych",VLOOKUP($C205,$A$10:$J$89,8,FALSE)*$F205)))))</x:f>
      </x:c>
      <x:c r="O205" s="25" t="str">
        <x:f>IF($A205="","",IF($F205="","",IF($F205=0,0,IF(COUNTIFS($A$10:$A$89,$C205)&lt;&gt;1,"brak danych",IF(COUNTIFS($A$10:$A$89,$C205,$I$10:$I$89,"&lt;&gt;")=0,"brak danych",VLOOKUP($C205,$A$10:$J$89,9,FALSE)*$F205)))))</x:f>
      </x:c>
      <x:c r="P205" s="25" t="str">
        <x:f>IF($A205="","",IF($F205="","",IF($F205=0,0,IF(COUNTIFS($A$10:$A$89,$C205)&lt;&gt;1,"brak danych",IF(COUNTIFS($A$10:$A$89,$C205,$J$10:$J$89,"&lt;&gt;")=0,"brak danych",VLOOKUP($C205,$A$10:$J$89,10,FALSE)*$F205)))))</x:f>
      </x:c>
      <x:c r="Q205" s="18"/>
    </x:row>
    <x:row r="206" ht="25" customHeight="1">
      <x:c r="A206" s="6"/>
      <x:c r="B206" s="30"/>
      <x:c r="C206" s="5"/>
      <x:c r="D206" s="5"/>
      <x:c r="E206" s="32"/>
      <x:c r="F206" s="32"/>
      <x:c r="G206" s="24" t="str">
        <x:f>IF($A206="","",IF(AND($C206="",$E206=""),"",IF($E206="","brak danych",IF($E206=0,0,IF(COUNTIFS($A$10:$A$89,$C206)&lt;&gt;1,"brak danych",IF(COUNTIFS($A$10:$A$89,$C206,$F$10:$F$89,"&lt;&gt;")=0,"brak danych",VLOOKUP($C206,$A$10:$J$89,6,FALSE)*$E206))))))</x:f>
      </x:c>
      <x:c r="H206" s="25" t="str">
        <x:f>IF($A206="","",IF(AND($C206="",$E206=""),"",IF($E206="","brak danych",IF($E206=0,0,IF(COUNTIFS($A$10:$A$89,$C206)&lt;&gt;1,"brak danych",IF(COUNTIFS($A$10:$A$89,$C206,$G$10:$G$89,"&lt;&gt;")=0,"brak danych",VLOOKUP($C206,$A$10:$J$89,7,FALSE)*$E206))))))</x:f>
      </x:c>
      <x:c r="I206" s="25" t="str">
        <x:f>IF($A206="","",IF(AND($C206="",$E206=""),"",IF($E206="","brak danych",IF($E206=0,0,IF(COUNTIFS($A$10:$A$89,$C206)&lt;&gt;1,"brak danych",IF(COUNTIFS($A$10:$A$89,$C206,$H$10:$H$89,"&lt;&gt;")=0,"brak danych",VLOOKUP($C206,$A$10:$J$89,8,FALSE)*$E206))))))</x:f>
      </x:c>
      <x:c r="J206" s="25" t="str">
        <x:f>IF($A206="","",IF(AND($C206="",$E206=""),"",IF($E206="","brak danych",IF($E206=0,0,IF(COUNTIFS($A$10:$A$89,$C206)&lt;&gt;1,"brak danych",IF(COUNTIFS($A$10:$A$89,$C206,$I$10:$I$89,"&lt;&gt;")=0,"brak danych",VLOOKUP($C206,$A$10:$J$89,9,FALSE)*$E206))))))</x:f>
      </x:c>
      <x:c r="K206" s="25" t="str">
        <x:f>IF($A206="","",IF(AND($C206="",$E206=""),"",IF($E206="","brak danych",IF($E206=0,0,IF(COUNTIFS($A$10:$A$89,$C206)&lt;&gt;1,"brak danych",IF(COUNTIFS($A$10:$A$89,$C206,$J$10:$J$89,"&lt;&gt;")=0,"brak danych",VLOOKUP($C206,$A$10:$J$89,10,FALSE)*$E206))))))</x:f>
      </x:c>
      <x:c r="L206" s="24" t="str">
        <x:f>IF($A206="","",IF($F206="","",IF($F206=0,0,IF(COUNTIFS($A$10:$A$89,$C206)&lt;&gt;1,"brak danych",IF(COUNTIFS($A$10:$A$89,$C206,$F$10:$F$89,"&lt;&gt;")=0,"brak danych",VLOOKUP($C206,$A$10:$J$89,6,FALSE)*$F206)))))</x:f>
      </x:c>
      <x:c r="M206" s="25" t="str">
        <x:f>IF($A206="","",IF($F206="","",IF($F206=0,0,IF(COUNTIFS($A$10:$A$89,$C206)&lt;&gt;1,"brak danych",IF(COUNTIFS($A$10:$A$89,$C206,$G$10:$G$89,"&lt;&gt;")=0,"brak danych",VLOOKUP($C206,$A$10:$J$89,7,FALSE)*$F206)))))</x:f>
      </x:c>
      <x:c r="N206" s="25" t="str">
        <x:f>IF($A206="","",IF($F206="","",IF($F206=0,0,IF(COUNTIFS($A$10:$A$89,$C206)&lt;&gt;1,"brak danych",IF(COUNTIFS($A$10:$A$89,$C206,$H$10:$H$89,"&lt;&gt;")=0,"brak danych",VLOOKUP($C206,$A$10:$J$89,8,FALSE)*$F206)))))</x:f>
      </x:c>
      <x:c r="O206" s="25" t="str">
        <x:f>IF($A206="","",IF($F206="","",IF($F206=0,0,IF(COUNTIFS($A$10:$A$89,$C206)&lt;&gt;1,"brak danych",IF(COUNTIFS($A$10:$A$89,$C206,$I$10:$I$89,"&lt;&gt;")=0,"brak danych",VLOOKUP($C206,$A$10:$J$89,9,FALSE)*$F206)))))</x:f>
      </x:c>
      <x:c r="P206" s="25" t="str">
        <x:f>IF($A206="","",IF($F206="","",IF($F206=0,0,IF(COUNTIFS($A$10:$A$89,$C206)&lt;&gt;1,"brak danych",IF(COUNTIFS($A$10:$A$89,$C206,$J$10:$J$89,"&lt;&gt;")=0,"brak danych",VLOOKUP($C206,$A$10:$J$89,10,FALSE)*$F206)))))</x:f>
      </x:c>
      <x:c r="Q206" s="18"/>
    </x:row>
    <x:row r="207" ht="25" customHeight="1">
      <x:c r="A207" s="6"/>
      <x:c r="B207" s="30"/>
      <x:c r="C207" s="5"/>
      <x:c r="D207" s="5"/>
      <x:c r="E207" s="32"/>
      <x:c r="F207" s="32"/>
      <x:c r="G207" s="24" t="str">
        <x:f>IF($A207="","",IF(AND($C207="",$E207=""),"",IF($E207="","brak danych",IF($E207=0,0,IF(COUNTIFS($A$10:$A$89,$C207)&lt;&gt;1,"brak danych",IF(COUNTIFS($A$10:$A$89,$C207,$F$10:$F$89,"&lt;&gt;")=0,"brak danych",VLOOKUP($C207,$A$10:$J$89,6,FALSE)*$E207))))))</x:f>
      </x:c>
      <x:c r="H207" s="25" t="str">
        <x:f>IF($A207="","",IF(AND($C207="",$E207=""),"",IF($E207="","brak danych",IF($E207=0,0,IF(COUNTIFS($A$10:$A$89,$C207)&lt;&gt;1,"brak danych",IF(COUNTIFS($A$10:$A$89,$C207,$G$10:$G$89,"&lt;&gt;")=0,"brak danych",VLOOKUP($C207,$A$10:$J$89,7,FALSE)*$E207))))))</x:f>
      </x:c>
      <x:c r="I207" s="25" t="str">
        <x:f>IF($A207="","",IF(AND($C207="",$E207=""),"",IF($E207="","brak danych",IF($E207=0,0,IF(COUNTIFS($A$10:$A$89,$C207)&lt;&gt;1,"brak danych",IF(COUNTIFS($A$10:$A$89,$C207,$H$10:$H$89,"&lt;&gt;")=0,"brak danych",VLOOKUP($C207,$A$10:$J$89,8,FALSE)*$E207))))))</x:f>
      </x:c>
      <x:c r="J207" s="25" t="str">
        <x:f>IF($A207="","",IF(AND($C207="",$E207=""),"",IF($E207="","brak danych",IF($E207=0,0,IF(COUNTIFS($A$10:$A$89,$C207)&lt;&gt;1,"brak danych",IF(COUNTIFS($A$10:$A$89,$C207,$I$10:$I$89,"&lt;&gt;")=0,"brak danych",VLOOKUP($C207,$A$10:$J$89,9,FALSE)*$E207))))))</x:f>
      </x:c>
      <x:c r="K207" s="25" t="str">
        <x:f>IF($A207="","",IF(AND($C207="",$E207=""),"",IF($E207="","brak danych",IF($E207=0,0,IF(COUNTIFS($A$10:$A$89,$C207)&lt;&gt;1,"brak danych",IF(COUNTIFS($A$10:$A$89,$C207,$J$10:$J$89,"&lt;&gt;")=0,"brak danych",VLOOKUP($C207,$A$10:$J$89,10,FALSE)*$E207))))))</x:f>
      </x:c>
      <x:c r="L207" s="24" t="str">
        <x:f>IF($A207="","",IF($F207="","",IF($F207=0,0,IF(COUNTIFS($A$10:$A$89,$C207)&lt;&gt;1,"brak danych",IF(COUNTIFS($A$10:$A$89,$C207,$F$10:$F$89,"&lt;&gt;")=0,"brak danych",VLOOKUP($C207,$A$10:$J$89,6,FALSE)*$F207)))))</x:f>
      </x:c>
      <x:c r="M207" s="25" t="str">
        <x:f>IF($A207="","",IF($F207="","",IF($F207=0,0,IF(COUNTIFS($A$10:$A$89,$C207)&lt;&gt;1,"brak danych",IF(COUNTIFS($A$10:$A$89,$C207,$G$10:$G$89,"&lt;&gt;")=0,"brak danych",VLOOKUP($C207,$A$10:$J$89,7,FALSE)*$F207)))))</x:f>
      </x:c>
      <x:c r="N207" s="25" t="str">
        <x:f>IF($A207="","",IF($F207="","",IF($F207=0,0,IF(COUNTIFS($A$10:$A$89,$C207)&lt;&gt;1,"brak danych",IF(COUNTIFS($A$10:$A$89,$C207,$H$10:$H$89,"&lt;&gt;")=0,"brak danych",VLOOKUP($C207,$A$10:$J$89,8,FALSE)*$F207)))))</x:f>
      </x:c>
      <x:c r="O207" s="25" t="str">
        <x:f>IF($A207="","",IF($F207="","",IF($F207=0,0,IF(COUNTIFS($A$10:$A$89,$C207)&lt;&gt;1,"brak danych",IF(COUNTIFS($A$10:$A$89,$C207,$I$10:$I$89,"&lt;&gt;")=0,"brak danych",VLOOKUP($C207,$A$10:$J$89,9,FALSE)*$F207)))))</x:f>
      </x:c>
      <x:c r="P207" s="25" t="str">
        <x:f>IF($A207="","",IF($F207="","",IF($F207=0,0,IF(COUNTIFS($A$10:$A$89,$C207)&lt;&gt;1,"brak danych",IF(COUNTIFS($A$10:$A$89,$C207,$J$10:$J$89,"&lt;&gt;")=0,"brak danych",VLOOKUP($C207,$A$10:$J$89,10,FALSE)*$F207)))))</x:f>
      </x:c>
      <x:c r="Q207" s="18"/>
    </x:row>
    <x:row r="208" ht="25" customHeight="1">
      <x:c r="A208" s="6"/>
      <x:c r="B208" s="30"/>
      <x:c r="C208" s="5"/>
      <x:c r="D208" s="5"/>
      <x:c r="E208" s="32"/>
      <x:c r="F208" s="32"/>
      <x:c r="G208" s="24" t="str">
        <x:f>IF($A208="","",IF(AND($C208="",$E208=""),"",IF($E208="","brak danych",IF($E208=0,0,IF(COUNTIFS($A$10:$A$89,$C208)&lt;&gt;1,"brak danych",IF(COUNTIFS($A$10:$A$89,$C208,$F$10:$F$89,"&lt;&gt;")=0,"brak danych",VLOOKUP($C208,$A$10:$J$89,6,FALSE)*$E208))))))</x:f>
      </x:c>
      <x:c r="H208" s="25" t="str">
        <x:f>IF($A208="","",IF(AND($C208="",$E208=""),"",IF($E208="","brak danych",IF($E208=0,0,IF(COUNTIFS($A$10:$A$89,$C208)&lt;&gt;1,"brak danych",IF(COUNTIFS($A$10:$A$89,$C208,$G$10:$G$89,"&lt;&gt;")=0,"brak danych",VLOOKUP($C208,$A$10:$J$89,7,FALSE)*$E208))))))</x:f>
      </x:c>
      <x:c r="I208" s="25" t="str">
        <x:f>IF($A208="","",IF(AND($C208="",$E208=""),"",IF($E208="","brak danych",IF($E208=0,0,IF(COUNTIFS($A$10:$A$89,$C208)&lt;&gt;1,"brak danych",IF(COUNTIFS($A$10:$A$89,$C208,$H$10:$H$89,"&lt;&gt;")=0,"brak danych",VLOOKUP($C208,$A$10:$J$89,8,FALSE)*$E208))))))</x:f>
      </x:c>
      <x:c r="J208" s="25" t="str">
        <x:f>IF($A208="","",IF(AND($C208="",$E208=""),"",IF($E208="","brak danych",IF($E208=0,0,IF(COUNTIFS($A$10:$A$89,$C208)&lt;&gt;1,"brak danych",IF(COUNTIFS($A$10:$A$89,$C208,$I$10:$I$89,"&lt;&gt;")=0,"brak danych",VLOOKUP($C208,$A$10:$J$89,9,FALSE)*$E208))))))</x:f>
      </x:c>
      <x:c r="K208" s="25" t="str">
        <x:f>IF($A208="","",IF(AND($C208="",$E208=""),"",IF($E208="","brak danych",IF($E208=0,0,IF(COUNTIFS($A$10:$A$89,$C208)&lt;&gt;1,"brak danych",IF(COUNTIFS($A$10:$A$89,$C208,$J$10:$J$89,"&lt;&gt;")=0,"brak danych",VLOOKUP($C208,$A$10:$J$89,10,FALSE)*$E208))))))</x:f>
      </x:c>
      <x:c r="L208" s="24" t="str">
        <x:f>IF($A208="","",IF($F208="","",IF($F208=0,0,IF(COUNTIFS($A$10:$A$89,$C208)&lt;&gt;1,"brak danych",IF(COUNTIFS($A$10:$A$89,$C208,$F$10:$F$89,"&lt;&gt;")=0,"brak danych",VLOOKUP($C208,$A$10:$J$89,6,FALSE)*$F208)))))</x:f>
      </x:c>
      <x:c r="M208" s="25" t="str">
        <x:f>IF($A208="","",IF($F208="","",IF($F208=0,0,IF(COUNTIFS($A$10:$A$89,$C208)&lt;&gt;1,"brak danych",IF(COUNTIFS($A$10:$A$89,$C208,$G$10:$G$89,"&lt;&gt;")=0,"brak danych",VLOOKUP($C208,$A$10:$J$89,7,FALSE)*$F208)))))</x:f>
      </x:c>
      <x:c r="N208" s="25" t="str">
        <x:f>IF($A208="","",IF($F208="","",IF($F208=0,0,IF(COUNTIFS($A$10:$A$89,$C208)&lt;&gt;1,"brak danych",IF(COUNTIFS($A$10:$A$89,$C208,$H$10:$H$89,"&lt;&gt;")=0,"brak danych",VLOOKUP($C208,$A$10:$J$89,8,FALSE)*$F208)))))</x:f>
      </x:c>
      <x:c r="O208" s="25" t="str">
        <x:f>IF($A208="","",IF($F208="","",IF($F208=0,0,IF(COUNTIFS($A$10:$A$89,$C208)&lt;&gt;1,"brak danych",IF(COUNTIFS($A$10:$A$89,$C208,$I$10:$I$89,"&lt;&gt;")=0,"brak danych",VLOOKUP($C208,$A$10:$J$89,9,FALSE)*$F208)))))</x:f>
      </x:c>
      <x:c r="P208" s="25" t="str">
        <x:f>IF($A208="","",IF($F208="","",IF($F208=0,0,IF(COUNTIFS($A$10:$A$89,$C208)&lt;&gt;1,"brak danych",IF(COUNTIFS($A$10:$A$89,$C208,$J$10:$J$89,"&lt;&gt;")=0,"brak danych",VLOOKUP($C208,$A$10:$J$89,10,FALSE)*$F208)))))</x:f>
      </x:c>
      <x:c r="Q208" s="18"/>
    </x:row>
    <x:row r="209" ht="25" customHeight="1">
      <x:c r="A209" s="6"/>
      <x:c r="B209" s="30"/>
      <x:c r="C209" s="5"/>
      <x:c r="D209" s="5"/>
      <x:c r="E209" s="32"/>
      <x:c r="F209" s="32"/>
      <x:c r="G209" s="24" t="str">
        <x:f>IF($A209="","",IF(AND($C209="",$E209=""),"",IF($E209="","brak danych",IF($E209=0,0,IF(COUNTIFS($A$10:$A$89,$C209)&lt;&gt;1,"brak danych",IF(COUNTIFS($A$10:$A$89,$C209,$F$10:$F$89,"&lt;&gt;")=0,"brak danych",VLOOKUP($C209,$A$10:$J$89,6,FALSE)*$E209))))))</x:f>
      </x:c>
      <x:c r="H209" s="25" t="str">
        <x:f>IF($A209="","",IF(AND($C209="",$E209=""),"",IF($E209="","brak danych",IF($E209=0,0,IF(COUNTIFS($A$10:$A$89,$C209)&lt;&gt;1,"brak danych",IF(COUNTIFS($A$10:$A$89,$C209,$G$10:$G$89,"&lt;&gt;")=0,"brak danych",VLOOKUP($C209,$A$10:$J$89,7,FALSE)*$E209))))))</x:f>
      </x:c>
      <x:c r="I209" s="25" t="str">
        <x:f>IF($A209="","",IF(AND($C209="",$E209=""),"",IF($E209="","brak danych",IF($E209=0,0,IF(COUNTIFS($A$10:$A$89,$C209)&lt;&gt;1,"brak danych",IF(COUNTIFS($A$10:$A$89,$C209,$H$10:$H$89,"&lt;&gt;")=0,"brak danych",VLOOKUP($C209,$A$10:$J$89,8,FALSE)*$E209))))))</x:f>
      </x:c>
      <x:c r="J209" s="25" t="str">
        <x:f>IF($A209="","",IF(AND($C209="",$E209=""),"",IF($E209="","brak danych",IF($E209=0,0,IF(COUNTIFS($A$10:$A$89,$C209)&lt;&gt;1,"brak danych",IF(COUNTIFS($A$10:$A$89,$C209,$I$10:$I$89,"&lt;&gt;")=0,"brak danych",VLOOKUP($C209,$A$10:$J$89,9,FALSE)*$E209))))))</x:f>
      </x:c>
      <x:c r="K209" s="25" t="str">
        <x:f>IF($A209="","",IF(AND($C209="",$E209=""),"",IF($E209="","brak danych",IF($E209=0,0,IF(COUNTIFS($A$10:$A$89,$C209)&lt;&gt;1,"brak danych",IF(COUNTIFS($A$10:$A$89,$C209,$J$10:$J$89,"&lt;&gt;")=0,"brak danych",VLOOKUP($C209,$A$10:$J$89,10,FALSE)*$E209))))))</x:f>
      </x:c>
      <x:c r="L209" s="24" t="str">
        <x:f>IF($A209="","",IF($F209="","",IF($F209=0,0,IF(COUNTIFS($A$10:$A$89,$C209)&lt;&gt;1,"brak danych",IF(COUNTIFS($A$10:$A$89,$C209,$F$10:$F$89,"&lt;&gt;")=0,"brak danych",VLOOKUP($C209,$A$10:$J$89,6,FALSE)*$F209)))))</x:f>
      </x:c>
      <x:c r="M209" s="25" t="str">
        <x:f>IF($A209="","",IF($F209="","",IF($F209=0,0,IF(COUNTIFS($A$10:$A$89,$C209)&lt;&gt;1,"brak danych",IF(COUNTIFS($A$10:$A$89,$C209,$G$10:$G$89,"&lt;&gt;")=0,"brak danych",VLOOKUP($C209,$A$10:$J$89,7,FALSE)*$F209)))))</x:f>
      </x:c>
      <x:c r="N209" s="25" t="str">
        <x:f>IF($A209="","",IF($F209="","",IF($F209=0,0,IF(COUNTIFS($A$10:$A$89,$C209)&lt;&gt;1,"brak danych",IF(COUNTIFS($A$10:$A$89,$C209,$H$10:$H$89,"&lt;&gt;")=0,"brak danych",VLOOKUP($C209,$A$10:$J$89,8,FALSE)*$F209)))))</x:f>
      </x:c>
      <x:c r="O209" s="25" t="str">
        <x:f>IF($A209="","",IF($F209="","",IF($F209=0,0,IF(COUNTIFS($A$10:$A$89,$C209)&lt;&gt;1,"brak danych",IF(COUNTIFS($A$10:$A$89,$C209,$I$10:$I$89,"&lt;&gt;")=0,"brak danych",VLOOKUP($C209,$A$10:$J$89,9,FALSE)*$F209)))))</x:f>
      </x:c>
      <x:c r="P209" s="25" t="str">
        <x:f>IF($A209="","",IF($F209="","",IF($F209=0,0,IF(COUNTIFS($A$10:$A$89,$C209)&lt;&gt;1,"brak danych",IF(COUNTIFS($A$10:$A$89,$C209,$J$10:$J$89,"&lt;&gt;")=0,"brak danych",VLOOKUP($C209,$A$10:$J$89,10,FALSE)*$F209)))))</x:f>
      </x:c>
      <x:c r="Q209" s="18"/>
    </x:row>
    <x:row r="210" ht="25" customHeight="1">
      <x:c r="A210" s="6"/>
      <x:c r="B210" s="30"/>
      <x:c r="C210" s="5"/>
      <x:c r="D210" s="5"/>
      <x:c r="E210" s="32"/>
      <x:c r="F210" s="32"/>
      <x:c r="G210" s="24" t="str">
        <x:f>IF($A210="","",IF(AND($C210="",$E210=""),"",IF($E210="","brak danych",IF($E210=0,0,IF(COUNTIFS($A$10:$A$89,$C210)&lt;&gt;1,"brak danych",IF(COUNTIFS($A$10:$A$89,$C210,$F$10:$F$89,"&lt;&gt;")=0,"brak danych",VLOOKUP($C210,$A$10:$J$89,6,FALSE)*$E210))))))</x:f>
      </x:c>
      <x:c r="H210" s="25" t="str">
        <x:f>IF($A210="","",IF(AND($C210="",$E210=""),"",IF($E210="","brak danych",IF($E210=0,0,IF(COUNTIFS($A$10:$A$89,$C210)&lt;&gt;1,"brak danych",IF(COUNTIFS($A$10:$A$89,$C210,$G$10:$G$89,"&lt;&gt;")=0,"brak danych",VLOOKUP($C210,$A$10:$J$89,7,FALSE)*$E210))))))</x:f>
      </x:c>
      <x:c r="I210" s="25" t="str">
        <x:f>IF($A210="","",IF(AND($C210="",$E210=""),"",IF($E210="","brak danych",IF($E210=0,0,IF(COUNTIFS($A$10:$A$89,$C210)&lt;&gt;1,"brak danych",IF(COUNTIFS($A$10:$A$89,$C210,$H$10:$H$89,"&lt;&gt;")=0,"brak danych",VLOOKUP($C210,$A$10:$J$89,8,FALSE)*$E210))))))</x:f>
      </x:c>
      <x:c r="J210" s="25" t="str">
        <x:f>IF($A210="","",IF(AND($C210="",$E210=""),"",IF($E210="","brak danych",IF($E210=0,0,IF(COUNTIFS($A$10:$A$89,$C210)&lt;&gt;1,"brak danych",IF(COUNTIFS($A$10:$A$89,$C210,$I$10:$I$89,"&lt;&gt;")=0,"brak danych",VLOOKUP($C210,$A$10:$J$89,9,FALSE)*$E210))))))</x:f>
      </x:c>
      <x:c r="K210" s="25" t="str">
        <x:f>IF($A210="","",IF(AND($C210="",$E210=""),"",IF($E210="","brak danych",IF($E210=0,0,IF(COUNTIFS($A$10:$A$89,$C210)&lt;&gt;1,"brak danych",IF(COUNTIFS($A$10:$A$89,$C210,$J$10:$J$89,"&lt;&gt;")=0,"brak danych",VLOOKUP($C210,$A$10:$J$89,10,FALSE)*$E210))))))</x:f>
      </x:c>
      <x:c r="L210" s="24" t="str">
        <x:f>IF($A210="","",IF($F210="","",IF($F210=0,0,IF(COUNTIFS($A$10:$A$89,$C210)&lt;&gt;1,"brak danych",IF(COUNTIFS($A$10:$A$89,$C210,$F$10:$F$89,"&lt;&gt;")=0,"brak danych",VLOOKUP($C210,$A$10:$J$89,6,FALSE)*$F210)))))</x:f>
      </x:c>
      <x:c r="M210" s="25" t="str">
        <x:f>IF($A210="","",IF($F210="","",IF($F210=0,0,IF(COUNTIFS($A$10:$A$89,$C210)&lt;&gt;1,"brak danych",IF(COUNTIFS($A$10:$A$89,$C210,$G$10:$G$89,"&lt;&gt;")=0,"brak danych",VLOOKUP($C210,$A$10:$J$89,7,FALSE)*$F210)))))</x:f>
      </x:c>
      <x:c r="N210" s="25" t="str">
        <x:f>IF($A210="","",IF($F210="","",IF($F210=0,0,IF(COUNTIFS($A$10:$A$89,$C210)&lt;&gt;1,"brak danych",IF(COUNTIFS($A$10:$A$89,$C210,$H$10:$H$89,"&lt;&gt;")=0,"brak danych",VLOOKUP($C210,$A$10:$J$89,8,FALSE)*$F210)))))</x:f>
      </x:c>
      <x:c r="O210" s="25" t="str">
        <x:f>IF($A210="","",IF($F210="","",IF($F210=0,0,IF(COUNTIFS($A$10:$A$89,$C210)&lt;&gt;1,"brak danych",IF(COUNTIFS($A$10:$A$89,$C210,$I$10:$I$89,"&lt;&gt;")=0,"brak danych",VLOOKUP($C210,$A$10:$J$89,9,FALSE)*$F210)))))</x:f>
      </x:c>
      <x:c r="P210" s="25" t="str">
        <x:f>IF($A210="","",IF($F210="","",IF($F210=0,0,IF(COUNTIFS($A$10:$A$89,$C210)&lt;&gt;1,"brak danych",IF(COUNTIFS($A$10:$A$89,$C210,$J$10:$J$89,"&lt;&gt;")=0,"brak danych",VLOOKUP($C210,$A$10:$J$89,10,FALSE)*$F210)))))</x:f>
      </x:c>
      <x:c r="Q210" s="18"/>
    </x:row>
    <x:row r="211" ht="25" customHeight="1">
      <x:c r="A211" s="6"/>
      <x:c r="B211" s="30"/>
      <x:c r="C211" s="5"/>
      <x:c r="D211" s="5"/>
      <x:c r="E211" s="32"/>
      <x:c r="F211" s="32"/>
      <x:c r="G211" s="24" t="str">
        <x:f>IF($A211="","",IF(AND($C211="",$E211=""),"",IF($E211="","brak danych",IF($E211=0,0,IF(COUNTIFS($A$10:$A$89,$C211)&lt;&gt;1,"brak danych",IF(COUNTIFS($A$10:$A$89,$C211,$F$10:$F$89,"&lt;&gt;")=0,"brak danych",VLOOKUP($C211,$A$10:$J$89,6,FALSE)*$E211))))))</x:f>
      </x:c>
      <x:c r="H211" s="25" t="str">
        <x:f>IF($A211="","",IF(AND($C211="",$E211=""),"",IF($E211="","brak danych",IF($E211=0,0,IF(COUNTIFS($A$10:$A$89,$C211)&lt;&gt;1,"brak danych",IF(COUNTIFS($A$10:$A$89,$C211,$G$10:$G$89,"&lt;&gt;")=0,"brak danych",VLOOKUP($C211,$A$10:$J$89,7,FALSE)*$E211))))))</x:f>
      </x:c>
      <x:c r="I211" s="25" t="str">
        <x:f>IF($A211="","",IF(AND($C211="",$E211=""),"",IF($E211="","brak danych",IF($E211=0,0,IF(COUNTIFS($A$10:$A$89,$C211)&lt;&gt;1,"brak danych",IF(COUNTIFS($A$10:$A$89,$C211,$H$10:$H$89,"&lt;&gt;")=0,"brak danych",VLOOKUP($C211,$A$10:$J$89,8,FALSE)*$E211))))))</x:f>
      </x:c>
      <x:c r="J211" s="25" t="str">
        <x:f>IF($A211="","",IF(AND($C211="",$E211=""),"",IF($E211="","brak danych",IF($E211=0,0,IF(COUNTIFS($A$10:$A$89,$C211)&lt;&gt;1,"brak danych",IF(COUNTIFS($A$10:$A$89,$C211,$I$10:$I$89,"&lt;&gt;")=0,"brak danych",VLOOKUP($C211,$A$10:$J$89,9,FALSE)*$E211))))))</x:f>
      </x:c>
      <x:c r="K211" s="25" t="str">
        <x:f>IF($A211="","",IF(AND($C211="",$E211=""),"",IF($E211="","brak danych",IF($E211=0,0,IF(COUNTIFS($A$10:$A$89,$C211)&lt;&gt;1,"brak danych",IF(COUNTIFS($A$10:$A$89,$C211,$J$10:$J$89,"&lt;&gt;")=0,"brak danych",VLOOKUP($C211,$A$10:$J$89,10,FALSE)*$E211))))))</x:f>
      </x:c>
      <x:c r="L211" s="24" t="str">
        <x:f>IF($A211="","",IF($F211="","",IF($F211=0,0,IF(COUNTIFS($A$10:$A$89,$C211)&lt;&gt;1,"brak danych",IF(COUNTIFS($A$10:$A$89,$C211,$F$10:$F$89,"&lt;&gt;")=0,"brak danych",VLOOKUP($C211,$A$10:$J$89,6,FALSE)*$F211)))))</x:f>
      </x:c>
      <x:c r="M211" s="25" t="str">
        <x:f>IF($A211="","",IF($F211="","",IF($F211=0,0,IF(COUNTIFS($A$10:$A$89,$C211)&lt;&gt;1,"brak danych",IF(COUNTIFS($A$10:$A$89,$C211,$G$10:$G$89,"&lt;&gt;")=0,"brak danych",VLOOKUP($C211,$A$10:$J$89,7,FALSE)*$F211)))))</x:f>
      </x:c>
      <x:c r="N211" s="25" t="str">
        <x:f>IF($A211="","",IF($F211="","",IF($F211=0,0,IF(COUNTIFS($A$10:$A$89,$C211)&lt;&gt;1,"brak danych",IF(COUNTIFS($A$10:$A$89,$C211,$H$10:$H$89,"&lt;&gt;")=0,"brak danych",VLOOKUP($C211,$A$10:$J$89,8,FALSE)*$F211)))))</x:f>
      </x:c>
      <x:c r="O211" s="25" t="str">
        <x:f>IF($A211="","",IF($F211="","",IF($F211=0,0,IF(COUNTIFS($A$10:$A$89,$C211)&lt;&gt;1,"brak danych",IF(COUNTIFS($A$10:$A$89,$C211,$I$10:$I$89,"&lt;&gt;")=0,"brak danych",VLOOKUP($C211,$A$10:$J$89,9,FALSE)*$F211)))))</x:f>
      </x:c>
      <x:c r="P211" s="25" t="str">
        <x:f>IF($A211="","",IF($F211="","",IF($F211=0,0,IF(COUNTIFS($A$10:$A$89,$C211)&lt;&gt;1,"brak danych",IF(COUNTIFS($A$10:$A$89,$C211,$J$10:$J$89,"&lt;&gt;")=0,"brak danych",VLOOKUP($C211,$A$10:$J$89,10,FALSE)*$F211)))))</x:f>
      </x:c>
      <x:c r="Q211" s="18"/>
    </x:row>
    <x:row r="212" ht="25" customHeight="1">
      <x:c r="A212" s="6"/>
      <x:c r="B212" s="30"/>
      <x:c r="C212" s="5"/>
      <x:c r="D212" s="5"/>
      <x:c r="E212" s="32"/>
      <x:c r="F212" s="32"/>
      <x:c r="G212" s="24" t="str">
        <x:f>IF($A212="","",IF(AND($C212="",$E212=""),"",IF($E212="","brak danych",IF($E212=0,0,IF(COUNTIFS($A$10:$A$89,$C212)&lt;&gt;1,"brak danych",IF(COUNTIFS($A$10:$A$89,$C212,$F$10:$F$89,"&lt;&gt;")=0,"brak danych",VLOOKUP($C212,$A$10:$J$89,6,FALSE)*$E212))))))</x:f>
      </x:c>
      <x:c r="H212" s="25" t="str">
        <x:f>IF($A212="","",IF(AND($C212="",$E212=""),"",IF($E212="","brak danych",IF($E212=0,0,IF(COUNTIFS($A$10:$A$89,$C212)&lt;&gt;1,"brak danych",IF(COUNTIFS($A$10:$A$89,$C212,$G$10:$G$89,"&lt;&gt;")=0,"brak danych",VLOOKUP($C212,$A$10:$J$89,7,FALSE)*$E212))))))</x:f>
      </x:c>
      <x:c r="I212" s="25" t="str">
        <x:f>IF($A212="","",IF(AND($C212="",$E212=""),"",IF($E212="","brak danych",IF($E212=0,0,IF(COUNTIFS($A$10:$A$89,$C212)&lt;&gt;1,"brak danych",IF(COUNTIFS($A$10:$A$89,$C212,$H$10:$H$89,"&lt;&gt;")=0,"brak danych",VLOOKUP($C212,$A$10:$J$89,8,FALSE)*$E212))))))</x:f>
      </x:c>
      <x:c r="J212" s="25" t="str">
        <x:f>IF($A212="","",IF(AND($C212="",$E212=""),"",IF($E212="","brak danych",IF($E212=0,0,IF(COUNTIFS($A$10:$A$89,$C212)&lt;&gt;1,"brak danych",IF(COUNTIFS($A$10:$A$89,$C212,$I$10:$I$89,"&lt;&gt;")=0,"brak danych",VLOOKUP($C212,$A$10:$J$89,9,FALSE)*$E212))))))</x:f>
      </x:c>
      <x:c r="K212" s="25" t="str">
        <x:f>IF($A212="","",IF(AND($C212="",$E212=""),"",IF($E212="","brak danych",IF($E212=0,0,IF(COUNTIFS($A$10:$A$89,$C212)&lt;&gt;1,"brak danych",IF(COUNTIFS($A$10:$A$89,$C212,$J$10:$J$89,"&lt;&gt;")=0,"brak danych",VLOOKUP($C212,$A$10:$J$89,10,FALSE)*$E212))))))</x:f>
      </x:c>
      <x:c r="L212" s="24" t="str">
        <x:f>IF($A212="","",IF($F212="","",IF($F212=0,0,IF(COUNTIFS($A$10:$A$89,$C212)&lt;&gt;1,"brak danych",IF(COUNTIFS($A$10:$A$89,$C212,$F$10:$F$89,"&lt;&gt;")=0,"brak danych",VLOOKUP($C212,$A$10:$J$89,6,FALSE)*$F212)))))</x:f>
      </x:c>
      <x:c r="M212" s="25" t="str">
        <x:f>IF($A212="","",IF($F212="","",IF($F212=0,0,IF(COUNTIFS($A$10:$A$89,$C212)&lt;&gt;1,"brak danych",IF(COUNTIFS($A$10:$A$89,$C212,$G$10:$G$89,"&lt;&gt;")=0,"brak danych",VLOOKUP($C212,$A$10:$J$89,7,FALSE)*$F212)))))</x:f>
      </x:c>
      <x:c r="N212" s="25" t="str">
        <x:f>IF($A212="","",IF($F212="","",IF($F212=0,0,IF(COUNTIFS($A$10:$A$89,$C212)&lt;&gt;1,"brak danych",IF(COUNTIFS($A$10:$A$89,$C212,$H$10:$H$89,"&lt;&gt;")=0,"brak danych",VLOOKUP($C212,$A$10:$J$89,8,FALSE)*$F212)))))</x:f>
      </x:c>
      <x:c r="O212" s="25" t="str">
        <x:f>IF($A212="","",IF($F212="","",IF($F212=0,0,IF(COUNTIFS($A$10:$A$89,$C212)&lt;&gt;1,"brak danych",IF(COUNTIFS($A$10:$A$89,$C212,$I$10:$I$89,"&lt;&gt;")=0,"brak danych",VLOOKUP($C212,$A$10:$J$89,9,FALSE)*$F212)))))</x:f>
      </x:c>
      <x:c r="P212" s="25" t="str">
        <x:f>IF($A212="","",IF($F212="","",IF($F212=0,0,IF(COUNTIFS($A$10:$A$89,$C212)&lt;&gt;1,"brak danych",IF(COUNTIFS($A$10:$A$89,$C212,$J$10:$J$89,"&lt;&gt;")=0,"brak danych",VLOOKUP($C212,$A$10:$J$89,10,FALSE)*$F212)))))</x:f>
      </x:c>
      <x:c r="Q212" s="18"/>
    </x:row>
    <x:row r="213" ht="25" customHeight="1">
      <x:c r="A213" s="6"/>
      <x:c r="B213" s="30"/>
      <x:c r="C213" s="5"/>
      <x:c r="D213" s="5"/>
      <x:c r="E213" s="32"/>
      <x:c r="F213" s="32"/>
      <x:c r="G213" s="24" t="str">
        <x:f>IF($A213="","",IF(AND($C213="",$E213=""),"",IF($E213="","brak danych",IF($E213=0,0,IF(COUNTIFS($A$10:$A$89,$C213)&lt;&gt;1,"brak danych",IF(COUNTIFS($A$10:$A$89,$C213,$F$10:$F$89,"&lt;&gt;")=0,"brak danych",VLOOKUP($C213,$A$10:$J$89,6,FALSE)*$E213))))))</x:f>
      </x:c>
      <x:c r="H213" s="25" t="str">
        <x:f>IF($A213="","",IF(AND($C213="",$E213=""),"",IF($E213="","brak danych",IF($E213=0,0,IF(COUNTIFS($A$10:$A$89,$C213)&lt;&gt;1,"brak danych",IF(COUNTIFS($A$10:$A$89,$C213,$G$10:$G$89,"&lt;&gt;")=0,"brak danych",VLOOKUP($C213,$A$10:$J$89,7,FALSE)*$E213))))))</x:f>
      </x:c>
      <x:c r="I213" s="25" t="str">
        <x:f>IF($A213="","",IF(AND($C213="",$E213=""),"",IF($E213="","brak danych",IF($E213=0,0,IF(COUNTIFS($A$10:$A$89,$C213)&lt;&gt;1,"brak danych",IF(COUNTIFS($A$10:$A$89,$C213,$H$10:$H$89,"&lt;&gt;")=0,"brak danych",VLOOKUP($C213,$A$10:$J$89,8,FALSE)*$E213))))))</x:f>
      </x:c>
      <x:c r="J213" s="25" t="str">
        <x:f>IF($A213="","",IF(AND($C213="",$E213=""),"",IF($E213="","brak danych",IF($E213=0,0,IF(COUNTIFS($A$10:$A$89,$C213)&lt;&gt;1,"brak danych",IF(COUNTIFS($A$10:$A$89,$C213,$I$10:$I$89,"&lt;&gt;")=0,"brak danych",VLOOKUP($C213,$A$10:$J$89,9,FALSE)*$E213))))))</x:f>
      </x:c>
      <x:c r="K213" s="25" t="str">
        <x:f>IF($A213="","",IF(AND($C213="",$E213=""),"",IF($E213="","brak danych",IF($E213=0,0,IF(COUNTIFS($A$10:$A$89,$C213)&lt;&gt;1,"brak danych",IF(COUNTIFS($A$10:$A$89,$C213,$J$10:$J$89,"&lt;&gt;")=0,"brak danych",VLOOKUP($C213,$A$10:$J$89,10,FALSE)*$E213))))))</x:f>
      </x:c>
      <x:c r="L213" s="24" t="str">
        <x:f>IF($A213="","",IF($F213="","",IF($F213=0,0,IF(COUNTIFS($A$10:$A$89,$C213)&lt;&gt;1,"brak danych",IF(COUNTIFS($A$10:$A$89,$C213,$F$10:$F$89,"&lt;&gt;")=0,"brak danych",VLOOKUP($C213,$A$10:$J$89,6,FALSE)*$F213)))))</x:f>
      </x:c>
      <x:c r="M213" s="25" t="str">
        <x:f>IF($A213="","",IF($F213="","",IF($F213=0,0,IF(COUNTIFS($A$10:$A$89,$C213)&lt;&gt;1,"brak danych",IF(COUNTIFS($A$10:$A$89,$C213,$G$10:$G$89,"&lt;&gt;")=0,"brak danych",VLOOKUP($C213,$A$10:$J$89,7,FALSE)*$F213)))))</x:f>
      </x:c>
      <x:c r="N213" s="25" t="str">
        <x:f>IF($A213="","",IF($F213="","",IF($F213=0,0,IF(COUNTIFS($A$10:$A$89,$C213)&lt;&gt;1,"brak danych",IF(COUNTIFS($A$10:$A$89,$C213,$H$10:$H$89,"&lt;&gt;")=0,"brak danych",VLOOKUP($C213,$A$10:$J$89,8,FALSE)*$F213)))))</x:f>
      </x:c>
      <x:c r="O213" s="25" t="str">
        <x:f>IF($A213="","",IF($F213="","",IF($F213=0,0,IF(COUNTIFS($A$10:$A$89,$C213)&lt;&gt;1,"brak danych",IF(COUNTIFS($A$10:$A$89,$C213,$I$10:$I$89,"&lt;&gt;")=0,"brak danych",VLOOKUP($C213,$A$10:$J$89,9,FALSE)*$F213)))))</x:f>
      </x:c>
      <x:c r="P213" s="25" t="str">
        <x:f>IF($A213="","",IF($F213="","",IF($F213=0,0,IF(COUNTIFS($A$10:$A$89,$C213)&lt;&gt;1,"brak danych",IF(COUNTIFS($A$10:$A$89,$C213,$J$10:$J$89,"&lt;&gt;")=0,"brak danych",VLOOKUP($C213,$A$10:$J$89,10,FALSE)*$F213)))))</x:f>
      </x:c>
      <x:c r="Q213" s="18"/>
    </x:row>
    <x:row r="214" ht="25" customHeight="1">
      <x:c r="A214" s="6"/>
      <x:c r="B214" s="30"/>
      <x:c r="C214" s="5"/>
      <x:c r="D214" s="5"/>
      <x:c r="E214" s="32"/>
      <x:c r="F214" s="32"/>
      <x:c r="G214" s="24" t="str">
        <x:f>IF($A214="","",IF(AND($C214="",$E214=""),"",IF($E214="","brak danych",IF($E214=0,0,IF(COUNTIFS($A$10:$A$89,$C214)&lt;&gt;1,"brak danych",IF(COUNTIFS($A$10:$A$89,$C214,$F$10:$F$89,"&lt;&gt;")=0,"brak danych",VLOOKUP($C214,$A$10:$J$89,6,FALSE)*$E214))))))</x:f>
      </x:c>
      <x:c r="H214" s="25" t="str">
        <x:f>IF($A214="","",IF(AND($C214="",$E214=""),"",IF($E214="","brak danych",IF($E214=0,0,IF(COUNTIFS($A$10:$A$89,$C214)&lt;&gt;1,"brak danych",IF(COUNTIFS($A$10:$A$89,$C214,$G$10:$G$89,"&lt;&gt;")=0,"brak danych",VLOOKUP($C214,$A$10:$J$89,7,FALSE)*$E214))))))</x:f>
      </x:c>
      <x:c r="I214" s="25" t="str">
        <x:f>IF($A214="","",IF(AND($C214="",$E214=""),"",IF($E214="","brak danych",IF($E214=0,0,IF(COUNTIFS($A$10:$A$89,$C214)&lt;&gt;1,"brak danych",IF(COUNTIFS($A$10:$A$89,$C214,$H$10:$H$89,"&lt;&gt;")=0,"brak danych",VLOOKUP($C214,$A$10:$J$89,8,FALSE)*$E214))))))</x:f>
      </x:c>
      <x:c r="J214" s="25" t="str">
        <x:f>IF($A214="","",IF(AND($C214="",$E214=""),"",IF($E214="","brak danych",IF($E214=0,0,IF(COUNTIFS($A$10:$A$89,$C214)&lt;&gt;1,"brak danych",IF(COUNTIFS($A$10:$A$89,$C214,$I$10:$I$89,"&lt;&gt;")=0,"brak danych",VLOOKUP($C214,$A$10:$J$89,9,FALSE)*$E214))))))</x:f>
      </x:c>
      <x:c r="K214" s="25" t="str">
        <x:f>IF($A214="","",IF(AND($C214="",$E214=""),"",IF($E214="","brak danych",IF($E214=0,0,IF(COUNTIFS($A$10:$A$89,$C214)&lt;&gt;1,"brak danych",IF(COUNTIFS($A$10:$A$89,$C214,$J$10:$J$89,"&lt;&gt;")=0,"brak danych",VLOOKUP($C214,$A$10:$J$89,10,FALSE)*$E214))))))</x:f>
      </x:c>
      <x:c r="L214" s="24" t="str">
        <x:f>IF($A214="","",IF($F214="","",IF($F214=0,0,IF(COUNTIFS($A$10:$A$89,$C214)&lt;&gt;1,"brak danych",IF(COUNTIFS($A$10:$A$89,$C214,$F$10:$F$89,"&lt;&gt;")=0,"brak danych",VLOOKUP($C214,$A$10:$J$89,6,FALSE)*$F214)))))</x:f>
      </x:c>
      <x:c r="M214" s="25" t="str">
        <x:f>IF($A214="","",IF($F214="","",IF($F214=0,0,IF(COUNTIFS($A$10:$A$89,$C214)&lt;&gt;1,"brak danych",IF(COUNTIFS($A$10:$A$89,$C214,$G$10:$G$89,"&lt;&gt;")=0,"brak danych",VLOOKUP($C214,$A$10:$J$89,7,FALSE)*$F214)))))</x:f>
      </x:c>
      <x:c r="N214" s="25" t="str">
        <x:f>IF($A214="","",IF($F214="","",IF($F214=0,0,IF(COUNTIFS($A$10:$A$89,$C214)&lt;&gt;1,"brak danych",IF(COUNTIFS($A$10:$A$89,$C214,$H$10:$H$89,"&lt;&gt;")=0,"brak danych",VLOOKUP($C214,$A$10:$J$89,8,FALSE)*$F214)))))</x:f>
      </x:c>
      <x:c r="O214" s="25" t="str">
        <x:f>IF($A214="","",IF($F214="","",IF($F214=0,0,IF(COUNTIFS($A$10:$A$89,$C214)&lt;&gt;1,"brak danych",IF(COUNTIFS($A$10:$A$89,$C214,$I$10:$I$89,"&lt;&gt;")=0,"brak danych",VLOOKUP($C214,$A$10:$J$89,9,FALSE)*$F214)))))</x:f>
      </x:c>
      <x:c r="P214" s="25" t="str">
        <x:f>IF($A214="","",IF($F214="","",IF($F214=0,0,IF(COUNTIFS($A$10:$A$89,$C214)&lt;&gt;1,"brak danych",IF(COUNTIFS($A$10:$A$89,$C214,$J$10:$J$89,"&lt;&gt;")=0,"brak danych",VLOOKUP($C214,$A$10:$J$89,10,FALSE)*$F214)))))</x:f>
      </x:c>
      <x:c r="Q214" s="18"/>
    </x:row>
    <x:row r="215" ht="25" customHeight="1">
      <x:c r="A215" s="6"/>
      <x:c r="B215" s="30"/>
      <x:c r="C215" s="5"/>
      <x:c r="D215" s="5"/>
      <x:c r="E215" s="32"/>
      <x:c r="F215" s="32"/>
      <x:c r="G215" s="24" t="str">
        <x:f>IF($A215="","",IF(AND($C215="",$E215=""),"",IF($E215="","brak danych",IF($E215=0,0,IF(COUNTIFS($A$10:$A$89,$C215)&lt;&gt;1,"brak danych",IF(COUNTIFS($A$10:$A$89,$C215,$F$10:$F$89,"&lt;&gt;")=0,"brak danych",VLOOKUP($C215,$A$10:$J$89,6,FALSE)*$E215))))))</x:f>
      </x:c>
      <x:c r="H215" s="25" t="str">
        <x:f>IF($A215="","",IF(AND($C215="",$E215=""),"",IF($E215="","brak danych",IF($E215=0,0,IF(COUNTIFS($A$10:$A$89,$C215)&lt;&gt;1,"brak danych",IF(COUNTIFS($A$10:$A$89,$C215,$G$10:$G$89,"&lt;&gt;")=0,"brak danych",VLOOKUP($C215,$A$10:$J$89,7,FALSE)*$E215))))))</x:f>
      </x:c>
      <x:c r="I215" s="25" t="str">
        <x:f>IF($A215="","",IF(AND($C215="",$E215=""),"",IF($E215="","brak danych",IF($E215=0,0,IF(COUNTIFS($A$10:$A$89,$C215)&lt;&gt;1,"brak danych",IF(COUNTIFS($A$10:$A$89,$C215,$H$10:$H$89,"&lt;&gt;")=0,"brak danych",VLOOKUP($C215,$A$10:$J$89,8,FALSE)*$E215))))))</x:f>
      </x:c>
      <x:c r="J215" s="25" t="str">
        <x:f>IF($A215="","",IF(AND($C215="",$E215=""),"",IF($E215="","brak danych",IF($E215=0,0,IF(COUNTIFS($A$10:$A$89,$C215)&lt;&gt;1,"brak danych",IF(COUNTIFS($A$10:$A$89,$C215,$I$10:$I$89,"&lt;&gt;")=0,"brak danych",VLOOKUP($C215,$A$10:$J$89,9,FALSE)*$E215))))))</x:f>
      </x:c>
      <x:c r="K215" s="25" t="str">
        <x:f>IF($A215="","",IF(AND($C215="",$E215=""),"",IF($E215="","brak danych",IF($E215=0,0,IF(COUNTIFS($A$10:$A$89,$C215)&lt;&gt;1,"brak danych",IF(COUNTIFS($A$10:$A$89,$C215,$J$10:$J$89,"&lt;&gt;")=0,"brak danych",VLOOKUP($C215,$A$10:$J$89,10,FALSE)*$E215))))))</x:f>
      </x:c>
      <x:c r="L215" s="24" t="str">
        <x:f>IF($A215="","",IF($F215="","",IF($F215=0,0,IF(COUNTIFS($A$10:$A$89,$C215)&lt;&gt;1,"brak danych",IF(COUNTIFS($A$10:$A$89,$C215,$F$10:$F$89,"&lt;&gt;")=0,"brak danych",VLOOKUP($C215,$A$10:$J$89,6,FALSE)*$F215)))))</x:f>
      </x:c>
      <x:c r="M215" s="25" t="str">
        <x:f>IF($A215="","",IF($F215="","",IF($F215=0,0,IF(COUNTIFS($A$10:$A$89,$C215)&lt;&gt;1,"brak danych",IF(COUNTIFS($A$10:$A$89,$C215,$G$10:$G$89,"&lt;&gt;")=0,"brak danych",VLOOKUP($C215,$A$10:$J$89,7,FALSE)*$F215)))))</x:f>
      </x:c>
      <x:c r="N215" s="25" t="str">
        <x:f>IF($A215="","",IF($F215="","",IF($F215=0,0,IF(COUNTIFS($A$10:$A$89,$C215)&lt;&gt;1,"brak danych",IF(COUNTIFS($A$10:$A$89,$C215,$H$10:$H$89,"&lt;&gt;")=0,"brak danych",VLOOKUP($C215,$A$10:$J$89,8,FALSE)*$F215)))))</x:f>
      </x:c>
      <x:c r="O215" s="25" t="str">
        <x:f>IF($A215="","",IF($F215="","",IF($F215=0,0,IF(COUNTIFS($A$10:$A$89,$C215)&lt;&gt;1,"brak danych",IF(COUNTIFS($A$10:$A$89,$C215,$I$10:$I$89,"&lt;&gt;")=0,"brak danych",VLOOKUP($C215,$A$10:$J$89,9,FALSE)*$F215)))))</x:f>
      </x:c>
      <x:c r="P215" s="25" t="str">
        <x:f>IF($A215="","",IF($F215="","",IF($F215=0,0,IF(COUNTIFS($A$10:$A$89,$C215)&lt;&gt;1,"brak danych",IF(COUNTIFS($A$10:$A$89,$C215,$J$10:$J$89,"&lt;&gt;")=0,"brak danych",VLOOKUP($C215,$A$10:$J$89,10,FALSE)*$F215)))))</x:f>
      </x:c>
      <x:c r="Q215" s="18"/>
    </x:row>
    <x:row r="216" ht="25" customHeight="1">
      <x:c r="A216" s="6"/>
      <x:c r="B216" s="30"/>
      <x:c r="C216" s="5"/>
      <x:c r="D216" s="5"/>
      <x:c r="E216" s="32"/>
      <x:c r="F216" s="32"/>
      <x:c r="G216" s="24" t="str">
        <x:f>IF($A216="","",IF(AND($C216="",$E216=""),"",IF($E216="","brak danych",IF($E216=0,0,IF(COUNTIFS($A$10:$A$89,$C216)&lt;&gt;1,"brak danych",IF(COUNTIFS($A$10:$A$89,$C216,$F$10:$F$89,"&lt;&gt;")=0,"brak danych",VLOOKUP($C216,$A$10:$J$89,6,FALSE)*$E216))))))</x:f>
      </x:c>
      <x:c r="H216" s="25" t="str">
        <x:f>IF($A216="","",IF(AND($C216="",$E216=""),"",IF($E216="","brak danych",IF($E216=0,0,IF(COUNTIFS($A$10:$A$89,$C216)&lt;&gt;1,"brak danych",IF(COUNTIFS($A$10:$A$89,$C216,$G$10:$G$89,"&lt;&gt;")=0,"brak danych",VLOOKUP($C216,$A$10:$J$89,7,FALSE)*$E216))))))</x:f>
      </x:c>
      <x:c r="I216" s="25" t="str">
        <x:f>IF($A216="","",IF(AND($C216="",$E216=""),"",IF($E216="","brak danych",IF($E216=0,0,IF(COUNTIFS($A$10:$A$89,$C216)&lt;&gt;1,"brak danych",IF(COUNTIFS($A$10:$A$89,$C216,$H$10:$H$89,"&lt;&gt;")=0,"brak danych",VLOOKUP($C216,$A$10:$J$89,8,FALSE)*$E216))))))</x:f>
      </x:c>
      <x:c r="J216" s="25" t="str">
        <x:f>IF($A216="","",IF(AND($C216="",$E216=""),"",IF($E216="","brak danych",IF($E216=0,0,IF(COUNTIFS($A$10:$A$89,$C216)&lt;&gt;1,"brak danych",IF(COUNTIFS($A$10:$A$89,$C216,$I$10:$I$89,"&lt;&gt;")=0,"brak danych",VLOOKUP($C216,$A$10:$J$89,9,FALSE)*$E216))))))</x:f>
      </x:c>
      <x:c r="K216" s="25" t="str">
        <x:f>IF($A216="","",IF(AND($C216="",$E216=""),"",IF($E216="","brak danych",IF($E216=0,0,IF(COUNTIFS($A$10:$A$89,$C216)&lt;&gt;1,"brak danych",IF(COUNTIFS($A$10:$A$89,$C216,$J$10:$J$89,"&lt;&gt;")=0,"brak danych",VLOOKUP($C216,$A$10:$J$89,10,FALSE)*$E216))))))</x:f>
      </x:c>
      <x:c r="L216" s="24" t="str">
        <x:f>IF($A216="","",IF($F216="","",IF($F216=0,0,IF(COUNTIFS($A$10:$A$89,$C216)&lt;&gt;1,"brak danych",IF(COUNTIFS($A$10:$A$89,$C216,$F$10:$F$89,"&lt;&gt;")=0,"brak danych",VLOOKUP($C216,$A$10:$J$89,6,FALSE)*$F216)))))</x:f>
      </x:c>
      <x:c r="M216" s="25" t="str">
        <x:f>IF($A216="","",IF($F216="","",IF($F216=0,0,IF(COUNTIFS($A$10:$A$89,$C216)&lt;&gt;1,"brak danych",IF(COUNTIFS($A$10:$A$89,$C216,$G$10:$G$89,"&lt;&gt;")=0,"brak danych",VLOOKUP($C216,$A$10:$J$89,7,FALSE)*$F216)))))</x:f>
      </x:c>
      <x:c r="N216" s="25" t="str">
        <x:f>IF($A216="","",IF($F216="","",IF($F216=0,0,IF(COUNTIFS($A$10:$A$89,$C216)&lt;&gt;1,"brak danych",IF(COUNTIFS($A$10:$A$89,$C216,$H$10:$H$89,"&lt;&gt;")=0,"brak danych",VLOOKUP($C216,$A$10:$J$89,8,FALSE)*$F216)))))</x:f>
      </x:c>
      <x:c r="O216" s="25" t="str">
        <x:f>IF($A216="","",IF($F216="","",IF($F216=0,0,IF(COUNTIFS($A$10:$A$89,$C216)&lt;&gt;1,"brak danych",IF(COUNTIFS($A$10:$A$89,$C216,$I$10:$I$89,"&lt;&gt;")=0,"brak danych",VLOOKUP($C216,$A$10:$J$89,9,FALSE)*$F216)))))</x:f>
      </x:c>
      <x:c r="P216" s="25" t="str">
        <x:f>IF($A216="","",IF($F216="","",IF($F216=0,0,IF(COUNTIFS($A$10:$A$89,$C216)&lt;&gt;1,"brak danych",IF(COUNTIFS($A$10:$A$89,$C216,$J$10:$J$89,"&lt;&gt;")=0,"brak danych",VLOOKUP($C216,$A$10:$J$89,10,FALSE)*$F216)))))</x:f>
      </x:c>
      <x:c r="Q216" s="18"/>
    </x:row>
    <x:row r="217" ht="25" customHeight="1">
      <x:c r="A217" s="6"/>
      <x:c r="B217" s="30"/>
      <x:c r="C217" s="5"/>
      <x:c r="D217" s="5"/>
      <x:c r="E217" s="32"/>
      <x:c r="F217" s="32"/>
      <x:c r="G217" s="24" t="str">
        <x:f>IF($A217="","",IF(AND($C217="",$E217=""),"",IF($E217="","brak danych",IF($E217=0,0,IF(COUNTIFS($A$10:$A$89,$C217)&lt;&gt;1,"brak danych",IF(COUNTIFS($A$10:$A$89,$C217,$F$10:$F$89,"&lt;&gt;")=0,"brak danych",VLOOKUP($C217,$A$10:$J$89,6,FALSE)*$E217))))))</x:f>
      </x:c>
      <x:c r="H217" s="25" t="str">
        <x:f>IF($A217="","",IF(AND($C217="",$E217=""),"",IF($E217="","brak danych",IF($E217=0,0,IF(COUNTIFS($A$10:$A$89,$C217)&lt;&gt;1,"brak danych",IF(COUNTIFS($A$10:$A$89,$C217,$G$10:$G$89,"&lt;&gt;")=0,"brak danych",VLOOKUP($C217,$A$10:$J$89,7,FALSE)*$E217))))))</x:f>
      </x:c>
      <x:c r="I217" s="25" t="str">
        <x:f>IF($A217="","",IF(AND($C217="",$E217=""),"",IF($E217="","brak danych",IF($E217=0,0,IF(COUNTIFS($A$10:$A$89,$C217)&lt;&gt;1,"brak danych",IF(COUNTIFS($A$10:$A$89,$C217,$H$10:$H$89,"&lt;&gt;")=0,"brak danych",VLOOKUP($C217,$A$10:$J$89,8,FALSE)*$E217))))))</x:f>
      </x:c>
      <x:c r="J217" s="25" t="str">
        <x:f>IF($A217="","",IF(AND($C217="",$E217=""),"",IF($E217="","brak danych",IF($E217=0,0,IF(COUNTIFS($A$10:$A$89,$C217)&lt;&gt;1,"brak danych",IF(COUNTIFS($A$10:$A$89,$C217,$I$10:$I$89,"&lt;&gt;")=0,"brak danych",VLOOKUP($C217,$A$10:$J$89,9,FALSE)*$E217))))))</x:f>
      </x:c>
      <x:c r="K217" s="25" t="str">
        <x:f>IF($A217="","",IF(AND($C217="",$E217=""),"",IF($E217="","brak danych",IF($E217=0,0,IF(COUNTIFS($A$10:$A$89,$C217)&lt;&gt;1,"brak danych",IF(COUNTIFS($A$10:$A$89,$C217,$J$10:$J$89,"&lt;&gt;")=0,"brak danych",VLOOKUP($C217,$A$10:$J$89,10,FALSE)*$E217))))))</x:f>
      </x:c>
      <x:c r="L217" s="24" t="str">
        <x:f>IF($A217="","",IF($F217="","",IF($F217=0,0,IF(COUNTIFS($A$10:$A$89,$C217)&lt;&gt;1,"brak danych",IF(COUNTIFS($A$10:$A$89,$C217,$F$10:$F$89,"&lt;&gt;")=0,"brak danych",VLOOKUP($C217,$A$10:$J$89,6,FALSE)*$F217)))))</x:f>
      </x:c>
      <x:c r="M217" s="25" t="str">
        <x:f>IF($A217="","",IF($F217="","",IF($F217=0,0,IF(COUNTIFS($A$10:$A$89,$C217)&lt;&gt;1,"brak danych",IF(COUNTIFS($A$10:$A$89,$C217,$G$10:$G$89,"&lt;&gt;")=0,"brak danych",VLOOKUP($C217,$A$10:$J$89,7,FALSE)*$F217)))))</x:f>
      </x:c>
      <x:c r="N217" s="25" t="str">
        <x:f>IF($A217="","",IF($F217="","",IF($F217=0,0,IF(COUNTIFS($A$10:$A$89,$C217)&lt;&gt;1,"brak danych",IF(COUNTIFS($A$10:$A$89,$C217,$H$10:$H$89,"&lt;&gt;")=0,"brak danych",VLOOKUP($C217,$A$10:$J$89,8,FALSE)*$F217)))))</x:f>
      </x:c>
      <x:c r="O217" s="25" t="str">
        <x:f>IF($A217="","",IF($F217="","",IF($F217=0,0,IF(COUNTIFS($A$10:$A$89,$C217)&lt;&gt;1,"brak danych",IF(COUNTIFS($A$10:$A$89,$C217,$I$10:$I$89,"&lt;&gt;")=0,"brak danych",VLOOKUP($C217,$A$10:$J$89,9,FALSE)*$F217)))))</x:f>
      </x:c>
      <x:c r="P217" s="25" t="str">
        <x:f>IF($A217="","",IF($F217="","",IF($F217=0,0,IF(COUNTIFS($A$10:$A$89,$C217)&lt;&gt;1,"brak danych",IF(COUNTIFS($A$10:$A$89,$C217,$J$10:$J$89,"&lt;&gt;")=0,"brak danych",VLOOKUP($C217,$A$10:$J$89,10,FALSE)*$F217)))))</x:f>
      </x:c>
      <x:c r="Q217" s="18"/>
    </x:row>
    <x:row r="218" ht="25" customHeight="1">
      <x:c r="A218" s="6"/>
      <x:c r="B218" s="30"/>
      <x:c r="C218" s="5"/>
      <x:c r="D218" s="5"/>
      <x:c r="E218" s="32"/>
      <x:c r="F218" s="32"/>
      <x:c r="G218" s="24" t="str">
        <x:f>IF($A218="","",IF(AND($C218="",$E218=""),"",IF($E218="","brak danych",IF($E218=0,0,IF(COUNTIFS($A$10:$A$89,$C218)&lt;&gt;1,"brak danych",IF(COUNTIFS($A$10:$A$89,$C218,$F$10:$F$89,"&lt;&gt;")=0,"brak danych",VLOOKUP($C218,$A$10:$J$89,6,FALSE)*$E218))))))</x:f>
      </x:c>
      <x:c r="H218" s="25" t="str">
        <x:f>IF($A218="","",IF(AND($C218="",$E218=""),"",IF($E218="","brak danych",IF($E218=0,0,IF(COUNTIFS($A$10:$A$89,$C218)&lt;&gt;1,"brak danych",IF(COUNTIFS($A$10:$A$89,$C218,$G$10:$G$89,"&lt;&gt;")=0,"brak danych",VLOOKUP($C218,$A$10:$J$89,7,FALSE)*$E218))))))</x:f>
      </x:c>
      <x:c r="I218" s="25" t="str">
        <x:f>IF($A218="","",IF(AND($C218="",$E218=""),"",IF($E218="","brak danych",IF($E218=0,0,IF(COUNTIFS($A$10:$A$89,$C218)&lt;&gt;1,"brak danych",IF(COUNTIFS($A$10:$A$89,$C218,$H$10:$H$89,"&lt;&gt;")=0,"brak danych",VLOOKUP($C218,$A$10:$J$89,8,FALSE)*$E218))))))</x:f>
      </x:c>
      <x:c r="J218" s="25" t="str">
        <x:f>IF($A218="","",IF(AND($C218="",$E218=""),"",IF($E218="","brak danych",IF($E218=0,0,IF(COUNTIFS($A$10:$A$89,$C218)&lt;&gt;1,"brak danych",IF(COUNTIFS($A$10:$A$89,$C218,$I$10:$I$89,"&lt;&gt;")=0,"brak danych",VLOOKUP($C218,$A$10:$J$89,9,FALSE)*$E218))))))</x:f>
      </x:c>
      <x:c r="K218" s="25" t="str">
        <x:f>IF($A218="","",IF(AND($C218="",$E218=""),"",IF($E218="","brak danych",IF($E218=0,0,IF(COUNTIFS($A$10:$A$89,$C218)&lt;&gt;1,"brak danych",IF(COUNTIFS($A$10:$A$89,$C218,$J$10:$J$89,"&lt;&gt;")=0,"brak danych",VLOOKUP($C218,$A$10:$J$89,10,FALSE)*$E218))))))</x:f>
      </x:c>
      <x:c r="L218" s="24" t="str">
        <x:f>IF($A218="","",IF($F218="","",IF($F218=0,0,IF(COUNTIFS($A$10:$A$89,$C218)&lt;&gt;1,"brak danych",IF(COUNTIFS($A$10:$A$89,$C218,$F$10:$F$89,"&lt;&gt;")=0,"brak danych",VLOOKUP($C218,$A$10:$J$89,6,FALSE)*$F218)))))</x:f>
      </x:c>
      <x:c r="M218" s="25" t="str">
        <x:f>IF($A218="","",IF($F218="","",IF($F218=0,0,IF(COUNTIFS($A$10:$A$89,$C218)&lt;&gt;1,"brak danych",IF(COUNTIFS($A$10:$A$89,$C218,$G$10:$G$89,"&lt;&gt;")=0,"brak danych",VLOOKUP($C218,$A$10:$J$89,7,FALSE)*$F218)))))</x:f>
      </x:c>
      <x:c r="N218" s="25" t="str">
        <x:f>IF($A218="","",IF($F218="","",IF($F218=0,0,IF(COUNTIFS($A$10:$A$89,$C218)&lt;&gt;1,"brak danych",IF(COUNTIFS($A$10:$A$89,$C218,$H$10:$H$89,"&lt;&gt;")=0,"brak danych",VLOOKUP($C218,$A$10:$J$89,8,FALSE)*$F218)))))</x:f>
      </x:c>
      <x:c r="O218" s="25" t="str">
        <x:f>IF($A218="","",IF($F218="","",IF($F218=0,0,IF(COUNTIFS($A$10:$A$89,$C218)&lt;&gt;1,"brak danych",IF(COUNTIFS($A$10:$A$89,$C218,$I$10:$I$89,"&lt;&gt;")=0,"brak danych",VLOOKUP($C218,$A$10:$J$89,9,FALSE)*$F218)))))</x:f>
      </x:c>
      <x:c r="P218" s="25" t="str">
        <x:f>IF($A218="","",IF($F218="","",IF($F218=0,0,IF(COUNTIFS($A$10:$A$89,$C218)&lt;&gt;1,"brak danych",IF(COUNTIFS($A$10:$A$89,$C218,$J$10:$J$89,"&lt;&gt;")=0,"brak danych",VLOOKUP($C218,$A$10:$J$89,10,FALSE)*$F218)))))</x:f>
      </x:c>
      <x:c r="Q218" s="18"/>
    </x:row>
    <x:row r="219" ht="25" customHeight="1">
      <x:c r="A219" s="6"/>
      <x:c r="B219" s="30"/>
      <x:c r="C219" s="5"/>
      <x:c r="D219" s="5"/>
      <x:c r="E219" s="32"/>
      <x:c r="F219" s="32"/>
      <x:c r="G219" s="24" t="str">
        <x:f>IF($A219="","",IF(AND($C219="",$E219=""),"",IF($E219="","brak danych",IF($E219=0,0,IF(COUNTIFS($A$10:$A$89,$C219)&lt;&gt;1,"brak danych",IF(COUNTIFS($A$10:$A$89,$C219,$F$10:$F$89,"&lt;&gt;")=0,"brak danych",VLOOKUP($C219,$A$10:$J$89,6,FALSE)*$E219))))))</x:f>
      </x:c>
      <x:c r="H219" s="25" t="str">
        <x:f>IF($A219="","",IF(AND($C219="",$E219=""),"",IF($E219="","brak danych",IF($E219=0,0,IF(COUNTIFS($A$10:$A$89,$C219)&lt;&gt;1,"brak danych",IF(COUNTIFS($A$10:$A$89,$C219,$G$10:$G$89,"&lt;&gt;")=0,"brak danych",VLOOKUP($C219,$A$10:$J$89,7,FALSE)*$E219))))))</x:f>
      </x:c>
      <x:c r="I219" s="25" t="str">
        <x:f>IF($A219="","",IF(AND($C219="",$E219=""),"",IF($E219="","brak danych",IF($E219=0,0,IF(COUNTIFS($A$10:$A$89,$C219)&lt;&gt;1,"brak danych",IF(COUNTIFS($A$10:$A$89,$C219,$H$10:$H$89,"&lt;&gt;")=0,"brak danych",VLOOKUP($C219,$A$10:$J$89,8,FALSE)*$E219))))))</x:f>
      </x:c>
      <x:c r="J219" s="25" t="str">
        <x:f>IF($A219="","",IF(AND($C219="",$E219=""),"",IF($E219="","brak danych",IF($E219=0,0,IF(COUNTIFS($A$10:$A$89,$C219)&lt;&gt;1,"brak danych",IF(COUNTIFS($A$10:$A$89,$C219,$I$10:$I$89,"&lt;&gt;")=0,"brak danych",VLOOKUP($C219,$A$10:$J$89,9,FALSE)*$E219))))))</x:f>
      </x:c>
      <x:c r="K219" s="25" t="str">
        <x:f>IF($A219="","",IF(AND($C219="",$E219=""),"",IF($E219="","brak danych",IF($E219=0,0,IF(COUNTIFS($A$10:$A$89,$C219)&lt;&gt;1,"brak danych",IF(COUNTIFS($A$10:$A$89,$C219,$J$10:$J$89,"&lt;&gt;")=0,"brak danych",VLOOKUP($C219,$A$10:$J$89,10,FALSE)*$E219))))))</x:f>
      </x:c>
      <x:c r="L219" s="24" t="str">
        <x:f>IF($A219="","",IF($F219="","",IF($F219=0,0,IF(COUNTIFS($A$10:$A$89,$C219)&lt;&gt;1,"brak danych",IF(COUNTIFS($A$10:$A$89,$C219,$F$10:$F$89,"&lt;&gt;")=0,"brak danych",VLOOKUP($C219,$A$10:$J$89,6,FALSE)*$F219)))))</x:f>
      </x:c>
      <x:c r="M219" s="25" t="str">
        <x:f>IF($A219="","",IF($F219="","",IF($F219=0,0,IF(COUNTIFS($A$10:$A$89,$C219)&lt;&gt;1,"brak danych",IF(COUNTIFS($A$10:$A$89,$C219,$G$10:$G$89,"&lt;&gt;")=0,"brak danych",VLOOKUP($C219,$A$10:$J$89,7,FALSE)*$F219)))))</x:f>
      </x:c>
      <x:c r="N219" s="25" t="str">
        <x:f>IF($A219="","",IF($F219="","",IF($F219=0,0,IF(COUNTIFS($A$10:$A$89,$C219)&lt;&gt;1,"brak danych",IF(COUNTIFS($A$10:$A$89,$C219,$H$10:$H$89,"&lt;&gt;")=0,"brak danych",VLOOKUP($C219,$A$10:$J$89,8,FALSE)*$F219)))))</x:f>
      </x:c>
      <x:c r="O219" s="25" t="str">
        <x:f>IF($A219="","",IF($F219="","",IF($F219=0,0,IF(COUNTIFS($A$10:$A$89,$C219)&lt;&gt;1,"brak danych",IF(COUNTIFS($A$10:$A$89,$C219,$I$10:$I$89,"&lt;&gt;")=0,"brak danych",VLOOKUP($C219,$A$10:$J$89,9,FALSE)*$F219)))))</x:f>
      </x:c>
      <x:c r="P219" s="25" t="str">
        <x:f>IF($A219="","",IF($F219="","",IF($F219=0,0,IF(COUNTIFS($A$10:$A$89,$C219)&lt;&gt;1,"brak danych",IF(COUNTIFS($A$10:$A$89,$C219,$J$10:$J$89,"&lt;&gt;")=0,"brak danych",VLOOKUP($C219,$A$10:$J$89,10,FALSE)*$F219)))))</x:f>
      </x:c>
      <x:c r="Q219" s="18"/>
    </x:row>
    <x:row r="220" ht="25" customHeight="1">
      <x:c r="A220" s="6"/>
      <x:c r="B220" s="30"/>
      <x:c r="C220" s="5"/>
      <x:c r="D220" s="5"/>
      <x:c r="E220" s="32"/>
      <x:c r="F220" s="32"/>
      <x:c r="G220" s="24" t="str">
        <x:f>IF($A220="","",IF(AND($C220="",$E220=""),"",IF($E220="","brak danych",IF($E220=0,0,IF(COUNTIFS($A$10:$A$89,$C220)&lt;&gt;1,"brak danych",IF(COUNTIFS($A$10:$A$89,$C220,$F$10:$F$89,"&lt;&gt;")=0,"brak danych",VLOOKUP($C220,$A$10:$J$89,6,FALSE)*$E220))))))</x:f>
      </x:c>
      <x:c r="H220" s="25" t="str">
        <x:f>IF($A220="","",IF(AND($C220="",$E220=""),"",IF($E220="","brak danych",IF($E220=0,0,IF(COUNTIFS($A$10:$A$89,$C220)&lt;&gt;1,"brak danych",IF(COUNTIFS($A$10:$A$89,$C220,$G$10:$G$89,"&lt;&gt;")=0,"brak danych",VLOOKUP($C220,$A$10:$J$89,7,FALSE)*$E220))))))</x:f>
      </x:c>
      <x:c r="I220" s="25" t="str">
        <x:f>IF($A220="","",IF(AND($C220="",$E220=""),"",IF($E220="","brak danych",IF($E220=0,0,IF(COUNTIFS($A$10:$A$89,$C220)&lt;&gt;1,"brak danych",IF(COUNTIFS($A$10:$A$89,$C220,$H$10:$H$89,"&lt;&gt;")=0,"brak danych",VLOOKUP($C220,$A$10:$J$89,8,FALSE)*$E220))))))</x:f>
      </x:c>
      <x:c r="J220" s="25" t="str">
        <x:f>IF($A220="","",IF(AND($C220="",$E220=""),"",IF($E220="","brak danych",IF($E220=0,0,IF(COUNTIFS($A$10:$A$89,$C220)&lt;&gt;1,"brak danych",IF(COUNTIFS($A$10:$A$89,$C220,$I$10:$I$89,"&lt;&gt;")=0,"brak danych",VLOOKUP($C220,$A$10:$J$89,9,FALSE)*$E220))))))</x:f>
      </x:c>
      <x:c r="K220" s="25" t="str">
        <x:f>IF($A220="","",IF(AND($C220="",$E220=""),"",IF($E220="","brak danych",IF($E220=0,0,IF(COUNTIFS($A$10:$A$89,$C220)&lt;&gt;1,"brak danych",IF(COUNTIFS($A$10:$A$89,$C220,$J$10:$J$89,"&lt;&gt;")=0,"brak danych",VLOOKUP($C220,$A$10:$J$89,10,FALSE)*$E220))))))</x:f>
      </x:c>
      <x:c r="L220" s="24" t="str">
        <x:f>IF($A220="","",IF($F220="","",IF($F220=0,0,IF(COUNTIFS($A$10:$A$89,$C220)&lt;&gt;1,"brak danych",IF(COUNTIFS($A$10:$A$89,$C220,$F$10:$F$89,"&lt;&gt;")=0,"brak danych",VLOOKUP($C220,$A$10:$J$89,6,FALSE)*$F220)))))</x:f>
      </x:c>
      <x:c r="M220" s="25" t="str">
        <x:f>IF($A220="","",IF($F220="","",IF($F220=0,0,IF(COUNTIFS($A$10:$A$89,$C220)&lt;&gt;1,"brak danych",IF(COUNTIFS($A$10:$A$89,$C220,$G$10:$G$89,"&lt;&gt;")=0,"brak danych",VLOOKUP($C220,$A$10:$J$89,7,FALSE)*$F220)))))</x:f>
      </x:c>
      <x:c r="N220" s="25" t="str">
        <x:f>IF($A220="","",IF($F220="","",IF($F220=0,0,IF(COUNTIFS($A$10:$A$89,$C220)&lt;&gt;1,"brak danych",IF(COUNTIFS($A$10:$A$89,$C220,$H$10:$H$89,"&lt;&gt;")=0,"brak danych",VLOOKUP($C220,$A$10:$J$89,8,FALSE)*$F220)))))</x:f>
      </x:c>
      <x:c r="O220" s="25" t="str">
        <x:f>IF($A220="","",IF($F220="","",IF($F220=0,0,IF(COUNTIFS($A$10:$A$89,$C220)&lt;&gt;1,"brak danych",IF(COUNTIFS($A$10:$A$89,$C220,$I$10:$I$89,"&lt;&gt;")=0,"brak danych",VLOOKUP($C220,$A$10:$J$89,9,FALSE)*$F220)))))</x:f>
      </x:c>
      <x:c r="P220" s="25" t="str">
        <x:f>IF($A220="","",IF($F220="","",IF($F220=0,0,IF(COUNTIFS($A$10:$A$89,$C220)&lt;&gt;1,"brak danych",IF(COUNTIFS($A$10:$A$89,$C220,$J$10:$J$89,"&lt;&gt;")=0,"brak danych",VLOOKUP($C220,$A$10:$J$89,10,FALSE)*$F220)))))</x:f>
      </x:c>
      <x:c r="Q220" s="18"/>
    </x:row>
    <x:row r="221" ht="25" customHeight="1">
      <x:c r="A221" s="6"/>
      <x:c r="B221" s="30"/>
      <x:c r="C221" s="5"/>
      <x:c r="D221" s="5"/>
      <x:c r="E221" s="32"/>
      <x:c r="F221" s="32"/>
      <x:c r="G221" s="24" t="str">
        <x:f>IF($A221="","",IF(AND($C221="",$E221=""),"",IF($E221="","brak danych",IF($E221=0,0,IF(COUNTIFS($A$10:$A$89,$C221)&lt;&gt;1,"brak danych",IF(COUNTIFS($A$10:$A$89,$C221,$F$10:$F$89,"&lt;&gt;")=0,"brak danych",VLOOKUP($C221,$A$10:$J$89,6,FALSE)*$E221))))))</x:f>
      </x:c>
      <x:c r="H221" s="25" t="str">
        <x:f>IF($A221="","",IF(AND($C221="",$E221=""),"",IF($E221="","brak danych",IF($E221=0,0,IF(COUNTIFS($A$10:$A$89,$C221)&lt;&gt;1,"brak danych",IF(COUNTIFS($A$10:$A$89,$C221,$G$10:$G$89,"&lt;&gt;")=0,"brak danych",VLOOKUP($C221,$A$10:$J$89,7,FALSE)*$E221))))))</x:f>
      </x:c>
      <x:c r="I221" s="25" t="str">
        <x:f>IF($A221="","",IF(AND($C221="",$E221=""),"",IF($E221="","brak danych",IF($E221=0,0,IF(COUNTIFS($A$10:$A$89,$C221)&lt;&gt;1,"brak danych",IF(COUNTIFS($A$10:$A$89,$C221,$H$10:$H$89,"&lt;&gt;")=0,"brak danych",VLOOKUP($C221,$A$10:$J$89,8,FALSE)*$E221))))))</x:f>
      </x:c>
      <x:c r="J221" s="25" t="str">
        <x:f>IF($A221="","",IF(AND($C221="",$E221=""),"",IF($E221="","brak danych",IF($E221=0,0,IF(COUNTIFS($A$10:$A$89,$C221)&lt;&gt;1,"brak danych",IF(COUNTIFS($A$10:$A$89,$C221,$I$10:$I$89,"&lt;&gt;")=0,"brak danych",VLOOKUP($C221,$A$10:$J$89,9,FALSE)*$E221))))))</x:f>
      </x:c>
      <x:c r="K221" s="25" t="str">
        <x:f>IF($A221="","",IF(AND($C221="",$E221=""),"",IF($E221="","brak danych",IF($E221=0,0,IF(COUNTIFS($A$10:$A$89,$C221)&lt;&gt;1,"brak danych",IF(COUNTIFS($A$10:$A$89,$C221,$J$10:$J$89,"&lt;&gt;")=0,"brak danych",VLOOKUP($C221,$A$10:$J$89,10,FALSE)*$E221))))))</x:f>
      </x:c>
      <x:c r="L221" s="24" t="str">
        <x:f>IF($A221="","",IF($F221="","",IF($F221=0,0,IF(COUNTIFS($A$10:$A$89,$C221)&lt;&gt;1,"brak danych",IF(COUNTIFS($A$10:$A$89,$C221,$F$10:$F$89,"&lt;&gt;")=0,"brak danych",VLOOKUP($C221,$A$10:$J$89,6,FALSE)*$F221)))))</x:f>
      </x:c>
      <x:c r="M221" s="25" t="str">
        <x:f>IF($A221="","",IF($F221="","",IF($F221=0,0,IF(COUNTIFS($A$10:$A$89,$C221)&lt;&gt;1,"brak danych",IF(COUNTIFS($A$10:$A$89,$C221,$G$10:$G$89,"&lt;&gt;")=0,"brak danych",VLOOKUP($C221,$A$10:$J$89,7,FALSE)*$F221)))))</x:f>
      </x:c>
      <x:c r="N221" s="25" t="str">
        <x:f>IF($A221="","",IF($F221="","",IF($F221=0,0,IF(COUNTIFS($A$10:$A$89,$C221)&lt;&gt;1,"brak danych",IF(COUNTIFS($A$10:$A$89,$C221,$H$10:$H$89,"&lt;&gt;")=0,"brak danych",VLOOKUP($C221,$A$10:$J$89,8,FALSE)*$F221)))))</x:f>
      </x:c>
      <x:c r="O221" s="25" t="str">
        <x:f>IF($A221="","",IF($F221="","",IF($F221=0,0,IF(COUNTIFS($A$10:$A$89,$C221)&lt;&gt;1,"brak danych",IF(COUNTIFS($A$10:$A$89,$C221,$I$10:$I$89,"&lt;&gt;")=0,"brak danych",VLOOKUP($C221,$A$10:$J$89,9,FALSE)*$F221)))))</x:f>
      </x:c>
      <x:c r="P221" s="25" t="str">
        <x:f>IF($A221="","",IF($F221="","",IF($F221=0,0,IF(COUNTIFS($A$10:$A$89,$C221)&lt;&gt;1,"brak danych",IF(COUNTIFS($A$10:$A$89,$C221,$J$10:$J$89,"&lt;&gt;")=0,"brak danych",VLOOKUP($C221,$A$10:$J$89,10,FALSE)*$F221)))))</x:f>
      </x:c>
      <x:c r="Q221" s="18"/>
    </x:row>
    <x:row r="222" ht="25" customHeight="1">
      <x:c r="A222" s="6"/>
      <x:c r="B222" s="30"/>
      <x:c r="C222" s="5"/>
      <x:c r="D222" s="5"/>
      <x:c r="E222" s="32"/>
      <x:c r="F222" s="32"/>
      <x:c r="G222" s="24" t="str">
        <x:f>IF($A222="","",IF(AND($C222="",$E222=""),"",IF($E222="","brak danych",IF($E222=0,0,IF(COUNTIFS($A$10:$A$89,$C222)&lt;&gt;1,"brak danych",IF(COUNTIFS($A$10:$A$89,$C222,$F$10:$F$89,"&lt;&gt;")=0,"brak danych",VLOOKUP($C222,$A$10:$J$89,6,FALSE)*$E222))))))</x:f>
      </x:c>
      <x:c r="H222" s="25" t="str">
        <x:f>IF($A222="","",IF(AND($C222="",$E222=""),"",IF($E222="","brak danych",IF($E222=0,0,IF(COUNTIFS($A$10:$A$89,$C222)&lt;&gt;1,"brak danych",IF(COUNTIFS($A$10:$A$89,$C222,$G$10:$G$89,"&lt;&gt;")=0,"brak danych",VLOOKUP($C222,$A$10:$J$89,7,FALSE)*$E222))))))</x:f>
      </x:c>
      <x:c r="I222" s="25" t="str">
        <x:f>IF($A222="","",IF(AND($C222="",$E222=""),"",IF($E222="","brak danych",IF($E222=0,0,IF(COUNTIFS($A$10:$A$89,$C222)&lt;&gt;1,"brak danych",IF(COUNTIFS($A$10:$A$89,$C222,$H$10:$H$89,"&lt;&gt;")=0,"brak danych",VLOOKUP($C222,$A$10:$J$89,8,FALSE)*$E222))))))</x:f>
      </x:c>
      <x:c r="J222" s="25" t="str">
        <x:f>IF($A222="","",IF(AND($C222="",$E222=""),"",IF($E222="","brak danych",IF($E222=0,0,IF(COUNTIFS($A$10:$A$89,$C222)&lt;&gt;1,"brak danych",IF(COUNTIFS($A$10:$A$89,$C222,$I$10:$I$89,"&lt;&gt;")=0,"brak danych",VLOOKUP($C222,$A$10:$J$89,9,FALSE)*$E222))))))</x:f>
      </x:c>
      <x:c r="K222" s="25" t="str">
        <x:f>IF($A222="","",IF(AND($C222="",$E222=""),"",IF($E222="","brak danych",IF($E222=0,0,IF(COUNTIFS($A$10:$A$89,$C222)&lt;&gt;1,"brak danych",IF(COUNTIFS($A$10:$A$89,$C222,$J$10:$J$89,"&lt;&gt;")=0,"brak danych",VLOOKUP($C222,$A$10:$J$89,10,FALSE)*$E222))))))</x:f>
      </x:c>
      <x:c r="L222" s="24" t="str">
        <x:f>IF($A222="","",IF($F222="","",IF($F222=0,0,IF(COUNTIFS($A$10:$A$89,$C222)&lt;&gt;1,"brak danych",IF(COUNTIFS($A$10:$A$89,$C222,$F$10:$F$89,"&lt;&gt;")=0,"brak danych",VLOOKUP($C222,$A$10:$J$89,6,FALSE)*$F222)))))</x:f>
      </x:c>
      <x:c r="M222" s="25" t="str">
        <x:f>IF($A222="","",IF($F222="","",IF($F222=0,0,IF(COUNTIFS($A$10:$A$89,$C222)&lt;&gt;1,"brak danych",IF(COUNTIFS($A$10:$A$89,$C222,$G$10:$G$89,"&lt;&gt;")=0,"brak danych",VLOOKUP($C222,$A$10:$J$89,7,FALSE)*$F222)))))</x:f>
      </x:c>
      <x:c r="N222" s="25" t="str">
        <x:f>IF($A222="","",IF($F222="","",IF($F222=0,0,IF(COUNTIFS($A$10:$A$89,$C222)&lt;&gt;1,"brak danych",IF(COUNTIFS($A$10:$A$89,$C222,$H$10:$H$89,"&lt;&gt;")=0,"brak danych",VLOOKUP($C222,$A$10:$J$89,8,FALSE)*$F222)))))</x:f>
      </x:c>
      <x:c r="O222" s="25" t="str">
        <x:f>IF($A222="","",IF($F222="","",IF($F222=0,0,IF(COUNTIFS($A$10:$A$89,$C222)&lt;&gt;1,"brak danych",IF(COUNTIFS($A$10:$A$89,$C222,$I$10:$I$89,"&lt;&gt;")=0,"brak danych",VLOOKUP($C222,$A$10:$J$89,9,FALSE)*$F222)))))</x:f>
      </x:c>
      <x:c r="P222" s="25" t="str">
        <x:f>IF($A222="","",IF($F222="","",IF($F222=0,0,IF(COUNTIFS($A$10:$A$89,$C222)&lt;&gt;1,"brak danych",IF(COUNTIFS($A$10:$A$89,$C222,$J$10:$J$89,"&lt;&gt;")=0,"brak danych",VLOOKUP($C222,$A$10:$J$89,10,FALSE)*$F222)))))</x:f>
      </x:c>
      <x:c r="Q222" s="18"/>
    </x:row>
    <x:row r="223" ht="25" customHeight="1">
      <x:c r="A223" s="6"/>
      <x:c r="B223" s="30"/>
      <x:c r="C223" s="5"/>
      <x:c r="D223" s="5"/>
      <x:c r="E223" s="32"/>
      <x:c r="F223" s="32"/>
      <x:c r="G223" s="24" t="str">
        <x:f>IF($A223="","",IF(AND($C223="",$E223=""),"",IF($E223="","brak danych",IF($E223=0,0,IF(COUNTIFS($A$10:$A$89,$C223)&lt;&gt;1,"brak danych",IF(COUNTIFS($A$10:$A$89,$C223,$F$10:$F$89,"&lt;&gt;")=0,"brak danych",VLOOKUP($C223,$A$10:$J$89,6,FALSE)*$E223))))))</x:f>
      </x:c>
      <x:c r="H223" s="25" t="str">
        <x:f>IF($A223="","",IF(AND($C223="",$E223=""),"",IF($E223="","brak danych",IF($E223=0,0,IF(COUNTIFS($A$10:$A$89,$C223)&lt;&gt;1,"brak danych",IF(COUNTIFS($A$10:$A$89,$C223,$G$10:$G$89,"&lt;&gt;")=0,"brak danych",VLOOKUP($C223,$A$10:$J$89,7,FALSE)*$E223))))))</x:f>
      </x:c>
      <x:c r="I223" s="25" t="str">
        <x:f>IF($A223="","",IF(AND($C223="",$E223=""),"",IF($E223="","brak danych",IF($E223=0,0,IF(COUNTIFS($A$10:$A$89,$C223)&lt;&gt;1,"brak danych",IF(COUNTIFS($A$10:$A$89,$C223,$H$10:$H$89,"&lt;&gt;")=0,"brak danych",VLOOKUP($C223,$A$10:$J$89,8,FALSE)*$E223))))))</x:f>
      </x:c>
      <x:c r="J223" s="25" t="str">
        <x:f>IF($A223="","",IF(AND($C223="",$E223=""),"",IF($E223="","brak danych",IF($E223=0,0,IF(COUNTIFS($A$10:$A$89,$C223)&lt;&gt;1,"brak danych",IF(COUNTIFS($A$10:$A$89,$C223,$I$10:$I$89,"&lt;&gt;")=0,"brak danych",VLOOKUP($C223,$A$10:$J$89,9,FALSE)*$E223))))))</x:f>
      </x:c>
      <x:c r="K223" s="25" t="str">
        <x:f>IF($A223="","",IF(AND($C223="",$E223=""),"",IF($E223="","brak danych",IF($E223=0,0,IF(COUNTIFS($A$10:$A$89,$C223)&lt;&gt;1,"brak danych",IF(COUNTIFS($A$10:$A$89,$C223,$J$10:$J$89,"&lt;&gt;")=0,"brak danych",VLOOKUP($C223,$A$10:$J$89,10,FALSE)*$E223))))))</x:f>
      </x:c>
      <x:c r="L223" s="24" t="str">
        <x:f>IF($A223="","",IF($F223="","",IF($F223=0,0,IF(COUNTIFS($A$10:$A$89,$C223)&lt;&gt;1,"brak danych",IF(COUNTIFS($A$10:$A$89,$C223,$F$10:$F$89,"&lt;&gt;")=0,"brak danych",VLOOKUP($C223,$A$10:$J$89,6,FALSE)*$F223)))))</x:f>
      </x:c>
      <x:c r="M223" s="25" t="str">
        <x:f>IF($A223="","",IF($F223="","",IF($F223=0,0,IF(COUNTIFS($A$10:$A$89,$C223)&lt;&gt;1,"brak danych",IF(COUNTIFS($A$10:$A$89,$C223,$G$10:$G$89,"&lt;&gt;")=0,"brak danych",VLOOKUP($C223,$A$10:$J$89,7,FALSE)*$F223)))))</x:f>
      </x:c>
      <x:c r="N223" s="25" t="str">
        <x:f>IF($A223="","",IF($F223="","",IF($F223=0,0,IF(COUNTIFS($A$10:$A$89,$C223)&lt;&gt;1,"brak danych",IF(COUNTIFS($A$10:$A$89,$C223,$H$10:$H$89,"&lt;&gt;")=0,"brak danych",VLOOKUP($C223,$A$10:$J$89,8,FALSE)*$F223)))))</x:f>
      </x:c>
      <x:c r="O223" s="25" t="str">
        <x:f>IF($A223="","",IF($F223="","",IF($F223=0,0,IF(COUNTIFS($A$10:$A$89,$C223)&lt;&gt;1,"brak danych",IF(COUNTIFS($A$10:$A$89,$C223,$I$10:$I$89,"&lt;&gt;")=0,"brak danych",VLOOKUP($C223,$A$10:$J$89,9,FALSE)*$F223)))))</x:f>
      </x:c>
      <x:c r="P223" s="25" t="str">
        <x:f>IF($A223="","",IF($F223="","",IF($F223=0,0,IF(COUNTIFS($A$10:$A$89,$C223)&lt;&gt;1,"brak danych",IF(COUNTIFS($A$10:$A$89,$C223,$J$10:$J$89,"&lt;&gt;")=0,"brak danych",VLOOKUP($C223,$A$10:$J$89,10,FALSE)*$F223)))))</x:f>
      </x:c>
      <x:c r="Q223" s="18"/>
    </x:row>
    <x:row r="224" ht="25" customHeight="1">
      <x:c r="A224" s="6"/>
      <x:c r="B224" s="30"/>
      <x:c r="C224" s="5"/>
      <x:c r="D224" s="5"/>
      <x:c r="E224" s="32"/>
      <x:c r="F224" s="32"/>
      <x:c r="G224" s="24" t="str">
        <x:f>IF($A224="","",IF(AND($C224="",$E224=""),"",IF($E224="","brak danych",IF($E224=0,0,IF(COUNTIFS($A$10:$A$89,$C224)&lt;&gt;1,"brak danych",IF(COUNTIFS($A$10:$A$89,$C224,$F$10:$F$89,"&lt;&gt;")=0,"brak danych",VLOOKUP($C224,$A$10:$J$89,6,FALSE)*$E224))))))</x:f>
      </x:c>
      <x:c r="H224" s="25" t="str">
        <x:f>IF($A224="","",IF(AND($C224="",$E224=""),"",IF($E224="","brak danych",IF($E224=0,0,IF(COUNTIFS($A$10:$A$89,$C224)&lt;&gt;1,"brak danych",IF(COUNTIFS($A$10:$A$89,$C224,$G$10:$G$89,"&lt;&gt;")=0,"brak danych",VLOOKUP($C224,$A$10:$J$89,7,FALSE)*$E224))))))</x:f>
      </x:c>
      <x:c r="I224" s="25" t="str">
        <x:f>IF($A224="","",IF(AND($C224="",$E224=""),"",IF($E224="","brak danych",IF($E224=0,0,IF(COUNTIFS($A$10:$A$89,$C224)&lt;&gt;1,"brak danych",IF(COUNTIFS($A$10:$A$89,$C224,$H$10:$H$89,"&lt;&gt;")=0,"brak danych",VLOOKUP($C224,$A$10:$J$89,8,FALSE)*$E224))))))</x:f>
      </x:c>
      <x:c r="J224" s="25" t="str">
        <x:f>IF($A224="","",IF(AND($C224="",$E224=""),"",IF($E224="","brak danych",IF($E224=0,0,IF(COUNTIFS($A$10:$A$89,$C224)&lt;&gt;1,"brak danych",IF(COUNTIFS($A$10:$A$89,$C224,$I$10:$I$89,"&lt;&gt;")=0,"brak danych",VLOOKUP($C224,$A$10:$J$89,9,FALSE)*$E224))))))</x:f>
      </x:c>
      <x:c r="K224" s="25" t="str">
        <x:f>IF($A224="","",IF(AND($C224="",$E224=""),"",IF($E224="","brak danych",IF($E224=0,0,IF(COUNTIFS($A$10:$A$89,$C224)&lt;&gt;1,"brak danych",IF(COUNTIFS($A$10:$A$89,$C224,$J$10:$J$89,"&lt;&gt;")=0,"brak danych",VLOOKUP($C224,$A$10:$J$89,10,FALSE)*$E224))))))</x:f>
      </x:c>
      <x:c r="L224" s="24" t="str">
        <x:f>IF($A224="","",IF($F224="","",IF($F224=0,0,IF(COUNTIFS($A$10:$A$89,$C224)&lt;&gt;1,"brak danych",IF(COUNTIFS($A$10:$A$89,$C224,$F$10:$F$89,"&lt;&gt;")=0,"brak danych",VLOOKUP($C224,$A$10:$J$89,6,FALSE)*$F224)))))</x:f>
      </x:c>
      <x:c r="M224" s="25" t="str">
        <x:f>IF($A224="","",IF($F224="","",IF($F224=0,0,IF(COUNTIFS($A$10:$A$89,$C224)&lt;&gt;1,"brak danych",IF(COUNTIFS($A$10:$A$89,$C224,$G$10:$G$89,"&lt;&gt;")=0,"brak danych",VLOOKUP($C224,$A$10:$J$89,7,FALSE)*$F224)))))</x:f>
      </x:c>
      <x:c r="N224" s="25" t="str">
        <x:f>IF($A224="","",IF($F224="","",IF($F224=0,0,IF(COUNTIFS($A$10:$A$89,$C224)&lt;&gt;1,"brak danych",IF(COUNTIFS($A$10:$A$89,$C224,$H$10:$H$89,"&lt;&gt;")=0,"brak danych",VLOOKUP($C224,$A$10:$J$89,8,FALSE)*$F224)))))</x:f>
      </x:c>
      <x:c r="O224" s="25" t="str">
        <x:f>IF($A224="","",IF($F224="","",IF($F224=0,0,IF(COUNTIFS($A$10:$A$89,$C224)&lt;&gt;1,"brak danych",IF(COUNTIFS($A$10:$A$89,$C224,$I$10:$I$89,"&lt;&gt;")=0,"brak danych",VLOOKUP($C224,$A$10:$J$89,9,FALSE)*$F224)))))</x:f>
      </x:c>
      <x:c r="P224" s="25" t="str">
        <x:f>IF($A224="","",IF($F224="","",IF($F224=0,0,IF(COUNTIFS($A$10:$A$89,$C224)&lt;&gt;1,"brak danych",IF(COUNTIFS($A$10:$A$89,$C224,$J$10:$J$89,"&lt;&gt;")=0,"brak danych",VLOOKUP($C224,$A$10:$J$89,10,FALSE)*$F224)))))</x:f>
      </x:c>
      <x:c r="Q224" s="18"/>
    </x:row>
    <x:row r="225" ht="25" customHeight="1">
      <x:c r="A225" s="6"/>
      <x:c r="B225" s="30"/>
      <x:c r="C225" s="5"/>
      <x:c r="D225" s="5"/>
      <x:c r="E225" s="32"/>
      <x:c r="F225" s="32"/>
      <x:c r="G225" s="24" t="str">
        <x:f>IF($A225="","",IF(AND($C225="",$E225=""),"",IF($E225="","brak danych",IF($E225=0,0,IF(COUNTIFS($A$10:$A$89,$C225)&lt;&gt;1,"brak danych",IF(COUNTIFS($A$10:$A$89,$C225,$F$10:$F$89,"&lt;&gt;")=0,"brak danych",VLOOKUP($C225,$A$10:$J$89,6,FALSE)*$E225))))))</x:f>
      </x:c>
      <x:c r="H225" s="25" t="str">
        <x:f>IF($A225="","",IF(AND($C225="",$E225=""),"",IF($E225="","brak danych",IF($E225=0,0,IF(COUNTIFS($A$10:$A$89,$C225)&lt;&gt;1,"brak danych",IF(COUNTIFS($A$10:$A$89,$C225,$G$10:$G$89,"&lt;&gt;")=0,"brak danych",VLOOKUP($C225,$A$10:$J$89,7,FALSE)*$E225))))))</x:f>
      </x:c>
      <x:c r="I225" s="25" t="str">
        <x:f>IF($A225="","",IF(AND($C225="",$E225=""),"",IF($E225="","brak danych",IF($E225=0,0,IF(COUNTIFS($A$10:$A$89,$C225)&lt;&gt;1,"brak danych",IF(COUNTIFS($A$10:$A$89,$C225,$H$10:$H$89,"&lt;&gt;")=0,"brak danych",VLOOKUP($C225,$A$10:$J$89,8,FALSE)*$E225))))))</x:f>
      </x:c>
      <x:c r="J225" s="25" t="str">
        <x:f>IF($A225="","",IF(AND($C225="",$E225=""),"",IF($E225="","brak danych",IF($E225=0,0,IF(COUNTIFS($A$10:$A$89,$C225)&lt;&gt;1,"brak danych",IF(COUNTIFS($A$10:$A$89,$C225,$I$10:$I$89,"&lt;&gt;")=0,"brak danych",VLOOKUP($C225,$A$10:$J$89,9,FALSE)*$E225))))))</x:f>
      </x:c>
      <x:c r="K225" s="25" t="str">
        <x:f>IF($A225="","",IF(AND($C225="",$E225=""),"",IF($E225="","brak danych",IF($E225=0,0,IF(COUNTIFS($A$10:$A$89,$C225)&lt;&gt;1,"brak danych",IF(COUNTIFS($A$10:$A$89,$C225,$J$10:$J$89,"&lt;&gt;")=0,"brak danych",VLOOKUP($C225,$A$10:$J$89,10,FALSE)*$E225))))))</x:f>
      </x:c>
      <x:c r="L225" s="24" t="str">
        <x:f>IF($A225="","",IF($F225="","",IF($F225=0,0,IF(COUNTIFS($A$10:$A$89,$C225)&lt;&gt;1,"brak danych",IF(COUNTIFS($A$10:$A$89,$C225,$F$10:$F$89,"&lt;&gt;")=0,"brak danych",VLOOKUP($C225,$A$10:$J$89,6,FALSE)*$F225)))))</x:f>
      </x:c>
      <x:c r="M225" s="25" t="str">
        <x:f>IF($A225="","",IF($F225="","",IF($F225=0,0,IF(COUNTIFS($A$10:$A$89,$C225)&lt;&gt;1,"brak danych",IF(COUNTIFS($A$10:$A$89,$C225,$G$10:$G$89,"&lt;&gt;")=0,"brak danych",VLOOKUP($C225,$A$10:$J$89,7,FALSE)*$F225)))))</x:f>
      </x:c>
      <x:c r="N225" s="25" t="str">
        <x:f>IF($A225="","",IF($F225="","",IF($F225=0,0,IF(COUNTIFS($A$10:$A$89,$C225)&lt;&gt;1,"brak danych",IF(COUNTIFS($A$10:$A$89,$C225,$H$10:$H$89,"&lt;&gt;")=0,"brak danych",VLOOKUP($C225,$A$10:$J$89,8,FALSE)*$F225)))))</x:f>
      </x:c>
      <x:c r="O225" s="25" t="str">
        <x:f>IF($A225="","",IF($F225="","",IF($F225=0,0,IF(COUNTIFS($A$10:$A$89,$C225)&lt;&gt;1,"brak danych",IF(COUNTIFS($A$10:$A$89,$C225,$I$10:$I$89,"&lt;&gt;")=0,"brak danych",VLOOKUP($C225,$A$10:$J$89,9,FALSE)*$F225)))))</x:f>
      </x:c>
      <x:c r="P225" s="25" t="str">
        <x:f>IF($A225="","",IF($F225="","",IF($F225=0,0,IF(COUNTIFS($A$10:$A$89,$C225)&lt;&gt;1,"brak danych",IF(COUNTIFS($A$10:$A$89,$C225,$J$10:$J$89,"&lt;&gt;")=0,"brak danych",VLOOKUP($C225,$A$10:$J$89,10,FALSE)*$F225)))))</x:f>
      </x:c>
      <x:c r="Q225" s="18"/>
    </x:row>
    <x:row r="226" ht="25" customHeight="1">
      <x:c r="A226" s="6"/>
      <x:c r="B226" s="30"/>
      <x:c r="C226" s="5"/>
      <x:c r="D226" s="5"/>
      <x:c r="E226" s="32"/>
      <x:c r="F226" s="32"/>
      <x:c r="G226" s="24" t="str">
        <x:f>IF($A226="","",IF(AND($C226="",$E226=""),"",IF($E226="","brak danych",IF($E226=0,0,IF(COUNTIFS($A$10:$A$89,$C226)&lt;&gt;1,"brak danych",IF(COUNTIFS($A$10:$A$89,$C226,$F$10:$F$89,"&lt;&gt;")=0,"brak danych",VLOOKUP($C226,$A$10:$J$89,6,FALSE)*$E226))))))</x:f>
      </x:c>
      <x:c r="H226" s="25" t="str">
        <x:f>IF($A226="","",IF(AND($C226="",$E226=""),"",IF($E226="","brak danych",IF($E226=0,0,IF(COUNTIFS($A$10:$A$89,$C226)&lt;&gt;1,"brak danych",IF(COUNTIFS($A$10:$A$89,$C226,$G$10:$G$89,"&lt;&gt;")=0,"brak danych",VLOOKUP($C226,$A$10:$J$89,7,FALSE)*$E226))))))</x:f>
      </x:c>
      <x:c r="I226" s="25" t="str">
        <x:f>IF($A226="","",IF(AND($C226="",$E226=""),"",IF($E226="","brak danych",IF($E226=0,0,IF(COUNTIFS($A$10:$A$89,$C226)&lt;&gt;1,"brak danych",IF(COUNTIFS($A$10:$A$89,$C226,$H$10:$H$89,"&lt;&gt;")=0,"brak danych",VLOOKUP($C226,$A$10:$J$89,8,FALSE)*$E226))))))</x:f>
      </x:c>
      <x:c r="J226" s="25" t="str">
        <x:f>IF($A226="","",IF(AND($C226="",$E226=""),"",IF($E226="","brak danych",IF($E226=0,0,IF(COUNTIFS($A$10:$A$89,$C226)&lt;&gt;1,"brak danych",IF(COUNTIFS($A$10:$A$89,$C226,$I$10:$I$89,"&lt;&gt;")=0,"brak danych",VLOOKUP($C226,$A$10:$J$89,9,FALSE)*$E226))))))</x:f>
      </x:c>
      <x:c r="K226" s="25" t="str">
        <x:f>IF($A226="","",IF(AND($C226="",$E226=""),"",IF($E226="","brak danych",IF($E226=0,0,IF(COUNTIFS($A$10:$A$89,$C226)&lt;&gt;1,"brak danych",IF(COUNTIFS($A$10:$A$89,$C226,$J$10:$J$89,"&lt;&gt;")=0,"brak danych",VLOOKUP($C226,$A$10:$J$89,10,FALSE)*$E226))))))</x:f>
      </x:c>
      <x:c r="L226" s="24" t="str">
        <x:f>IF($A226="","",IF($F226="","",IF($F226=0,0,IF(COUNTIFS($A$10:$A$89,$C226)&lt;&gt;1,"brak danych",IF(COUNTIFS($A$10:$A$89,$C226,$F$10:$F$89,"&lt;&gt;")=0,"brak danych",VLOOKUP($C226,$A$10:$J$89,6,FALSE)*$F226)))))</x:f>
      </x:c>
      <x:c r="M226" s="25" t="str">
        <x:f>IF($A226="","",IF($F226="","",IF($F226=0,0,IF(COUNTIFS($A$10:$A$89,$C226)&lt;&gt;1,"brak danych",IF(COUNTIFS($A$10:$A$89,$C226,$G$10:$G$89,"&lt;&gt;")=0,"brak danych",VLOOKUP($C226,$A$10:$J$89,7,FALSE)*$F226)))))</x:f>
      </x:c>
      <x:c r="N226" s="25" t="str">
        <x:f>IF($A226="","",IF($F226="","",IF($F226=0,0,IF(COUNTIFS($A$10:$A$89,$C226)&lt;&gt;1,"brak danych",IF(COUNTIFS($A$10:$A$89,$C226,$H$10:$H$89,"&lt;&gt;")=0,"brak danych",VLOOKUP($C226,$A$10:$J$89,8,FALSE)*$F226)))))</x:f>
      </x:c>
      <x:c r="O226" s="25" t="str">
        <x:f>IF($A226="","",IF($F226="","",IF($F226=0,0,IF(COUNTIFS($A$10:$A$89,$C226)&lt;&gt;1,"brak danych",IF(COUNTIFS($A$10:$A$89,$C226,$I$10:$I$89,"&lt;&gt;")=0,"brak danych",VLOOKUP($C226,$A$10:$J$89,9,FALSE)*$F226)))))</x:f>
      </x:c>
      <x:c r="P226" s="25" t="str">
        <x:f>IF($A226="","",IF($F226="","",IF($F226=0,0,IF(COUNTIFS($A$10:$A$89,$C226)&lt;&gt;1,"brak danych",IF(COUNTIFS($A$10:$A$89,$C226,$J$10:$J$89,"&lt;&gt;")=0,"brak danych",VLOOKUP($C226,$A$10:$J$89,10,FALSE)*$F226)))))</x:f>
      </x:c>
      <x:c r="Q226" s="18"/>
    </x:row>
    <x:row r="227" ht="25" customHeight="1">
      <x:c r="A227" s="6"/>
      <x:c r="B227" s="30"/>
      <x:c r="C227" s="5"/>
      <x:c r="D227" s="5"/>
      <x:c r="E227" s="32"/>
      <x:c r="F227" s="32"/>
      <x:c r="G227" s="24" t="str">
        <x:f>IF($A227="","",IF(AND($C227="",$E227=""),"",IF($E227="","brak danych",IF($E227=0,0,IF(COUNTIFS($A$10:$A$89,$C227)&lt;&gt;1,"brak danych",IF(COUNTIFS($A$10:$A$89,$C227,$F$10:$F$89,"&lt;&gt;")=0,"brak danych",VLOOKUP($C227,$A$10:$J$89,6,FALSE)*$E227))))))</x:f>
      </x:c>
      <x:c r="H227" s="25" t="str">
        <x:f>IF($A227="","",IF(AND($C227="",$E227=""),"",IF($E227="","brak danych",IF($E227=0,0,IF(COUNTIFS($A$10:$A$89,$C227)&lt;&gt;1,"brak danych",IF(COUNTIFS($A$10:$A$89,$C227,$G$10:$G$89,"&lt;&gt;")=0,"brak danych",VLOOKUP($C227,$A$10:$J$89,7,FALSE)*$E227))))))</x:f>
      </x:c>
      <x:c r="I227" s="25" t="str">
        <x:f>IF($A227="","",IF(AND($C227="",$E227=""),"",IF($E227="","brak danych",IF($E227=0,0,IF(COUNTIFS($A$10:$A$89,$C227)&lt;&gt;1,"brak danych",IF(COUNTIFS($A$10:$A$89,$C227,$H$10:$H$89,"&lt;&gt;")=0,"brak danych",VLOOKUP($C227,$A$10:$J$89,8,FALSE)*$E227))))))</x:f>
      </x:c>
      <x:c r="J227" s="25" t="str">
        <x:f>IF($A227="","",IF(AND($C227="",$E227=""),"",IF($E227="","brak danych",IF($E227=0,0,IF(COUNTIFS($A$10:$A$89,$C227)&lt;&gt;1,"brak danych",IF(COUNTIFS($A$10:$A$89,$C227,$I$10:$I$89,"&lt;&gt;")=0,"brak danych",VLOOKUP($C227,$A$10:$J$89,9,FALSE)*$E227))))))</x:f>
      </x:c>
      <x:c r="K227" s="25" t="str">
        <x:f>IF($A227="","",IF(AND($C227="",$E227=""),"",IF($E227="","brak danych",IF($E227=0,0,IF(COUNTIFS($A$10:$A$89,$C227)&lt;&gt;1,"brak danych",IF(COUNTIFS($A$10:$A$89,$C227,$J$10:$J$89,"&lt;&gt;")=0,"brak danych",VLOOKUP($C227,$A$10:$J$89,10,FALSE)*$E227))))))</x:f>
      </x:c>
      <x:c r="L227" s="24" t="str">
        <x:f>IF($A227="","",IF($F227="","",IF($F227=0,0,IF(COUNTIFS($A$10:$A$89,$C227)&lt;&gt;1,"brak danych",IF(COUNTIFS($A$10:$A$89,$C227,$F$10:$F$89,"&lt;&gt;")=0,"brak danych",VLOOKUP($C227,$A$10:$J$89,6,FALSE)*$F227)))))</x:f>
      </x:c>
      <x:c r="M227" s="25" t="str">
        <x:f>IF($A227="","",IF($F227="","",IF($F227=0,0,IF(COUNTIFS($A$10:$A$89,$C227)&lt;&gt;1,"brak danych",IF(COUNTIFS($A$10:$A$89,$C227,$G$10:$G$89,"&lt;&gt;")=0,"brak danych",VLOOKUP($C227,$A$10:$J$89,7,FALSE)*$F227)))))</x:f>
      </x:c>
      <x:c r="N227" s="25" t="str">
        <x:f>IF($A227="","",IF($F227="","",IF($F227=0,0,IF(COUNTIFS($A$10:$A$89,$C227)&lt;&gt;1,"brak danych",IF(COUNTIFS($A$10:$A$89,$C227,$H$10:$H$89,"&lt;&gt;")=0,"brak danych",VLOOKUP($C227,$A$10:$J$89,8,FALSE)*$F227)))))</x:f>
      </x:c>
      <x:c r="O227" s="25" t="str">
        <x:f>IF($A227="","",IF($F227="","",IF($F227=0,0,IF(COUNTIFS($A$10:$A$89,$C227)&lt;&gt;1,"brak danych",IF(COUNTIFS($A$10:$A$89,$C227,$I$10:$I$89,"&lt;&gt;")=0,"brak danych",VLOOKUP($C227,$A$10:$J$89,9,FALSE)*$F227)))))</x:f>
      </x:c>
      <x:c r="P227" s="25" t="str">
        <x:f>IF($A227="","",IF($F227="","",IF($F227=0,0,IF(COUNTIFS($A$10:$A$89,$C227)&lt;&gt;1,"brak danych",IF(COUNTIFS($A$10:$A$89,$C227,$J$10:$J$89,"&lt;&gt;")=0,"brak danych",VLOOKUP($C227,$A$10:$J$89,10,FALSE)*$F227)))))</x:f>
      </x:c>
      <x:c r="Q227" s="18"/>
    </x:row>
    <x:row r="228" ht="25" customHeight="1">
      <x:c r="A228" s="6"/>
      <x:c r="B228" s="30"/>
      <x:c r="C228" s="5"/>
      <x:c r="D228" s="5"/>
      <x:c r="E228" s="32"/>
      <x:c r="F228" s="32"/>
      <x:c r="G228" s="24" t="str">
        <x:f>IF($A228="","",IF(AND($C228="",$E228=""),"",IF($E228="","brak danych",IF($E228=0,0,IF(COUNTIFS($A$10:$A$89,$C228)&lt;&gt;1,"brak danych",IF(COUNTIFS($A$10:$A$89,$C228,$F$10:$F$89,"&lt;&gt;")=0,"brak danych",VLOOKUP($C228,$A$10:$J$89,6,FALSE)*$E228))))))</x:f>
      </x:c>
      <x:c r="H228" s="25" t="str">
        <x:f>IF($A228="","",IF(AND($C228="",$E228=""),"",IF($E228="","brak danych",IF($E228=0,0,IF(COUNTIFS($A$10:$A$89,$C228)&lt;&gt;1,"brak danych",IF(COUNTIFS($A$10:$A$89,$C228,$G$10:$G$89,"&lt;&gt;")=0,"brak danych",VLOOKUP($C228,$A$10:$J$89,7,FALSE)*$E228))))))</x:f>
      </x:c>
      <x:c r="I228" s="25" t="str">
        <x:f>IF($A228="","",IF(AND($C228="",$E228=""),"",IF($E228="","brak danych",IF($E228=0,0,IF(COUNTIFS($A$10:$A$89,$C228)&lt;&gt;1,"brak danych",IF(COUNTIFS($A$10:$A$89,$C228,$H$10:$H$89,"&lt;&gt;")=0,"brak danych",VLOOKUP($C228,$A$10:$J$89,8,FALSE)*$E228))))))</x:f>
      </x:c>
      <x:c r="J228" s="25" t="str">
        <x:f>IF($A228="","",IF(AND($C228="",$E228=""),"",IF($E228="","brak danych",IF($E228=0,0,IF(COUNTIFS($A$10:$A$89,$C228)&lt;&gt;1,"brak danych",IF(COUNTIFS($A$10:$A$89,$C228,$I$10:$I$89,"&lt;&gt;")=0,"brak danych",VLOOKUP($C228,$A$10:$J$89,9,FALSE)*$E228))))))</x:f>
      </x:c>
      <x:c r="K228" s="25" t="str">
        <x:f>IF($A228="","",IF(AND($C228="",$E228=""),"",IF($E228="","brak danych",IF($E228=0,0,IF(COUNTIFS($A$10:$A$89,$C228)&lt;&gt;1,"brak danych",IF(COUNTIFS($A$10:$A$89,$C228,$J$10:$J$89,"&lt;&gt;")=0,"brak danych",VLOOKUP($C228,$A$10:$J$89,10,FALSE)*$E228))))))</x:f>
      </x:c>
      <x:c r="L228" s="24" t="str">
        <x:f>IF($A228="","",IF($F228="","",IF($F228=0,0,IF(COUNTIFS($A$10:$A$89,$C228)&lt;&gt;1,"brak danych",IF(COUNTIFS($A$10:$A$89,$C228,$F$10:$F$89,"&lt;&gt;")=0,"brak danych",VLOOKUP($C228,$A$10:$J$89,6,FALSE)*$F228)))))</x:f>
      </x:c>
      <x:c r="M228" s="25" t="str">
        <x:f>IF($A228="","",IF($F228="","",IF($F228=0,0,IF(COUNTIFS($A$10:$A$89,$C228)&lt;&gt;1,"brak danych",IF(COUNTIFS($A$10:$A$89,$C228,$G$10:$G$89,"&lt;&gt;")=0,"brak danych",VLOOKUP($C228,$A$10:$J$89,7,FALSE)*$F228)))))</x:f>
      </x:c>
      <x:c r="N228" s="25" t="str">
        <x:f>IF($A228="","",IF($F228="","",IF($F228=0,0,IF(COUNTIFS($A$10:$A$89,$C228)&lt;&gt;1,"brak danych",IF(COUNTIFS($A$10:$A$89,$C228,$H$10:$H$89,"&lt;&gt;")=0,"brak danych",VLOOKUP($C228,$A$10:$J$89,8,FALSE)*$F228)))))</x:f>
      </x:c>
      <x:c r="O228" s="25" t="str">
        <x:f>IF($A228="","",IF($F228="","",IF($F228=0,0,IF(COUNTIFS($A$10:$A$89,$C228)&lt;&gt;1,"brak danych",IF(COUNTIFS($A$10:$A$89,$C228,$I$10:$I$89,"&lt;&gt;")=0,"brak danych",VLOOKUP($C228,$A$10:$J$89,9,FALSE)*$F228)))))</x:f>
      </x:c>
      <x:c r="P228" s="25" t="str">
        <x:f>IF($A228="","",IF($F228="","",IF($F228=0,0,IF(COUNTIFS($A$10:$A$89,$C228)&lt;&gt;1,"brak danych",IF(COUNTIFS($A$10:$A$89,$C228,$J$10:$J$89,"&lt;&gt;")=0,"brak danych",VLOOKUP($C228,$A$10:$J$89,10,FALSE)*$F228)))))</x:f>
      </x:c>
      <x:c r="Q228" s="18"/>
    </x:row>
    <x:row r="229" ht="25" customHeight="1">
      <x:c r="A229" s="6"/>
      <x:c r="B229" s="30"/>
      <x:c r="C229" s="5"/>
      <x:c r="D229" s="5"/>
      <x:c r="E229" s="32"/>
      <x:c r="F229" s="32"/>
      <x:c r="G229" s="24" t="str">
        <x:f>IF($A229="","",IF(AND($C229="",$E229=""),"",IF($E229="","brak danych",IF($E229=0,0,IF(COUNTIFS($A$10:$A$89,$C229)&lt;&gt;1,"brak danych",IF(COUNTIFS($A$10:$A$89,$C229,$F$10:$F$89,"&lt;&gt;")=0,"brak danych",VLOOKUP($C229,$A$10:$J$89,6,FALSE)*$E229))))))</x:f>
      </x:c>
      <x:c r="H229" s="25" t="str">
        <x:f>IF($A229="","",IF(AND($C229="",$E229=""),"",IF($E229="","brak danych",IF($E229=0,0,IF(COUNTIFS($A$10:$A$89,$C229)&lt;&gt;1,"brak danych",IF(COUNTIFS($A$10:$A$89,$C229,$G$10:$G$89,"&lt;&gt;")=0,"brak danych",VLOOKUP($C229,$A$10:$J$89,7,FALSE)*$E229))))))</x:f>
      </x:c>
      <x:c r="I229" s="25" t="str">
        <x:f>IF($A229="","",IF(AND($C229="",$E229=""),"",IF($E229="","brak danych",IF($E229=0,0,IF(COUNTIFS($A$10:$A$89,$C229)&lt;&gt;1,"brak danych",IF(COUNTIFS($A$10:$A$89,$C229,$H$10:$H$89,"&lt;&gt;")=0,"brak danych",VLOOKUP($C229,$A$10:$J$89,8,FALSE)*$E229))))))</x:f>
      </x:c>
      <x:c r="J229" s="25" t="str">
        <x:f>IF($A229="","",IF(AND($C229="",$E229=""),"",IF($E229="","brak danych",IF($E229=0,0,IF(COUNTIFS($A$10:$A$89,$C229)&lt;&gt;1,"brak danych",IF(COUNTIFS($A$10:$A$89,$C229,$I$10:$I$89,"&lt;&gt;")=0,"brak danych",VLOOKUP($C229,$A$10:$J$89,9,FALSE)*$E229))))))</x:f>
      </x:c>
      <x:c r="K229" s="25" t="str">
        <x:f>IF($A229="","",IF(AND($C229="",$E229=""),"",IF($E229="","brak danych",IF($E229=0,0,IF(COUNTIFS($A$10:$A$89,$C229)&lt;&gt;1,"brak danych",IF(COUNTIFS($A$10:$A$89,$C229,$J$10:$J$89,"&lt;&gt;")=0,"brak danych",VLOOKUP($C229,$A$10:$J$89,10,FALSE)*$E229))))))</x:f>
      </x:c>
      <x:c r="L229" s="24" t="str">
        <x:f>IF($A229="","",IF($F229="","",IF($F229=0,0,IF(COUNTIFS($A$10:$A$89,$C229)&lt;&gt;1,"brak danych",IF(COUNTIFS($A$10:$A$89,$C229,$F$10:$F$89,"&lt;&gt;")=0,"brak danych",VLOOKUP($C229,$A$10:$J$89,6,FALSE)*$F229)))))</x:f>
      </x:c>
      <x:c r="M229" s="25" t="str">
        <x:f>IF($A229="","",IF($F229="","",IF($F229=0,0,IF(COUNTIFS($A$10:$A$89,$C229)&lt;&gt;1,"brak danych",IF(COUNTIFS($A$10:$A$89,$C229,$G$10:$G$89,"&lt;&gt;")=0,"brak danych",VLOOKUP($C229,$A$10:$J$89,7,FALSE)*$F229)))))</x:f>
      </x:c>
      <x:c r="N229" s="25" t="str">
        <x:f>IF($A229="","",IF($F229="","",IF($F229=0,0,IF(COUNTIFS($A$10:$A$89,$C229)&lt;&gt;1,"brak danych",IF(COUNTIFS($A$10:$A$89,$C229,$H$10:$H$89,"&lt;&gt;")=0,"brak danych",VLOOKUP($C229,$A$10:$J$89,8,FALSE)*$F229)))))</x:f>
      </x:c>
      <x:c r="O229" s="25" t="str">
        <x:f>IF($A229="","",IF($F229="","",IF($F229=0,0,IF(COUNTIFS($A$10:$A$89,$C229)&lt;&gt;1,"brak danych",IF(COUNTIFS($A$10:$A$89,$C229,$I$10:$I$89,"&lt;&gt;")=0,"brak danych",VLOOKUP($C229,$A$10:$J$89,9,FALSE)*$F229)))))</x:f>
      </x:c>
      <x:c r="P229" s="25" t="str">
        <x:f>IF($A229="","",IF($F229="","",IF($F229=0,0,IF(COUNTIFS($A$10:$A$89,$C229)&lt;&gt;1,"brak danych",IF(COUNTIFS($A$10:$A$89,$C229,$J$10:$J$89,"&lt;&gt;")=0,"brak danych",VLOOKUP($C229,$A$10:$J$89,10,FALSE)*$F229)))))</x:f>
      </x:c>
      <x:c r="Q229" s="18"/>
    </x:row>
    <x:row r="230" ht="25" customHeight="1">
      <x:c r="A230" s="6"/>
      <x:c r="B230" s="30"/>
      <x:c r="C230" s="5"/>
      <x:c r="D230" s="5"/>
      <x:c r="E230" s="32"/>
      <x:c r="F230" s="32"/>
      <x:c r="G230" s="24" t="str">
        <x:f>IF($A230="","",IF(AND($C230="",$E230=""),"",IF($E230="","brak danych",IF($E230=0,0,IF(COUNTIFS($A$10:$A$89,$C230)&lt;&gt;1,"brak danych",IF(COUNTIFS($A$10:$A$89,$C230,$F$10:$F$89,"&lt;&gt;")=0,"brak danych",VLOOKUP($C230,$A$10:$J$89,6,FALSE)*$E230))))))</x:f>
      </x:c>
      <x:c r="H230" s="25" t="str">
        <x:f>IF($A230="","",IF(AND($C230="",$E230=""),"",IF($E230="","brak danych",IF($E230=0,0,IF(COUNTIFS($A$10:$A$89,$C230)&lt;&gt;1,"brak danych",IF(COUNTIFS($A$10:$A$89,$C230,$G$10:$G$89,"&lt;&gt;")=0,"brak danych",VLOOKUP($C230,$A$10:$J$89,7,FALSE)*$E230))))))</x:f>
      </x:c>
      <x:c r="I230" s="25" t="str">
        <x:f>IF($A230="","",IF(AND($C230="",$E230=""),"",IF($E230="","brak danych",IF($E230=0,0,IF(COUNTIFS($A$10:$A$89,$C230)&lt;&gt;1,"brak danych",IF(COUNTIFS($A$10:$A$89,$C230,$H$10:$H$89,"&lt;&gt;")=0,"brak danych",VLOOKUP($C230,$A$10:$J$89,8,FALSE)*$E230))))))</x:f>
      </x:c>
      <x:c r="J230" s="25" t="str">
        <x:f>IF($A230="","",IF(AND($C230="",$E230=""),"",IF($E230="","brak danych",IF($E230=0,0,IF(COUNTIFS($A$10:$A$89,$C230)&lt;&gt;1,"brak danych",IF(COUNTIFS($A$10:$A$89,$C230,$I$10:$I$89,"&lt;&gt;")=0,"brak danych",VLOOKUP($C230,$A$10:$J$89,9,FALSE)*$E230))))))</x:f>
      </x:c>
      <x:c r="K230" s="25" t="str">
        <x:f>IF($A230="","",IF(AND($C230="",$E230=""),"",IF($E230="","brak danych",IF($E230=0,0,IF(COUNTIFS($A$10:$A$89,$C230)&lt;&gt;1,"brak danych",IF(COUNTIFS($A$10:$A$89,$C230,$J$10:$J$89,"&lt;&gt;")=0,"brak danych",VLOOKUP($C230,$A$10:$J$89,10,FALSE)*$E230))))))</x:f>
      </x:c>
      <x:c r="L230" s="24" t="str">
        <x:f>IF($A230="","",IF($F230="","",IF($F230=0,0,IF(COUNTIFS($A$10:$A$89,$C230)&lt;&gt;1,"brak danych",IF(COUNTIFS($A$10:$A$89,$C230,$F$10:$F$89,"&lt;&gt;")=0,"brak danych",VLOOKUP($C230,$A$10:$J$89,6,FALSE)*$F230)))))</x:f>
      </x:c>
      <x:c r="M230" s="25" t="str">
        <x:f>IF($A230="","",IF($F230="","",IF($F230=0,0,IF(COUNTIFS($A$10:$A$89,$C230)&lt;&gt;1,"brak danych",IF(COUNTIFS($A$10:$A$89,$C230,$G$10:$G$89,"&lt;&gt;")=0,"brak danych",VLOOKUP($C230,$A$10:$J$89,7,FALSE)*$F230)))))</x:f>
      </x:c>
      <x:c r="N230" s="25" t="str">
        <x:f>IF($A230="","",IF($F230="","",IF($F230=0,0,IF(COUNTIFS($A$10:$A$89,$C230)&lt;&gt;1,"brak danych",IF(COUNTIFS($A$10:$A$89,$C230,$H$10:$H$89,"&lt;&gt;")=0,"brak danych",VLOOKUP($C230,$A$10:$J$89,8,FALSE)*$F230)))))</x:f>
      </x:c>
      <x:c r="O230" s="25" t="str">
        <x:f>IF($A230="","",IF($F230="","",IF($F230=0,0,IF(COUNTIFS($A$10:$A$89,$C230)&lt;&gt;1,"brak danych",IF(COUNTIFS($A$10:$A$89,$C230,$I$10:$I$89,"&lt;&gt;")=0,"brak danych",VLOOKUP($C230,$A$10:$J$89,9,FALSE)*$F230)))))</x:f>
      </x:c>
      <x:c r="P230" s="25" t="str">
        <x:f>IF($A230="","",IF($F230="","",IF($F230=0,0,IF(COUNTIFS($A$10:$A$89,$C230)&lt;&gt;1,"brak danych",IF(COUNTIFS($A$10:$A$89,$C230,$J$10:$J$89,"&lt;&gt;")=0,"brak danych",VLOOKUP($C230,$A$10:$J$89,10,FALSE)*$F230)))))</x:f>
      </x:c>
      <x:c r="Q230" s="18"/>
    </x:row>
    <x:row r="231" ht="25" customHeight="1">
      <x:c r="A231" s="6"/>
      <x:c r="B231" s="30"/>
      <x:c r="C231" s="5"/>
      <x:c r="D231" s="5"/>
      <x:c r="E231" s="32"/>
      <x:c r="F231" s="32"/>
      <x:c r="G231" s="24" t="str">
        <x:f>IF($A231="","",IF(AND($C231="",$E231=""),"",IF($E231="","brak danych",IF($E231=0,0,IF(COUNTIFS($A$10:$A$89,$C231)&lt;&gt;1,"brak danych",IF(COUNTIFS($A$10:$A$89,$C231,$F$10:$F$89,"&lt;&gt;")=0,"brak danych",VLOOKUP($C231,$A$10:$J$89,6,FALSE)*$E231))))))</x:f>
      </x:c>
      <x:c r="H231" s="25" t="str">
        <x:f>IF($A231="","",IF(AND($C231="",$E231=""),"",IF($E231="","brak danych",IF($E231=0,0,IF(COUNTIFS($A$10:$A$89,$C231)&lt;&gt;1,"brak danych",IF(COUNTIFS($A$10:$A$89,$C231,$G$10:$G$89,"&lt;&gt;")=0,"brak danych",VLOOKUP($C231,$A$10:$J$89,7,FALSE)*$E231))))))</x:f>
      </x:c>
      <x:c r="I231" s="25" t="str">
        <x:f>IF($A231="","",IF(AND($C231="",$E231=""),"",IF($E231="","brak danych",IF($E231=0,0,IF(COUNTIFS($A$10:$A$89,$C231)&lt;&gt;1,"brak danych",IF(COUNTIFS($A$10:$A$89,$C231,$H$10:$H$89,"&lt;&gt;")=0,"brak danych",VLOOKUP($C231,$A$10:$J$89,8,FALSE)*$E231))))))</x:f>
      </x:c>
      <x:c r="J231" s="25" t="str">
        <x:f>IF($A231="","",IF(AND($C231="",$E231=""),"",IF($E231="","brak danych",IF($E231=0,0,IF(COUNTIFS($A$10:$A$89,$C231)&lt;&gt;1,"brak danych",IF(COUNTIFS($A$10:$A$89,$C231,$I$10:$I$89,"&lt;&gt;")=0,"brak danych",VLOOKUP($C231,$A$10:$J$89,9,FALSE)*$E231))))))</x:f>
      </x:c>
      <x:c r="K231" s="25" t="str">
        <x:f>IF($A231="","",IF(AND($C231="",$E231=""),"",IF($E231="","brak danych",IF($E231=0,0,IF(COUNTIFS($A$10:$A$89,$C231)&lt;&gt;1,"brak danych",IF(COUNTIFS($A$10:$A$89,$C231,$J$10:$J$89,"&lt;&gt;")=0,"brak danych",VLOOKUP($C231,$A$10:$J$89,10,FALSE)*$E231))))))</x:f>
      </x:c>
      <x:c r="L231" s="24" t="str">
        <x:f>IF($A231="","",IF($F231="","",IF($F231=0,0,IF(COUNTIFS($A$10:$A$89,$C231)&lt;&gt;1,"brak danych",IF(COUNTIFS($A$10:$A$89,$C231,$F$10:$F$89,"&lt;&gt;")=0,"brak danych",VLOOKUP($C231,$A$10:$J$89,6,FALSE)*$F231)))))</x:f>
      </x:c>
      <x:c r="M231" s="25" t="str">
        <x:f>IF($A231="","",IF($F231="","",IF($F231=0,0,IF(COUNTIFS($A$10:$A$89,$C231)&lt;&gt;1,"brak danych",IF(COUNTIFS($A$10:$A$89,$C231,$G$10:$G$89,"&lt;&gt;")=0,"brak danych",VLOOKUP($C231,$A$10:$J$89,7,FALSE)*$F231)))))</x:f>
      </x:c>
      <x:c r="N231" s="25" t="str">
        <x:f>IF($A231="","",IF($F231="","",IF($F231=0,0,IF(COUNTIFS($A$10:$A$89,$C231)&lt;&gt;1,"brak danych",IF(COUNTIFS($A$10:$A$89,$C231,$H$10:$H$89,"&lt;&gt;")=0,"brak danych",VLOOKUP($C231,$A$10:$J$89,8,FALSE)*$F231)))))</x:f>
      </x:c>
      <x:c r="O231" s="25" t="str">
        <x:f>IF($A231="","",IF($F231="","",IF($F231=0,0,IF(COUNTIFS($A$10:$A$89,$C231)&lt;&gt;1,"brak danych",IF(COUNTIFS($A$10:$A$89,$C231,$I$10:$I$89,"&lt;&gt;")=0,"brak danych",VLOOKUP($C231,$A$10:$J$89,9,FALSE)*$F231)))))</x:f>
      </x:c>
      <x:c r="P231" s="25" t="str">
        <x:f>IF($A231="","",IF($F231="","",IF($F231=0,0,IF(COUNTIFS($A$10:$A$89,$C231)&lt;&gt;1,"brak danych",IF(COUNTIFS($A$10:$A$89,$C231,$J$10:$J$89,"&lt;&gt;")=0,"brak danych",VLOOKUP($C231,$A$10:$J$89,10,FALSE)*$F231)))))</x:f>
      </x:c>
      <x:c r="Q231" s="18"/>
    </x:row>
    <x:row r="232" ht="25" customHeight="1">
      <x:c r="A232" s="6"/>
      <x:c r="B232" s="30"/>
      <x:c r="C232" s="5"/>
      <x:c r="D232" s="5"/>
      <x:c r="E232" s="32"/>
      <x:c r="F232" s="32"/>
      <x:c r="G232" s="24" t="str">
        <x:f>IF($A232="","",IF(AND($C232="",$E232=""),"",IF($E232="","brak danych",IF($E232=0,0,IF(COUNTIFS($A$10:$A$89,$C232)&lt;&gt;1,"brak danych",IF(COUNTIFS($A$10:$A$89,$C232,$F$10:$F$89,"&lt;&gt;")=0,"brak danych",VLOOKUP($C232,$A$10:$J$89,6,FALSE)*$E232))))))</x:f>
      </x:c>
      <x:c r="H232" s="25" t="str">
        <x:f>IF($A232="","",IF(AND($C232="",$E232=""),"",IF($E232="","brak danych",IF($E232=0,0,IF(COUNTIFS($A$10:$A$89,$C232)&lt;&gt;1,"brak danych",IF(COUNTIFS($A$10:$A$89,$C232,$G$10:$G$89,"&lt;&gt;")=0,"brak danych",VLOOKUP($C232,$A$10:$J$89,7,FALSE)*$E232))))))</x:f>
      </x:c>
      <x:c r="I232" s="25" t="str">
        <x:f>IF($A232="","",IF(AND($C232="",$E232=""),"",IF($E232="","brak danych",IF($E232=0,0,IF(COUNTIFS($A$10:$A$89,$C232)&lt;&gt;1,"brak danych",IF(COUNTIFS($A$10:$A$89,$C232,$H$10:$H$89,"&lt;&gt;")=0,"brak danych",VLOOKUP($C232,$A$10:$J$89,8,FALSE)*$E232))))))</x:f>
      </x:c>
      <x:c r="J232" s="25" t="str">
        <x:f>IF($A232="","",IF(AND($C232="",$E232=""),"",IF($E232="","brak danych",IF($E232=0,0,IF(COUNTIFS($A$10:$A$89,$C232)&lt;&gt;1,"brak danych",IF(COUNTIFS($A$10:$A$89,$C232,$I$10:$I$89,"&lt;&gt;")=0,"brak danych",VLOOKUP($C232,$A$10:$J$89,9,FALSE)*$E232))))))</x:f>
      </x:c>
      <x:c r="K232" s="25" t="str">
        <x:f>IF($A232="","",IF(AND($C232="",$E232=""),"",IF($E232="","brak danych",IF($E232=0,0,IF(COUNTIFS($A$10:$A$89,$C232)&lt;&gt;1,"brak danych",IF(COUNTIFS($A$10:$A$89,$C232,$J$10:$J$89,"&lt;&gt;")=0,"brak danych",VLOOKUP($C232,$A$10:$J$89,10,FALSE)*$E232))))))</x:f>
      </x:c>
      <x:c r="L232" s="24" t="str">
        <x:f>IF($A232="","",IF($F232="","",IF($F232=0,0,IF(COUNTIFS($A$10:$A$89,$C232)&lt;&gt;1,"brak danych",IF(COUNTIFS($A$10:$A$89,$C232,$F$10:$F$89,"&lt;&gt;")=0,"brak danych",VLOOKUP($C232,$A$10:$J$89,6,FALSE)*$F232)))))</x:f>
      </x:c>
      <x:c r="M232" s="25" t="str">
        <x:f>IF($A232="","",IF($F232="","",IF($F232=0,0,IF(COUNTIFS($A$10:$A$89,$C232)&lt;&gt;1,"brak danych",IF(COUNTIFS($A$10:$A$89,$C232,$G$10:$G$89,"&lt;&gt;")=0,"brak danych",VLOOKUP($C232,$A$10:$J$89,7,FALSE)*$F232)))))</x:f>
      </x:c>
      <x:c r="N232" s="25" t="str">
        <x:f>IF($A232="","",IF($F232="","",IF($F232=0,0,IF(COUNTIFS($A$10:$A$89,$C232)&lt;&gt;1,"brak danych",IF(COUNTIFS($A$10:$A$89,$C232,$H$10:$H$89,"&lt;&gt;")=0,"brak danych",VLOOKUP($C232,$A$10:$J$89,8,FALSE)*$F232)))))</x:f>
      </x:c>
      <x:c r="O232" s="25" t="str">
        <x:f>IF($A232="","",IF($F232="","",IF($F232=0,0,IF(COUNTIFS($A$10:$A$89,$C232)&lt;&gt;1,"brak danych",IF(COUNTIFS($A$10:$A$89,$C232,$I$10:$I$89,"&lt;&gt;")=0,"brak danych",VLOOKUP($C232,$A$10:$J$89,9,FALSE)*$F232)))))</x:f>
      </x:c>
      <x:c r="P232" s="25" t="str">
        <x:f>IF($A232="","",IF($F232="","",IF($F232=0,0,IF(COUNTIFS($A$10:$A$89,$C232)&lt;&gt;1,"brak danych",IF(COUNTIFS($A$10:$A$89,$C232,$J$10:$J$89,"&lt;&gt;")=0,"brak danych",VLOOKUP($C232,$A$10:$J$89,10,FALSE)*$F232)))))</x:f>
      </x:c>
      <x:c r="Q232" s="18"/>
    </x:row>
    <x:row r="233" ht="25" customHeight="1">
      <x:c r="A233" s="6"/>
      <x:c r="B233" s="30"/>
      <x:c r="C233" s="5"/>
      <x:c r="D233" s="5"/>
      <x:c r="E233" s="32"/>
      <x:c r="F233" s="32"/>
      <x:c r="G233" s="24" t="str">
        <x:f>IF($A233="","",IF(AND($C233="",$E233=""),"",IF($E233="","brak danych",IF($E233=0,0,IF(COUNTIFS($A$10:$A$89,$C233)&lt;&gt;1,"brak danych",IF(COUNTIFS($A$10:$A$89,$C233,$F$10:$F$89,"&lt;&gt;")=0,"brak danych",VLOOKUP($C233,$A$10:$J$89,6,FALSE)*$E233))))))</x:f>
      </x:c>
      <x:c r="H233" s="25" t="str">
        <x:f>IF($A233="","",IF(AND($C233="",$E233=""),"",IF($E233="","brak danych",IF($E233=0,0,IF(COUNTIFS($A$10:$A$89,$C233)&lt;&gt;1,"brak danych",IF(COUNTIFS($A$10:$A$89,$C233,$G$10:$G$89,"&lt;&gt;")=0,"brak danych",VLOOKUP($C233,$A$10:$J$89,7,FALSE)*$E233))))))</x:f>
      </x:c>
      <x:c r="I233" s="25" t="str">
        <x:f>IF($A233="","",IF(AND($C233="",$E233=""),"",IF($E233="","brak danych",IF($E233=0,0,IF(COUNTIFS($A$10:$A$89,$C233)&lt;&gt;1,"brak danych",IF(COUNTIFS($A$10:$A$89,$C233,$H$10:$H$89,"&lt;&gt;")=0,"brak danych",VLOOKUP($C233,$A$10:$J$89,8,FALSE)*$E233))))))</x:f>
      </x:c>
      <x:c r="J233" s="25" t="str">
        <x:f>IF($A233="","",IF(AND($C233="",$E233=""),"",IF($E233="","brak danych",IF($E233=0,0,IF(COUNTIFS($A$10:$A$89,$C233)&lt;&gt;1,"brak danych",IF(COUNTIFS($A$10:$A$89,$C233,$I$10:$I$89,"&lt;&gt;")=0,"brak danych",VLOOKUP($C233,$A$10:$J$89,9,FALSE)*$E233))))))</x:f>
      </x:c>
      <x:c r="K233" s="25" t="str">
        <x:f>IF($A233="","",IF(AND($C233="",$E233=""),"",IF($E233="","brak danych",IF($E233=0,0,IF(COUNTIFS($A$10:$A$89,$C233)&lt;&gt;1,"brak danych",IF(COUNTIFS($A$10:$A$89,$C233,$J$10:$J$89,"&lt;&gt;")=0,"brak danych",VLOOKUP($C233,$A$10:$J$89,10,FALSE)*$E233))))))</x:f>
      </x:c>
      <x:c r="L233" s="24" t="str">
        <x:f>IF($A233="","",IF($F233="","",IF($F233=0,0,IF(COUNTIFS($A$10:$A$89,$C233)&lt;&gt;1,"brak danych",IF(COUNTIFS($A$10:$A$89,$C233,$F$10:$F$89,"&lt;&gt;")=0,"brak danych",VLOOKUP($C233,$A$10:$J$89,6,FALSE)*$F233)))))</x:f>
      </x:c>
      <x:c r="M233" s="25" t="str">
        <x:f>IF($A233="","",IF($F233="","",IF($F233=0,0,IF(COUNTIFS($A$10:$A$89,$C233)&lt;&gt;1,"brak danych",IF(COUNTIFS($A$10:$A$89,$C233,$G$10:$G$89,"&lt;&gt;")=0,"brak danych",VLOOKUP($C233,$A$10:$J$89,7,FALSE)*$F233)))))</x:f>
      </x:c>
      <x:c r="N233" s="25" t="str">
        <x:f>IF($A233="","",IF($F233="","",IF($F233=0,0,IF(COUNTIFS($A$10:$A$89,$C233)&lt;&gt;1,"brak danych",IF(COUNTIFS($A$10:$A$89,$C233,$H$10:$H$89,"&lt;&gt;")=0,"brak danych",VLOOKUP($C233,$A$10:$J$89,8,FALSE)*$F233)))))</x:f>
      </x:c>
      <x:c r="O233" s="25" t="str">
        <x:f>IF($A233="","",IF($F233="","",IF($F233=0,0,IF(COUNTIFS($A$10:$A$89,$C233)&lt;&gt;1,"brak danych",IF(COUNTIFS($A$10:$A$89,$C233,$I$10:$I$89,"&lt;&gt;")=0,"brak danych",VLOOKUP($C233,$A$10:$J$89,9,FALSE)*$F233)))))</x:f>
      </x:c>
      <x:c r="P233" s="25" t="str">
        <x:f>IF($A233="","",IF($F233="","",IF($F233=0,0,IF(COUNTIFS($A$10:$A$89,$C233)&lt;&gt;1,"brak danych",IF(COUNTIFS($A$10:$A$89,$C233,$J$10:$J$89,"&lt;&gt;")=0,"brak danych",VLOOKUP($C233,$A$10:$J$89,10,FALSE)*$F233)))))</x:f>
      </x:c>
      <x:c r="Q233" s="18"/>
    </x:row>
    <x:row r="234" ht="25" customHeight="1">
      <x:c r="A234" s="6"/>
      <x:c r="B234" s="30"/>
      <x:c r="C234" s="5"/>
      <x:c r="D234" s="5"/>
      <x:c r="E234" s="32"/>
      <x:c r="F234" s="32"/>
      <x:c r="G234" s="24" t="str">
        <x:f>IF($A234="","",IF(AND($C234="",$E234=""),"",IF($E234="","brak danych",IF($E234=0,0,IF(COUNTIFS($A$10:$A$89,$C234)&lt;&gt;1,"brak danych",IF(COUNTIFS($A$10:$A$89,$C234,$F$10:$F$89,"&lt;&gt;")=0,"brak danych",VLOOKUP($C234,$A$10:$J$89,6,FALSE)*$E234))))))</x:f>
      </x:c>
      <x:c r="H234" s="25" t="str">
        <x:f>IF($A234="","",IF(AND($C234="",$E234=""),"",IF($E234="","brak danych",IF($E234=0,0,IF(COUNTIFS($A$10:$A$89,$C234)&lt;&gt;1,"brak danych",IF(COUNTIFS($A$10:$A$89,$C234,$G$10:$G$89,"&lt;&gt;")=0,"brak danych",VLOOKUP($C234,$A$10:$J$89,7,FALSE)*$E234))))))</x:f>
      </x:c>
      <x:c r="I234" s="25" t="str">
        <x:f>IF($A234="","",IF(AND($C234="",$E234=""),"",IF($E234="","brak danych",IF($E234=0,0,IF(COUNTIFS($A$10:$A$89,$C234)&lt;&gt;1,"brak danych",IF(COUNTIFS($A$10:$A$89,$C234,$H$10:$H$89,"&lt;&gt;")=0,"brak danych",VLOOKUP($C234,$A$10:$J$89,8,FALSE)*$E234))))))</x:f>
      </x:c>
      <x:c r="J234" s="25" t="str">
        <x:f>IF($A234="","",IF(AND($C234="",$E234=""),"",IF($E234="","brak danych",IF($E234=0,0,IF(COUNTIFS($A$10:$A$89,$C234)&lt;&gt;1,"brak danych",IF(COUNTIFS($A$10:$A$89,$C234,$I$10:$I$89,"&lt;&gt;")=0,"brak danych",VLOOKUP($C234,$A$10:$J$89,9,FALSE)*$E234))))))</x:f>
      </x:c>
      <x:c r="K234" s="25" t="str">
        <x:f>IF($A234="","",IF(AND($C234="",$E234=""),"",IF($E234="","brak danych",IF($E234=0,0,IF(COUNTIFS($A$10:$A$89,$C234)&lt;&gt;1,"brak danych",IF(COUNTIFS($A$10:$A$89,$C234,$J$10:$J$89,"&lt;&gt;")=0,"brak danych",VLOOKUP($C234,$A$10:$J$89,10,FALSE)*$E234))))))</x:f>
      </x:c>
      <x:c r="L234" s="24" t="str">
        <x:f>IF($A234="","",IF($F234="","",IF($F234=0,0,IF(COUNTIFS($A$10:$A$89,$C234)&lt;&gt;1,"brak danych",IF(COUNTIFS($A$10:$A$89,$C234,$F$10:$F$89,"&lt;&gt;")=0,"brak danych",VLOOKUP($C234,$A$10:$J$89,6,FALSE)*$F234)))))</x:f>
      </x:c>
      <x:c r="M234" s="25" t="str">
        <x:f>IF($A234="","",IF($F234="","",IF($F234=0,0,IF(COUNTIFS($A$10:$A$89,$C234)&lt;&gt;1,"brak danych",IF(COUNTIFS($A$10:$A$89,$C234,$G$10:$G$89,"&lt;&gt;")=0,"brak danych",VLOOKUP($C234,$A$10:$J$89,7,FALSE)*$F234)))))</x:f>
      </x:c>
      <x:c r="N234" s="25" t="str">
        <x:f>IF($A234="","",IF($F234="","",IF($F234=0,0,IF(COUNTIFS($A$10:$A$89,$C234)&lt;&gt;1,"brak danych",IF(COUNTIFS($A$10:$A$89,$C234,$H$10:$H$89,"&lt;&gt;")=0,"brak danych",VLOOKUP($C234,$A$10:$J$89,8,FALSE)*$F234)))))</x:f>
      </x:c>
      <x:c r="O234" s="25" t="str">
        <x:f>IF($A234="","",IF($F234="","",IF($F234=0,0,IF(COUNTIFS($A$10:$A$89,$C234)&lt;&gt;1,"brak danych",IF(COUNTIFS($A$10:$A$89,$C234,$I$10:$I$89,"&lt;&gt;")=0,"brak danych",VLOOKUP($C234,$A$10:$J$89,9,FALSE)*$F234)))))</x:f>
      </x:c>
      <x:c r="P234" s="25" t="str">
        <x:f>IF($A234="","",IF($F234="","",IF($F234=0,0,IF(COUNTIFS($A$10:$A$89,$C234)&lt;&gt;1,"brak danych",IF(COUNTIFS($A$10:$A$89,$C234,$J$10:$J$89,"&lt;&gt;")=0,"brak danych",VLOOKUP($C234,$A$10:$J$89,10,FALSE)*$F234)))))</x:f>
      </x:c>
      <x:c r="Q234" s="18"/>
    </x:row>
    <x:row r="235" ht="25" customHeight="1">
      <x:c r="A235" s="6"/>
      <x:c r="B235" s="30"/>
      <x:c r="C235" s="5"/>
      <x:c r="D235" s="5"/>
      <x:c r="E235" s="32"/>
      <x:c r="F235" s="32"/>
      <x:c r="G235" s="24" t="str">
        <x:f>IF($A235="","",IF(AND($C235="",$E235=""),"",IF($E235="","brak danych",IF($E235=0,0,IF(COUNTIFS($A$10:$A$89,$C235)&lt;&gt;1,"brak danych",IF(COUNTIFS($A$10:$A$89,$C235,$F$10:$F$89,"&lt;&gt;")=0,"brak danych",VLOOKUP($C235,$A$10:$J$89,6,FALSE)*$E235))))))</x:f>
      </x:c>
      <x:c r="H235" s="25" t="str">
        <x:f>IF($A235="","",IF(AND($C235="",$E235=""),"",IF($E235="","brak danych",IF($E235=0,0,IF(COUNTIFS($A$10:$A$89,$C235)&lt;&gt;1,"brak danych",IF(COUNTIFS($A$10:$A$89,$C235,$G$10:$G$89,"&lt;&gt;")=0,"brak danych",VLOOKUP($C235,$A$10:$J$89,7,FALSE)*$E235))))))</x:f>
      </x:c>
      <x:c r="I235" s="25" t="str">
        <x:f>IF($A235="","",IF(AND($C235="",$E235=""),"",IF($E235="","brak danych",IF($E235=0,0,IF(COUNTIFS($A$10:$A$89,$C235)&lt;&gt;1,"brak danych",IF(COUNTIFS($A$10:$A$89,$C235,$H$10:$H$89,"&lt;&gt;")=0,"brak danych",VLOOKUP($C235,$A$10:$J$89,8,FALSE)*$E235))))))</x:f>
      </x:c>
      <x:c r="J235" s="25" t="str">
        <x:f>IF($A235="","",IF(AND($C235="",$E235=""),"",IF($E235="","brak danych",IF($E235=0,0,IF(COUNTIFS($A$10:$A$89,$C235)&lt;&gt;1,"brak danych",IF(COUNTIFS($A$10:$A$89,$C235,$I$10:$I$89,"&lt;&gt;")=0,"brak danych",VLOOKUP($C235,$A$10:$J$89,9,FALSE)*$E235))))))</x:f>
      </x:c>
      <x:c r="K235" s="25" t="str">
        <x:f>IF($A235="","",IF(AND($C235="",$E235=""),"",IF($E235="","brak danych",IF($E235=0,0,IF(COUNTIFS($A$10:$A$89,$C235)&lt;&gt;1,"brak danych",IF(COUNTIFS($A$10:$A$89,$C235,$J$10:$J$89,"&lt;&gt;")=0,"brak danych",VLOOKUP($C235,$A$10:$J$89,10,FALSE)*$E235))))))</x:f>
      </x:c>
      <x:c r="L235" s="24" t="str">
        <x:f>IF($A235="","",IF($F235="","",IF($F235=0,0,IF(COUNTIFS($A$10:$A$89,$C235)&lt;&gt;1,"brak danych",IF(COUNTIFS($A$10:$A$89,$C235,$F$10:$F$89,"&lt;&gt;")=0,"brak danych",VLOOKUP($C235,$A$10:$J$89,6,FALSE)*$F235)))))</x:f>
      </x:c>
      <x:c r="M235" s="25" t="str">
        <x:f>IF($A235="","",IF($F235="","",IF($F235=0,0,IF(COUNTIFS($A$10:$A$89,$C235)&lt;&gt;1,"brak danych",IF(COUNTIFS($A$10:$A$89,$C235,$G$10:$G$89,"&lt;&gt;")=0,"brak danych",VLOOKUP($C235,$A$10:$J$89,7,FALSE)*$F235)))))</x:f>
      </x:c>
      <x:c r="N235" s="25" t="str">
        <x:f>IF($A235="","",IF($F235="","",IF($F235=0,0,IF(COUNTIFS($A$10:$A$89,$C235)&lt;&gt;1,"brak danych",IF(COUNTIFS($A$10:$A$89,$C235,$H$10:$H$89,"&lt;&gt;")=0,"brak danych",VLOOKUP($C235,$A$10:$J$89,8,FALSE)*$F235)))))</x:f>
      </x:c>
      <x:c r="O235" s="25" t="str">
        <x:f>IF($A235="","",IF($F235="","",IF($F235=0,0,IF(COUNTIFS($A$10:$A$89,$C235)&lt;&gt;1,"brak danych",IF(COUNTIFS($A$10:$A$89,$C235,$I$10:$I$89,"&lt;&gt;")=0,"brak danych",VLOOKUP($C235,$A$10:$J$89,9,FALSE)*$F235)))))</x:f>
      </x:c>
      <x:c r="P235" s="25" t="str">
        <x:f>IF($A235="","",IF($F235="","",IF($F235=0,0,IF(COUNTIFS($A$10:$A$89,$C235)&lt;&gt;1,"brak danych",IF(COUNTIFS($A$10:$A$89,$C235,$J$10:$J$89,"&lt;&gt;")=0,"brak danych",VLOOKUP($C235,$A$10:$J$89,10,FALSE)*$F235)))))</x:f>
      </x:c>
      <x:c r="Q235" s="18"/>
    </x:row>
    <x:row r="236" ht="25" customHeight="1">
      <x:c r="A236" s="6"/>
      <x:c r="B236" s="30"/>
      <x:c r="C236" s="5"/>
      <x:c r="D236" s="5"/>
      <x:c r="E236" s="32"/>
      <x:c r="F236" s="32"/>
      <x:c r="G236" s="24" t="str">
        <x:f>IF($A236="","",IF(AND($C236="",$E236=""),"",IF($E236="","brak danych",IF($E236=0,0,IF(COUNTIFS($A$10:$A$89,$C236)&lt;&gt;1,"brak danych",IF(COUNTIFS($A$10:$A$89,$C236,$F$10:$F$89,"&lt;&gt;")=0,"brak danych",VLOOKUP($C236,$A$10:$J$89,6,FALSE)*$E236))))))</x:f>
      </x:c>
      <x:c r="H236" s="25" t="str">
        <x:f>IF($A236="","",IF(AND($C236="",$E236=""),"",IF($E236="","brak danych",IF($E236=0,0,IF(COUNTIFS($A$10:$A$89,$C236)&lt;&gt;1,"brak danych",IF(COUNTIFS($A$10:$A$89,$C236,$G$10:$G$89,"&lt;&gt;")=0,"brak danych",VLOOKUP($C236,$A$10:$J$89,7,FALSE)*$E236))))))</x:f>
      </x:c>
      <x:c r="I236" s="25" t="str">
        <x:f>IF($A236="","",IF(AND($C236="",$E236=""),"",IF($E236="","brak danych",IF($E236=0,0,IF(COUNTIFS($A$10:$A$89,$C236)&lt;&gt;1,"brak danych",IF(COUNTIFS($A$10:$A$89,$C236,$H$10:$H$89,"&lt;&gt;")=0,"brak danych",VLOOKUP($C236,$A$10:$J$89,8,FALSE)*$E236))))))</x:f>
      </x:c>
      <x:c r="J236" s="25" t="str">
        <x:f>IF($A236="","",IF(AND($C236="",$E236=""),"",IF($E236="","brak danych",IF($E236=0,0,IF(COUNTIFS($A$10:$A$89,$C236)&lt;&gt;1,"brak danych",IF(COUNTIFS($A$10:$A$89,$C236,$I$10:$I$89,"&lt;&gt;")=0,"brak danych",VLOOKUP($C236,$A$10:$J$89,9,FALSE)*$E236))))))</x:f>
      </x:c>
      <x:c r="K236" s="25" t="str">
        <x:f>IF($A236="","",IF(AND($C236="",$E236=""),"",IF($E236="","brak danych",IF($E236=0,0,IF(COUNTIFS($A$10:$A$89,$C236)&lt;&gt;1,"brak danych",IF(COUNTIFS($A$10:$A$89,$C236,$J$10:$J$89,"&lt;&gt;")=0,"brak danych",VLOOKUP($C236,$A$10:$J$89,10,FALSE)*$E236))))))</x:f>
      </x:c>
      <x:c r="L236" s="24" t="str">
        <x:f>IF($A236="","",IF($F236="","",IF($F236=0,0,IF(COUNTIFS($A$10:$A$89,$C236)&lt;&gt;1,"brak danych",IF(COUNTIFS($A$10:$A$89,$C236,$F$10:$F$89,"&lt;&gt;")=0,"brak danych",VLOOKUP($C236,$A$10:$J$89,6,FALSE)*$F236)))))</x:f>
      </x:c>
      <x:c r="M236" s="25" t="str">
        <x:f>IF($A236="","",IF($F236="","",IF($F236=0,0,IF(COUNTIFS($A$10:$A$89,$C236)&lt;&gt;1,"brak danych",IF(COUNTIFS($A$10:$A$89,$C236,$G$10:$G$89,"&lt;&gt;")=0,"brak danych",VLOOKUP($C236,$A$10:$J$89,7,FALSE)*$F236)))))</x:f>
      </x:c>
      <x:c r="N236" s="25" t="str">
        <x:f>IF($A236="","",IF($F236="","",IF($F236=0,0,IF(COUNTIFS($A$10:$A$89,$C236)&lt;&gt;1,"brak danych",IF(COUNTIFS($A$10:$A$89,$C236,$H$10:$H$89,"&lt;&gt;")=0,"brak danych",VLOOKUP($C236,$A$10:$J$89,8,FALSE)*$F236)))))</x:f>
      </x:c>
      <x:c r="O236" s="25" t="str">
        <x:f>IF($A236="","",IF($F236="","",IF($F236=0,0,IF(COUNTIFS($A$10:$A$89,$C236)&lt;&gt;1,"brak danych",IF(COUNTIFS($A$10:$A$89,$C236,$I$10:$I$89,"&lt;&gt;")=0,"brak danych",VLOOKUP($C236,$A$10:$J$89,9,FALSE)*$F236)))))</x:f>
      </x:c>
      <x:c r="P236" s="25" t="str">
        <x:f>IF($A236="","",IF($F236="","",IF($F236=0,0,IF(COUNTIFS($A$10:$A$89,$C236)&lt;&gt;1,"brak danych",IF(COUNTIFS($A$10:$A$89,$C236,$J$10:$J$89,"&lt;&gt;")=0,"brak danych",VLOOKUP($C236,$A$10:$J$89,10,FALSE)*$F236)))))</x:f>
      </x:c>
      <x:c r="Q236" s="18"/>
    </x:row>
    <x:row r="237" ht="25" customHeight="1">
      <x:c r="A237" s="6"/>
      <x:c r="B237" s="30"/>
      <x:c r="C237" s="5"/>
      <x:c r="D237" s="5"/>
      <x:c r="E237" s="32"/>
      <x:c r="F237" s="32"/>
      <x:c r="G237" s="24" t="str">
        <x:f>IF($A237="","",IF(AND($C237="",$E237=""),"",IF($E237="","brak danych",IF($E237=0,0,IF(COUNTIFS($A$10:$A$89,$C237)&lt;&gt;1,"brak danych",IF(COUNTIFS($A$10:$A$89,$C237,$F$10:$F$89,"&lt;&gt;")=0,"brak danych",VLOOKUP($C237,$A$10:$J$89,6,FALSE)*$E237))))))</x:f>
      </x:c>
      <x:c r="H237" s="25" t="str">
        <x:f>IF($A237="","",IF(AND($C237="",$E237=""),"",IF($E237="","brak danych",IF($E237=0,0,IF(COUNTIFS($A$10:$A$89,$C237)&lt;&gt;1,"brak danych",IF(COUNTIFS($A$10:$A$89,$C237,$G$10:$G$89,"&lt;&gt;")=0,"brak danych",VLOOKUP($C237,$A$10:$J$89,7,FALSE)*$E237))))))</x:f>
      </x:c>
      <x:c r="I237" s="25" t="str">
        <x:f>IF($A237="","",IF(AND($C237="",$E237=""),"",IF($E237="","brak danych",IF($E237=0,0,IF(COUNTIFS($A$10:$A$89,$C237)&lt;&gt;1,"brak danych",IF(COUNTIFS($A$10:$A$89,$C237,$H$10:$H$89,"&lt;&gt;")=0,"brak danych",VLOOKUP($C237,$A$10:$J$89,8,FALSE)*$E237))))))</x:f>
      </x:c>
      <x:c r="J237" s="25" t="str">
        <x:f>IF($A237="","",IF(AND($C237="",$E237=""),"",IF($E237="","brak danych",IF($E237=0,0,IF(COUNTIFS($A$10:$A$89,$C237)&lt;&gt;1,"brak danych",IF(COUNTIFS($A$10:$A$89,$C237,$I$10:$I$89,"&lt;&gt;")=0,"brak danych",VLOOKUP($C237,$A$10:$J$89,9,FALSE)*$E237))))))</x:f>
      </x:c>
      <x:c r="K237" s="25" t="str">
        <x:f>IF($A237="","",IF(AND($C237="",$E237=""),"",IF($E237="","brak danych",IF($E237=0,0,IF(COUNTIFS($A$10:$A$89,$C237)&lt;&gt;1,"brak danych",IF(COUNTIFS($A$10:$A$89,$C237,$J$10:$J$89,"&lt;&gt;")=0,"brak danych",VLOOKUP($C237,$A$10:$J$89,10,FALSE)*$E237))))))</x:f>
      </x:c>
      <x:c r="L237" s="24" t="str">
        <x:f>IF($A237="","",IF($F237="","",IF($F237=0,0,IF(COUNTIFS($A$10:$A$89,$C237)&lt;&gt;1,"brak danych",IF(COUNTIFS($A$10:$A$89,$C237,$F$10:$F$89,"&lt;&gt;")=0,"brak danych",VLOOKUP($C237,$A$10:$J$89,6,FALSE)*$F237)))))</x:f>
      </x:c>
      <x:c r="M237" s="25" t="str">
        <x:f>IF($A237="","",IF($F237="","",IF($F237=0,0,IF(COUNTIFS($A$10:$A$89,$C237)&lt;&gt;1,"brak danych",IF(COUNTIFS($A$10:$A$89,$C237,$G$10:$G$89,"&lt;&gt;")=0,"brak danych",VLOOKUP($C237,$A$10:$J$89,7,FALSE)*$F237)))))</x:f>
      </x:c>
      <x:c r="N237" s="25" t="str">
        <x:f>IF($A237="","",IF($F237="","",IF($F237=0,0,IF(COUNTIFS($A$10:$A$89,$C237)&lt;&gt;1,"brak danych",IF(COUNTIFS($A$10:$A$89,$C237,$H$10:$H$89,"&lt;&gt;")=0,"brak danych",VLOOKUP($C237,$A$10:$J$89,8,FALSE)*$F237)))))</x:f>
      </x:c>
      <x:c r="O237" s="25" t="str">
        <x:f>IF($A237="","",IF($F237="","",IF($F237=0,0,IF(COUNTIFS($A$10:$A$89,$C237)&lt;&gt;1,"brak danych",IF(COUNTIFS($A$10:$A$89,$C237,$I$10:$I$89,"&lt;&gt;")=0,"brak danych",VLOOKUP($C237,$A$10:$J$89,9,FALSE)*$F237)))))</x:f>
      </x:c>
      <x:c r="P237" s="25" t="str">
        <x:f>IF($A237="","",IF($F237="","",IF($F237=0,0,IF(COUNTIFS($A$10:$A$89,$C237)&lt;&gt;1,"brak danych",IF(COUNTIFS($A$10:$A$89,$C237,$J$10:$J$89,"&lt;&gt;")=0,"brak danych",VLOOKUP($C237,$A$10:$J$89,10,FALSE)*$F237)))))</x:f>
      </x:c>
      <x:c r="Q237" s="18"/>
    </x:row>
    <x:row r="238" ht="25" customHeight="1">
      <x:c r="A238" s="6"/>
      <x:c r="B238" s="30"/>
      <x:c r="C238" s="5"/>
      <x:c r="D238" s="5"/>
      <x:c r="E238" s="32"/>
      <x:c r="F238" s="32"/>
      <x:c r="G238" s="24" t="str">
        <x:f>IF($A238="","",IF(AND($C238="",$E238=""),"",IF($E238="","brak danych",IF($E238=0,0,IF(COUNTIFS($A$10:$A$89,$C238)&lt;&gt;1,"brak danych",IF(COUNTIFS($A$10:$A$89,$C238,$F$10:$F$89,"&lt;&gt;")=0,"brak danych",VLOOKUP($C238,$A$10:$J$89,6,FALSE)*$E238))))))</x:f>
      </x:c>
      <x:c r="H238" s="25" t="str">
        <x:f>IF($A238="","",IF(AND($C238="",$E238=""),"",IF($E238="","brak danych",IF($E238=0,0,IF(COUNTIFS($A$10:$A$89,$C238)&lt;&gt;1,"brak danych",IF(COUNTIFS($A$10:$A$89,$C238,$G$10:$G$89,"&lt;&gt;")=0,"brak danych",VLOOKUP($C238,$A$10:$J$89,7,FALSE)*$E238))))))</x:f>
      </x:c>
      <x:c r="I238" s="25" t="str">
        <x:f>IF($A238="","",IF(AND($C238="",$E238=""),"",IF($E238="","brak danych",IF($E238=0,0,IF(COUNTIFS($A$10:$A$89,$C238)&lt;&gt;1,"brak danych",IF(COUNTIFS($A$10:$A$89,$C238,$H$10:$H$89,"&lt;&gt;")=0,"brak danych",VLOOKUP($C238,$A$10:$J$89,8,FALSE)*$E238))))))</x:f>
      </x:c>
      <x:c r="J238" s="25" t="str">
        <x:f>IF($A238="","",IF(AND($C238="",$E238=""),"",IF($E238="","brak danych",IF($E238=0,0,IF(COUNTIFS($A$10:$A$89,$C238)&lt;&gt;1,"brak danych",IF(COUNTIFS($A$10:$A$89,$C238,$I$10:$I$89,"&lt;&gt;")=0,"brak danych",VLOOKUP($C238,$A$10:$J$89,9,FALSE)*$E238))))))</x:f>
      </x:c>
      <x:c r="K238" s="25" t="str">
        <x:f>IF($A238="","",IF(AND($C238="",$E238=""),"",IF($E238="","brak danych",IF($E238=0,0,IF(COUNTIFS($A$10:$A$89,$C238)&lt;&gt;1,"brak danych",IF(COUNTIFS($A$10:$A$89,$C238,$J$10:$J$89,"&lt;&gt;")=0,"brak danych",VLOOKUP($C238,$A$10:$J$89,10,FALSE)*$E238))))))</x:f>
      </x:c>
      <x:c r="L238" s="24" t="str">
        <x:f>IF($A238="","",IF($F238="","",IF($F238=0,0,IF(COUNTIFS($A$10:$A$89,$C238)&lt;&gt;1,"brak danych",IF(COUNTIFS($A$10:$A$89,$C238,$F$10:$F$89,"&lt;&gt;")=0,"brak danych",VLOOKUP($C238,$A$10:$J$89,6,FALSE)*$F238)))))</x:f>
      </x:c>
      <x:c r="M238" s="25" t="str">
        <x:f>IF($A238="","",IF($F238="","",IF($F238=0,0,IF(COUNTIFS($A$10:$A$89,$C238)&lt;&gt;1,"brak danych",IF(COUNTIFS($A$10:$A$89,$C238,$G$10:$G$89,"&lt;&gt;")=0,"brak danych",VLOOKUP($C238,$A$10:$J$89,7,FALSE)*$F238)))))</x:f>
      </x:c>
      <x:c r="N238" s="25" t="str">
        <x:f>IF($A238="","",IF($F238="","",IF($F238=0,0,IF(COUNTIFS($A$10:$A$89,$C238)&lt;&gt;1,"brak danych",IF(COUNTIFS($A$10:$A$89,$C238,$H$10:$H$89,"&lt;&gt;")=0,"brak danych",VLOOKUP($C238,$A$10:$J$89,8,FALSE)*$F238)))))</x:f>
      </x:c>
      <x:c r="O238" s="25" t="str">
        <x:f>IF($A238="","",IF($F238="","",IF($F238=0,0,IF(COUNTIFS($A$10:$A$89,$C238)&lt;&gt;1,"brak danych",IF(COUNTIFS($A$10:$A$89,$C238,$I$10:$I$89,"&lt;&gt;")=0,"brak danych",VLOOKUP($C238,$A$10:$J$89,9,FALSE)*$F238)))))</x:f>
      </x:c>
      <x:c r="P238" s="25" t="str">
        <x:f>IF($A238="","",IF($F238="","",IF($F238=0,0,IF(COUNTIFS($A$10:$A$89,$C238)&lt;&gt;1,"brak danych",IF(COUNTIFS($A$10:$A$89,$C238,$J$10:$J$89,"&lt;&gt;")=0,"brak danych",VLOOKUP($C238,$A$10:$J$89,10,FALSE)*$F238)))))</x:f>
      </x:c>
      <x:c r="Q238" s="18"/>
    </x:row>
    <x:row r="239" ht="25" customHeight="1">
      <x:c r="A239" s="6"/>
      <x:c r="B239" s="30"/>
      <x:c r="C239" s="5"/>
      <x:c r="D239" s="5"/>
      <x:c r="E239" s="32"/>
      <x:c r="F239" s="32"/>
      <x:c r="G239" s="24" t="str">
        <x:f>IF($A239="","",IF(AND($C239="",$E239=""),"",IF($E239="","brak danych",IF($E239=0,0,IF(COUNTIFS($A$10:$A$89,$C239)&lt;&gt;1,"brak danych",IF(COUNTIFS($A$10:$A$89,$C239,$F$10:$F$89,"&lt;&gt;")=0,"brak danych",VLOOKUP($C239,$A$10:$J$89,6,FALSE)*$E239))))))</x:f>
      </x:c>
      <x:c r="H239" s="25" t="str">
        <x:f>IF($A239="","",IF(AND($C239="",$E239=""),"",IF($E239="","brak danych",IF($E239=0,0,IF(COUNTIFS($A$10:$A$89,$C239)&lt;&gt;1,"brak danych",IF(COUNTIFS($A$10:$A$89,$C239,$G$10:$G$89,"&lt;&gt;")=0,"brak danych",VLOOKUP($C239,$A$10:$J$89,7,FALSE)*$E239))))))</x:f>
      </x:c>
      <x:c r="I239" s="25" t="str">
        <x:f>IF($A239="","",IF(AND($C239="",$E239=""),"",IF($E239="","brak danych",IF($E239=0,0,IF(COUNTIFS($A$10:$A$89,$C239)&lt;&gt;1,"brak danych",IF(COUNTIFS($A$10:$A$89,$C239,$H$10:$H$89,"&lt;&gt;")=0,"brak danych",VLOOKUP($C239,$A$10:$J$89,8,FALSE)*$E239))))))</x:f>
      </x:c>
      <x:c r="J239" s="25" t="str">
        <x:f>IF($A239="","",IF(AND($C239="",$E239=""),"",IF($E239="","brak danych",IF($E239=0,0,IF(COUNTIFS($A$10:$A$89,$C239)&lt;&gt;1,"brak danych",IF(COUNTIFS($A$10:$A$89,$C239,$I$10:$I$89,"&lt;&gt;")=0,"brak danych",VLOOKUP($C239,$A$10:$J$89,9,FALSE)*$E239))))))</x:f>
      </x:c>
      <x:c r="K239" s="25" t="str">
        <x:f>IF($A239="","",IF(AND($C239="",$E239=""),"",IF($E239="","brak danych",IF($E239=0,0,IF(COUNTIFS($A$10:$A$89,$C239)&lt;&gt;1,"brak danych",IF(COUNTIFS($A$10:$A$89,$C239,$J$10:$J$89,"&lt;&gt;")=0,"brak danych",VLOOKUP($C239,$A$10:$J$89,10,FALSE)*$E239))))))</x:f>
      </x:c>
      <x:c r="L239" s="24" t="str">
        <x:f>IF($A239="","",IF($F239="","",IF($F239=0,0,IF(COUNTIFS($A$10:$A$89,$C239)&lt;&gt;1,"brak danych",IF(COUNTIFS($A$10:$A$89,$C239,$F$10:$F$89,"&lt;&gt;")=0,"brak danych",VLOOKUP($C239,$A$10:$J$89,6,FALSE)*$F239)))))</x:f>
      </x:c>
      <x:c r="M239" s="25" t="str">
        <x:f>IF($A239="","",IF($F239="","",IF($F239=0,0,IF(COUNTIFS($A$10:$A$89,$C239)&lt;&gt;1,"brak danych",IF(COUNTIFS($A$10:$A$89,$C239,$G$10:$G$89,"&lt;&gt;")=0,"brak danych",VLOOKUP($C239,$A$10:$J$89,7,FALSE)*$F239)))))</x:f>
      </x:c>
      <x:c r="N239" s="25" t="str">
        <x:f>IF($A239="","",IF($F239="","",IF($F239=0,0,IF(COUNTIFS($A$10:$A$89,$C239)&lt;&gt;1,"brak danych",IF(COUNTIFS($A$10:$A$89,$C239,$H$10:$H$89,"&lt;&gt;")=0,"brak danych",VLOOKUP($C239,$A$10:$J$89,8,FALSE)*$F239)))))</x:f>
      </x:c>
      <x:c r="O239" s="25" t="str">
        <x:f>IF($A239="","",IF($F239="","",IF($F239=0,0,IF(COUNTIFS($A$10:$A$89,$C239)&lt;&gt;1,"brak danych",IF(COUNTIFS($A$10:$A$89,$C239,$I$10:$I$89,"&lt;&gt;")=0,"brak danych",VLOOKUP($C239,$A$10:$J$89,9,FALSE)*$F239)))))</x:f>
      </x:c>
      <x:c r="P239" s="25" t="str">
        <x:f>IF($A239="","",IF($F239="","",IF($F239=0,0,IF(COUNTIFS($A$10:$A$89,$C239)&lt;&gt;1,"brak danych",IF(COUNTIFS($A$10:$A$89,$C239,$J$10:$J$89,"&lt;&gt;")=0,"brak danych",VLOOKUP($C239,$A$10:$J$89,10,FALSE)*$F239)))))</x:f>
      </x:c>
      <x:c r="Q239" s="18"/>
    </x:row>
    <x:row r="240" ht="25" customHeight="1">
      <x:c r="A240" s="6"/>
      <x:c r="B240" s="30"/>
      <x:c r="C240" s="5"/>
      <x:c r="D240" s="5"/>
      <x:c r="E240" s="32"/>
      <x:c r="F240" s="32"/>
      <x:c r="G240" s="24" t="str">
        <x:f>IF($A240="","",IF(AND($C240="",$E240=""),"",IF($E240="","brak danych",IF($E240=0,0,IF(COUNTIFS($A$10:$A$89,$C240)&lt;&gt;1,"brak danych",IF(COUNTIFS($A$10:$A$89,$C240,$F$10:$F$89,"&lt;&gt;")=0,"brak danych",VLOOKUP($C240,$A$10:$J$89,6,FALSE)*$E240))))))</x:f>
      </x:c>
      <x:c r="H240" s="25" t="str">
        <x:f>IF($A240="","",IF(AND($C240="",$E240=""),"",IF($E240="","brak danych",IF($E240=0,0,IF(COUNTIFS($A$10:$A$89,$C240)&lt;&gt;1,"brak danych",IF(COUNTIFS($A$10:$A$89,$C240,$G$10:$G$89,"&lt;&gt;")=0,"brak danych",VLOOKUP($C240,$A$10:$J$89,7,FALSE)*$E240))))))</x:f>
      </x:c>
      <x:c r="I240" s="25" t="str">
        <x:f>IF($A240="","",IF(AND($C240="",$E240=""),"",IF($E240="","brak danych",IF($E240=0,0,IF(COUNTIFS($A$10:$A$89,$C240)&lt;&gt;1,"brak danych",IF(COUNTIFS($A$10:$A$89,$C240,$H$10:$H$89,"&lt;&gt;")=0,"brak danych",VLOOKUP($C240,$A$10:$J$89,8,FALSE)*$E240))))))</x:f>
      </x:c>
      <x:c r="J240" s="25" t="str">
        <x:f>IF($A240="","",IF(AND($C240="",$E240=""),"",IF($E240="","brak danych",IF($E240=0,0,IF(COUNTIFS($A$10:$A$89,$C240)&lt;&gt;1,"brak danych",IF(COUNTIFS($A$10:$A$89,$C240,$I$10:$I$89,"&lt;&gt;")=0,"brak danych",VLOOKUP($C240,$A$10:$J$89,9,FALSE)*$E240))))))</x:f>
      </x:c>
      <x:c r="K240" s="25" t="str">
        <x:f>IF($A240="","",IF(AND($C240="",$E240=""),"",IF($E240="","brak danych",IF($E240=0,0,IF(COUNTIFS($A$10:$A$89,$C240)&lt;&gt;1,"brak danych",IF(COUNTIFS($A$10:$A$89,$C240,$J$10:$J$89,"&lt;&gt;")=0,"brak danych",VLOOKUP($C240,$A$10:$J$89,10,FALSE)*$E240))))))</x:f>
      </x:c>
      <x:c r="L240" s="24" t="str">
        <x:f>IF($A240="","",IF($F240="","",IF($F240=0,0,IF(COUNTIFS($A$10:$A$89,$C240)&lt;&gt;1,"brak danych",IF(COUNTIFS($A$10:$A$89,$C240,$F$10:$F$89,"&lt;&gt;")=0,"brak danych",VLOOKUP($C240,$A$10:$J$89,6,FALSE)*$F240)))))</x:f>
      </x:c>
      <x:c r="M240" s="25" t="str">
        <x:f>IF($A240="","",IF($F240="","",IF($F240=0,0,IF(COUNTIFS($A$10:$A$89,$C240)&lt;&gt;1,"brak danych",IF(COUNTIFS($A$10:$A$89,$C240,$G$10:$G$89,"&lt;&gt;")=0,"brak danych",VLOOKUP($C240,$A$10:$J$89,7,FALSE)*$F240)))))</x:f>
      </x:c>
      <x:c r="N240" s="25" t="str">
        <x:f>IF($A240="","",IF($F240="","",IF($F240=0,0,IF(COUNTIFS($A$10:$A$89,$C240)&lt;&gt;1,"brak danych",IF(COUNTIFS($A$10:$A$89,$C240,$H$10:$H$89,"&lt;&gt;")=0,"brak danych",VLOOKUP($C240,$A$10:$J$89,8,FALSE)*$F240)))))</x:f>
      </x:c>
      <x:c r="O240" s="25" t="str">
        <x:f>IF($A240="","",IF($F240="","",IF($F240=0,0,IF(COUNTIFS($A$10:$A$89,$C240)&lt;&gt;1,"brak danych",IF(COUNTIFS($A$10:$A$89,$C240,$I$10:$I$89,"&lt;&gt;")=0,"brak danych",VLOOKUP($C240,$A$10:$J$89,9,FALSE)*$F240)))))</x:f>
      </x:c>
      <x:c r="P240" s="25" t="str">
        <x:f>IF($A240="","",IF($F240="","",IF($F240=0,0,IF(COUNTIFS($A$10:$A$89,$C240)&lt;&gt;1,"brak danych",IF(COUNTIFS($A$10:$A$89,$C240,$J$10:$J$89,"&lt;&gt;")=0,"brak danych",VLOOKUP($C240,$A$10:$J$89,10,FALSE)*$F240)))))</x:f>
      </x:c>
      <x:c r="Q240" s="18"/>
    </x:row>
    <x:row r="241" ht="25" customHeight="1">
      <x:c r="A241" s="6"/>
      <x:c r="B241" s="30"/>
      <x:c r="C241" s="5"/>
      <x:c r="D241" s="5"/>
      <x:c r="E241" s="32"/>
      <x:c r="F241" s="32"/>
      <x:c r="G241" s="24" t="str">
        <x:f>IF($A241="","",IF(AND($C241="",$E241=""),"",IF($E241="","brak danych",IF($E241=0,0,IF(COUNTIFS($A$10:$A$89,$C241)&lt;&gt;1,"brak danych",IF(COUNTIFS($A$10:$A$89,$C241,$F$10:$F$89,"&lt;&gt;")=0,"brak danych",VLOOKUP($C241,$A$10:$J$89,6,FALSE)*$E241))))))</x:f>
      </x:c>
      <x:c r="H241" s="25" t="str">
        <x:f>IF($A241="","",IF(AND($C241="",$E241=""),"",IF($E241="","brak danych",IF($E241=0,0,IF(COUNTIFS($A$10:$A$89,$C241)&lt;&gt;1,"brak danych",IF(COUNTIFS($A$10:$A$89,$C241,$G$10:$G$89,"&lt;&gt;")=0,"brak danych",VLOOKUP($C241,$A$10:$J$89,7,FALSE)*$E241))))))</x:f>
      </x:c>
      <x:c r="I241" s="25" t="str">
        <x:f>IF($A241="","",IF(AND($C241="",$E241=""),"",IF($E241="","brak danych",IF($E241=0,0,IF(COUNTIFS($A$10:$A$89,$C241)&lt;&gt;1,"brak danych",IF(COUNTIFS($A$10:$A$89,$C241,$H$10:$H$89,"&lt;&gt;")=0,"brak danych",VLOOKUP($C241,$A$10:$J$89,8,FALSE)*$E241))))))</x:f>
      </x:c>
      <x:c r="J241" s="25" t="str">
        <x:f>IF($A241="","",IF(AND($C241="",$E241=""),"",IF($E241="","brak danych",IF($E241=0,0,IF(COUNTIFS($A$10:$A$89,$C241)&lt;&gt;1,"brak danych",IF(COUNTIFS($A$10:$A$89,$C241,$I$10:$I$89,"&lt;&gt;")=0,"brak danych",VLOOKUP($C241,$A$10:$J$89,9,FALSE)*$E241))))))</x:f>
      </x:c>
      <x:c r="K241" s="25" t="str">
        <x:f>IF($A241="","",IF(AND($C241="",$E241=""),"",IF($E241="","brak danych",IF($E241=0,0,IF(COUNTIFS($A$10:$A$89,$C241)&lt;&gt;1,"brak danych",IF(COUNTIFS($A$10:$A$89,$C241,$J$10:$J$89,"&lt;&gt;")=0,"brak danych",VLOOKUP($C241,$A$10:$J$89,10,FALSE)*$E241))))))</x:f>
      </x:c>
      <x:c r="L241" s="24" t="str">
        <x:f>IF($A241="","",IF($F241="","",IF($F241=0,0,IF(COUNTIFS($A$10:$A$89,$C241)&lt;&gt;1,"brak danych",IF(COUNTIFS($A$10:$A$89,$C241,$F$10:$F$89,"&lt;&gt;")=0,"brak danych",VLOOKUP($C241,$A$10:$J$89,6,FALSE)*$F241)))))</x:f>
      </x:c>
      <x:c r="M241" s="25" t="str">
        <x:f>IF($A241="","",IF($F241="","",IF($F241=0,0,IF(COUNTIFS($A$10:$A$89,$C241)&lt;&gt;1,"brak danych",IF(COUNTIFS($A$10:$A$89,$C241,$G$10:$G$89,"&lt;&gt;")=0,"brak danych",VLOOKUP($C241,$A$10:$J$89,7,FALSE)*$F241)))))</x:f>
      </x:c>
      <x:c r="N241" s="25" t="str">
        <x:f>IF($A241="","",IF($F241="","",IF($F241=0,0,IF(COUNTIFS($A$10:$A$89,$C241)&lt;&gt;1,"brak danych",IF(COUNTIFS($A$10:$A$89,$C241,$H$10:$H$89,"&lt;&gt;")=0,"brak danych",VLOOKUP($C241,$A$10:$J$89,8,FALSE)*$F241)))))</x:f>
      </x:c>
      <x:c r="O241" s="25" t="str">
        <x:f>IF($A241="","",IF($F241="","",IF($F241=0,0,IF(COUNTIFS($A$10:$A$89,$C241)&lt;&gt;1,"brak danych",IF(COUNTIFS($A$10:$A$89,$C241,$I$10:$I$89,"&lt;&gt;")=0,"brak danych",VLOOKUP($C241,$A$10:$J$89,9,FALSE)*$F241)))))</x:f>
      </x:c>
      <x:c r="P241" s="25" t="str">
        <x:f>IF($A241="","",IF($F241="","",IF($F241=0,0,IF(COUNTIFS($A$10:$A$89,$C241)&lt;&gt;1,"brak danych",IF(COUNTIFS($A$10:$A$89,$C241,$J$10:$J$89,"&lt;&gt;")=0,"brak danych",VLOOKUP($C241,$A$10:$J$89,10,FALSE)*$F241)))))</x:f>
      </x:c>
      <x:c r="Q241" s="18"/>
    </x:row>
    <x:row r="242" ht="25" customHeight="1">
      <x:c r="A242" s="6"/>
      <x:c r="B242" s="30"/>
      <x:c r="C242" s="5"/>
      <x:c r="D242" s="5"/>
      <x:c r="E242" s="32"/>
      <x:c r="F242" s="32"/>
      <x:c r="G242" s="24" t="str">
        <x:f>IF($A242="","",IF(AND($C242="",$E242=""),"",IF($E242="","brak danych",IF($E242=0,0,IF(COUNTIFS($A$10:$A$89,$C242)&lt;&gt;1,"brak danych",IF(COUNTIFS($A$10:$A$89,$C242,$F$10:$F$89,"&lt;&gt;")=0,"brak danych",VLOOKUP($C242,$A$10:$J$89,6,FALSE)*$E242))))))</x:f>
      </x:c>
      <x:c r="H242" s="25" t="str">
        <x:f>IF($A242="","",IF(AND($C242="",$E242=""),"",IF($E242="","brak danych",IF($E242=0,0,IF(COUNTIFS($A$10:$A$89,$C242)&lt;&gt;1,"brak danych",IF(COUNTIFS($A$10:$A$89,$C242,$G$10:$G$89,"&lt;&gt;")=0,"brak danych",VLOOKUP($C242,$A$10:$J$89,7,FALSE)*$E242))))))</x:f>
      </x:c>
      <x:c r="I242" s="25" t="str">
        <x:f>IF($A242="","",IF(AND($C242="",$E242=""),"",IF($E242="","brak danych",IF($E242=0,0,IF(COUNTIFS($A$10:$A$89,$C242)&lt;&gt;1,"brak danych",IF(COUNTIFS($A$10:$A$89,$C242,$H$10:$H$89,"&lt;&gt;")=0,"brak danych",VLOOKUP($C242,$A$10:$J$89,8,FALSE)*$E242))))))</x:f>
      </x:c>
      <x:c r="J242" s="25" t="str">
        <x:f>IF($A242="","",IF(AND($C242="",$E242=""),"",IF($E242="","brak danych",IF($E242=0,0,IF(COUNTIFS($A$10:$A$89,$C242)&lt;&gt;1,"brak danych",IF(COUNTIFS($A$10:$A$89,$C242,$I$10:$I$89,"&lt;&gt;")=0,"brak danych",VLOOKUP($C242,$A$10:$J$89,9,FALSE)*$E242))))))</x:f>
      </x:c>
      <x:c r="K242" s="25" t="str">
        <x:f>IF($A242="","",IF(AND($C242="",$E242=""),"",IF($E242="","brak danych",IF($E242=0,0,IF(COUNTIFS($A$10:$A$89,$C242)&lt;&gt;1,"brak danych",IF(COUNTIFS($A$10:$A$89,$C242,$J$10:$J$89,"&lt;&gt;")=0,"brak danych",VLOOKUP($C242,$A$10:$J$89,10,FALSE)*$E242))))))</x:f>
      </x:c>
      <x:c r="L242" s="24" t="str">
        <x:f>IF($A242="","",IF($F242="","",IF($F242=0,0,IF(COUNTIFS($A$10:$A$89,$C242)&lt;&gt;1,"brak danych",IF(COUNTIFS($A$10:$A$89,$C242,$F$10:$F$89,"&lt;&gt;")=0,"brak danych",VLOOKUP($C242,$A$10:$J$89,6,FALSE)*$F242)))))</x:f>
      </x:c>
      <x:c r="M242" s="25" t="str">
        <x:f>IF($A242="","",IF($F242="","",IF($F242=0,0,IF(COUNTIFS($A$10:$A$89,$C242)&lt;&gt;1,"brak danych",IF(COUNTIFS($A$10:$A$89,$C242,$G$10:$G$89,"&lt;&gt;")=0,"brak danych",VLOOKUP($C242,$A$10:$J$89,7,FALSE)*$F242)))))</x:f>
      </x:c>
      <x:c r="N242" s="25" t="str">
        <x:f>IF($A242="","",IF($F242="","",IF($F242=0,0,IF(COUNTIFS($A$10:$A$89,$C242)&lt;&gt;1,"brak danych",IF(COUNTIFS($A$10:$A$89,$C242,$H$10:$H$89,"&lt;&gt;")=0,"brak danych",VLOOKUP($C242,$A$10:$J$89,8,FALSE)*$F242)))))</x:f>
      </x:c>
      <x:c r="O242" s="25" t="str">
        <x:f>IF($A242="","",IF($F242="","",IF($F242=0,0,IF(COUNTIFS($A$10:$A$89,$C242)&lt;&gt;1,"brak danych",IF(COUNTIFS($A$10:$A$89,$C242,$I$10:$I$89,"&lt;&gt;")=0,"brak danych",VLOOKUP($C242,$A$10:$J$89,9,FALSE)*$F242)))))</x:f>
      </x:c>
      <x:c r="P242" s="25" t="str">
        <x:f>IF($A242="","",IF($F242="","",IF($F242=0,0,IF(COUNTIFS($A$10:$A$89,$C242)&lt;&gt;1,"brak danych",IF(COUNTIFS($A$10:$A$89,$C242,$J$10:$J$89,"&lt;&gt;")=0,"brak danych",VLOOKUP($C242,$A$10:$J$89,10,FALSE)*$F242)))))</x:f>
      </x:c>
      <x:c r="Q242" s="18"/>
    </x:row>
    <x:row r="243" ht="25" customHeight="1">
      <x:c r="A243" s="6"/>
      <x:c r="B243" s="30"/>
      <x:c r="C243" s="5"/>
      <x:c r="D243" s="5"/>
      <x:c r="E243" s="32"/>
      <x:c r="F243" s="32"/>
      <x:c r="G243" s="24" t="str">
        <x:f>IF($A243="","",IF(AND($C243="",$E243=""),"",IF($E243="","brak danych",IF($E243=0,0,IF(COUNTIFS($A$10:$A$89,$C243)&lt;&gt;1,"brak danych",IF(COUNTIFS($A$10:$A$89,$C243,$F$10:$F$89,"&lt;&gt;")=0,"brak danych",VLOOKUP($C243,$A$10:$J$89,6,FALSE)*$E243))))))</x:f>
      </x:c>
      <x:c r="H243" s="25" t="str">
        <x:f>IF($A243="","",IF(AND($C243="",$E243=""),"",IF($E243="","brak danych",IF($E243=0,0,IF(COUNTIFS($A$10:$A$89,$C243)&lt;&gt;1,"brak danych",IF(COUNTIFS($A$10:$A$89,$C243,$G$10:$G$89,"&lt;&gt;")=0,"brak danych",VLOOKUP($C243,$A$10:$J$89,7,FALSE)*$E243))))))</x:f>
      </x:c>
      <x:c r="I243" s="25" t="str">
        <x:f>IF($A243="","",IF(AND($C243="",$E243=""),"",IF($E243="","brak danych",IF($E243=0,0,IF(COUNTIFS($A$10:$A$89,$C243)&lt;&gt;1,"brak danych",IF(COUNTIFS($A$10:$A$89,$C243,$H$10:$H$89,"&lt;&gt;")=0,"brak danych",VLOOKUP($C243,$A$10:$J$89,8,FALSE)*$E243))))))</x:f>
      </x:c>
      <x:c r="J243" s="25" t="str">
        <x:f>IF($A243="","",IF(AND($C243="",$E243=""),"",IF($E243="","brak danych",IF($E243=0,0,IF(COUNTIFS($A$10:$A$89,$C243)&lt;&gt;1,"brak danych",IF(COUNTIFS($A$10:$A$89,$C243,$I$10:$I$89,"&lt;&gt;")=0,"brak danych",VLOOKUP($C243,$A$10:$J$89,9,FALSE)*$E243))))))</x:f>
      </x:c>
      <x:c r="K243" s="25" t="str">
        <x:f>IF($A243="","",IF(AND($C243="",$E243=""),"",IF($E243="","brak danych",IF($E243=0,0,IF(COUNTIFS($A$10:$A$89,$C243)&lt;&gt;1,"brak danych",IF(COUNTIFS($A$10:$A$89,$C243,$J$10:$J$89,"&lt;&gt;")=0,"brak danych",VLOOKUP($C243,$A$10:$J$89,10,FALSE)*$E243))))))</x:f>
      </x:c>
      <x:c r="L243" s="24" t="str">
        <x:f>IF($A243="","",IF($F243="","",IF($F243=0,0,IF(COUNTIFS($A$10:$A$89,$C243)&lt;&gt;1,"brak danych",IF(COUNTIFS($A$10:$A$89,$C243,$F$10:$F$89,"&lt;&gt;")=0,"brak danych",VLOOKUP($C243,$A$10:$J$89,6,FALSE)*$F243)))))</x:f>
      </x:c>
      <x:c r="M243" s="25" t="str">
        <x:f>IF($A243="","",IF($F243="","",IF($F243=0,0,IF(COUNTIFS($A$10:$A$89,$C243)&lt;&gt;1,"brak danych",IF(COUNTIFS($A$10:$A$89,$C243,$G$10:$G$89,"&lt;&gt;")=0,"brak danych",VLOOKUP($C243,$A$10:$J$89,7,FALSE)*$F243)))))</x:f>
      </x:c>
      <x:c r="N243" s="25" t="str">
        <x:f>IF($A243="","",IF($F243="","",IF($F243=0,0,IF(COUNTIFS($A$10:$A$89,$C243)&lt;&gt;1,"brak danych",IF(COUNTIFS($A$10:$A$89,$C243,$H$10:$H$89,"&lt;&gt;")=0,"brak danych",VLOOKUP($C243,$A$10:$J$89,8,FALSE)*$F243)))))</x:f>
      </x:c>
      <x:c r="O243" s="25" t="str">
        <x:f>IF($A243="","",IF($F243="","",IF($F243=0,0,IF(COUNTIFS($A$10:$A$89,$C243)&lt;&gt;1,"brak danych",IF(COUNTIFS($A$10:$A$89,$C243,$I$10:$I$89,"&lt;&gt;")=0,"brak danych",VLOOKUP($C243,$A$10:$J$89,9,FALSE)*$F243)))))</x:f>
      </x:c>
      <x:c r="P243" s="25" t="str">
        <x:f>IF($A243="","",IF($F243="","",IF($F243=0,0,IF(COUNTIFS($A$10:$A$89,$C243)&lt;&gt;1,"brak danych",IF(COUNTIFS($A$10:$A$89,$C243,$J$10:$J$89,"&lt;&gt;")=0,"brak danych",VLOOKUP($C243,$A$10:$J$89,10,FALSE)*$F243)))))</x:f>
      </x:c>
      <x:c r="Q243" s="18"/>
    </x:row>
    <x:row r="244" ht="25" customHeight="1">
      <x:c r="A244" s="6"/>
      <x:c r="B244" s="30"/>
      <x:c r="C244" s="5"/>
      <x:c r="D244" s="5"/>
      <x:c r="E244" s="32"/>
      <x:c r="F244" s="32"/>
      <x:c r="G244" s="24" t="str">
        <x:f>IF($A244="","",IF(AND($C244="",$E244=""),"",IF($E244="","brak danych",IF($E244=0,0,IF(COUNTIFS($A$10:$A$89,$C244)&lt;&gt;1,"brak danych",IF(COUNTIFS($A$10:$A$89,$C244,$F$10:$F$89,"&lt;&gt;")=0,"brak danych",VLOOKUP($C244,$A$10:$J$89,6,FALSE)*$E244))))))</x:f>
      </x:c>
      <x:c r="H244" s="25" t="str">
        <x:f>IF($A244="","",IF(AND($C244="",$E244=""),"",IF($E244="","brak danych",IF($E244=0,0,IF(COUNTIFS($A$10:$A$89,$C244)&lt;&gt;1,"brak danych",IF(COUNTIFS($A$10:$A$89,$C244,$G$10:$G$89,"&lt;&gt;")=0,"brak danych",VLOOKUP($C244,$A$10:$J$89,7,FALSE)*$E244))))))</x:f>
      </x:c>
      <x:c r="I244" s="25" t="str">
        <x:f>IF($A244="","",IF(AND($C244="",$E244=""),"",IF($E244="","brak danych",IF($E244=0,0,IF(COUNTIFS($A$10:$A$89,$C244)&lt;&gt;1,"brak danych",IF(COUNTIFS($A$10:$A$89,$C244,$H$10:$H$89,"&lt;&gt;")=0,"brak danych",VLOOKUP($C244,$A$10:$J$89,8,FALSE)*$E244))))))</x:f>
      </x:c>
      <x:c r="J244" s="25" t="str">
        <x:f>IF($A244="","",IF(AND($C244="",$E244=""),"",IF($E244="","brak danych",IF($E244=0,0,IF(COUNTIFS($A$10:$A$89,$C244)&lt;&gt;1,"brak danych",IF(COUNTIFS($A$10:$A$89,$C244,$I$10:$I$89,"&lt;&gt;")=0,"brak danych",VLOOKUP($C244,$A$10:$J$89,9,FALSE)*$E244))))))</x:f>
      </x:c>
      <x:c r="K244" s="25" t="str">
        <x:f>IF($A244="","",IF(AND($C244="",$E244=""),"",IF($E244="","brak danych",IF($E244=0,0,IF(COUNTIFS($A$10:$A$89,$C244)&lt;&gt;1,"brak danych",IF(COUNTIFS($A$10:$A$89,$C244,$J$10:$J$89,"&lt;&gt;")=0,"brak danych",VLOOKUP($C244,$A$10:$J$89,10,FALSE)*$E244))))))</x:f>
      </x:c>
      <x:c r="L244" s="24" t="str">
        <x:f>IF($A244="","",IF($F244="","",IF($F244=0,0,IF(COUNTIFS($A$10:$A$89,$C244)&lt;&gt;1,"brak danych",IF(COUNTIFS($A$10:$A$89,$C244,$F$10:$F$89,"&lt;&gt;")=0,"brak danych",VLOOKUP($C244,$A$10:$J$89,6,FALSE)*$F244)))))</x:f>
      </x:c>
      <x:c r="M244" s="25" t="str">
        <x:f>IF($A244="","",IF($F244="","",IF($F244=0,0,IF(COUNTIFS($A$10:$A$89,$C244)&lt;&gt;1,"brak danych",IF(COUNTIFS($A$10:$A$89,$C244,$G$10:$G$89,"&lt;&gt;")=0,"brak danych",VLOOKUP($C244,$A$10:$J$89,7,FALSE)*$F244)))))</x:f>
      </x:c>
      <x:c r="N244" s="25" t="str">
        <x:f>IF($A244="","",IF($F244="","",IF($F244=0,0,IF(COUNTIFS($A$10:$A$89,$C244)&lt;&gt;1,"brak danych",IF(COUNTIFS($A$10:$A$89,$C244,$H$10:$H$89,"&lt;&gt;")=0,"brak danych",VLOOKUP($C244,$A$10:$J$89,8,FALSE)*$F244)))))</x:f>
      </x:c>
      <x:c r="O244" s="25" t="str">
        <x:f>IF($A244="","",IF($F244="","",IF($F244=0,0,IF(COUNTIFS($A$10:$A$89,$C244)&lt;&gt;1,"brak danych",IF(COUNTIFS($A$10:$A$89,$C244,$I$10:$I$89,"&lt;&gt;")=0,"brak danych",VLOOKUP($C244,$A$10:$J$89,9,FALSE)*$F244)))))</x:f>
      </x:c>
      <x:c r="P244" s="25" t="str">
        <x:f>IF($A244="","",IF($F244="","",IF($F244=0,0,IF(COUNTIFS($A$10:$A$89,$C244)&lt;&gt;1,"brak danych",IF(COUNTIFS($A$10:$A$89,$C244,$J$10:$J$89,"&lt;&gt;")=0,"brak danych",VLOOKUP($C244,$A$10:$J$89,10,FALSE)*$F244)))))</x:f>
      </x:c>
      <x:c r="Q244" s="18"/>
    </x:row>
    <x:row r="245" ht="25" customHeight="1">
      <x:c r="A245" s="6"/>
      <x:c r="B245" s="30"/>
      <x:c r="C245" s="5"/>
      <x:c r="D245" s="5"/>
      <x:c r="E245" s="32"/>
      <x:c r="F245" s="32"/>
      <x:c r="G245" s="24" t="str">
        <x:f>IF($A245="","",IF(AND($C245="",$E245=""),"",IF($E245="","brak danych",IF($E245=0,0,IF(COUNTIFS($A$10:$A$89,$C245)&lt;&gt;1,"brak danych",IF(COUNTIFS($A$10:$A$89,$C245,$F$10:$F$89,"&lt;&gt;")=0,"brak danych",VLOOKUP($C245,$A$10:$J$89,6,FALSE)*$E245))))))</x:f>
      </x:c>
      <x:c r="H245" s="25" t="str">
        <x:f>IF($A245="","",IF(AND($C245="",$E245=""),"",IF($E245="","brak danych",IF($E245=0,0,IF(COUNTIFS($A$10:$A$89,$C245)&lt;&gt;1,"brak danych",IF(COUNTIFS($A$10:$A$89,$C245,$G$10:$G$89,"&lt;&gt;")=0,"brak danych",VLOOKUP($C245,$A$10:$J$89,7,FALSE)*$E245))))))</x:f>
      </x:c>
      <x:c r="I245" s="25" t="str">
        <x:f>IF($A245="","",IF(AND($C245="",$E245=""),"",IF($E245="","brak danych",IF($E245=0,0,IF(COUNTIFS($A$10:$A$89,$C245)&lt;&gt;1,"brak danych",IF(COUNTIFS($A$10:$A$89,$C245,$H$10:$H$89,"&lt;&gt;")=0,"brak danych",VLOOKUP($C245,$A$10:$J$89,8,FALSE)*$E245))))))</x:f>
      </x:c>
      <x:c r="J245" s="25" t="str">
        <x:f>IF($A245="","",IF(AND($C245="",$E245=""),"",IF($E245="","brak danych",IF($E245=0,0,IF(COUNTIFS($A$10:$A$89,$C245)&lt;&gt;1,"brak danych",IF(COUNTIFS($A$10:$A$89,$C245,$I$10:$I$89,"&lt;&gt;")=0,"brak danych",VLOOKUP($C245,$A$10:$J$89,9,FALSE)*$E245))))))</x:f>
      </x:c>
      <x:c r="K245" s="25" t="str">
        <x:f>IF($A245="","",IF(AND($C245="",$E245=""),"",IF($E245="","brak danych",IF($E245=0,0,IF(COUNTIFS($A$10:$A$89,$C245)&lt;&gt;1,"brak danych",IF(COUNTIFS($A$10:$A$89,$C245,$J$10:$J$89,"&lt;&gt;")=0,"brak danych",VLOOKUP($C245,$A$10:$J$89,10,FALSE)*$E245))))))</x:f>
      </x:c>
      <x:c r="L245" s="24" t="str">
        <x:f>IF($A245="","",IF($F245="","",IF($F245=0,0,IF(COUNTIFS($A$10:$A$89,$C245)&lt;&gt;1,"brak danych",IF(COUNTIFS($A$10:$A$89,$C245,$F$10:$F$89,"&lt;&gt;")=0,"brak danych",VLOOKUP($C245,$A$10:$J$89,6,FALSE)*$F245)))))</x:f>
      </x:c>
      <x:c r="M245" s="25" t="str">
        <x:f>IF($A245="","",IF($F245="","",IF($F245=0,0,IF(COUNTIFS($A$10:$A$89,$C245)&lt;&gt;1,"brak danych",IF(COUNTIFS($A$10:$A$89,$C245,$G$10:$G$89,"&lt;&gt;")=0,"brak danych",VLOOKUP($C245,$A$10:$J$89,7,FALSE)*$F245)))))</x:f>
      </x:c>
      <x:c r="N245" s="25" t="str">
        <x:f>IF($A245="","",IF($F245="","",IF($F245=0,0,IF(COUNTIFS($A$10:$A$89,$C245)&lt;&gt;1,"brak danych",IF(COUNTIFS($A$10:$A$89,$C245,$H$10:$H$89,"&lt;&gt;")=0,"brak danych",VLOOKUP($C245,$A$10:$J$89,8,FALSE)*$F245)))))</x:f>
      </x:c>
      <x:c r="O245" s="25" t="str">
        <x:f>IF($A245="","",IF($F245="","",IF($F245=0,0,IF(COUNTIFS($A$10:$A$89,$C245)&lt;&gt;1,"brak danych",IF(COUNTIFS($A$10:$A$89,$C245,$I$10:$I$89,"&lt;&gt;")=0,"brak danych",VLOOKUP($C245,$A$10:$J$89,9,FALSE)*$F245)))))</x:f>
      </x:c>
      <x:c r="P245" s="25" t="str">
        <x:f>IF($A245="","",IF($F245="","",IF($F245=0,0,IF(COUNTIFS($A$10:$A$89,$C245)&lt;&gt;1,"brak danych",IF(COUNTIFS($A$10:$A$89,$C245,$J$10:$J$89,"&lt;&gt;")=0,"brak danych",VLOOKUP($C245,$A$10:$J$89,10,FALSE)*$F245)))))</x:f>
      </x:c>
      <x:c r="Q245" s="18"/>
    </x:row>
    <x:row r="246" ht="25" customHeight="1">
      <x:c r="A246" s="6"/>
      <x:c r="B246" s="30"/>
      <x:c r="C246" s="5"/>
      <x:c r="D246" s="5"/>
      <x:c r="E246" s="32"/>
      <x:c r="F246" s="32"/>
      <x:c r="G246" s="24" t="str">
        <x:f>IF($A246="","",IF(AND($C246="",$E246=""),"",IF($E246="","brak danych",IF($E246=0,0,IF(COUNTIFS($A$10:$A$89,$C246)&lt;&gt;1,"brak danych",IF(COUNTIFS($A$10:$A$89,$C246,$F$10:$F$89,"&lt;&gt;")=0,"brak danych",VLOOKUP($C246,$A$10:$J$89,6,FALSE)*$E246))))))</x:f>
      </x:c>
      <x:c r="H246" s="25" t="str">
        <x:f>IF($A246="","",IF(AND($C246="",$E246=""),"",IF($E246="","brak danych",IF($E246=0,0,IF(COUNTIFS($A$10:$A$89,$C246)&lt;&gt;1,"brak danych",IF(COUNTIFS($A$10:$A$89,$C246,$G$10:$G$89,"&lt;&gt;")=0,"brak danych",VLOOKUP($C246,$A$10:$J$89,7,FALSE)*$E246))))))</x:f>
      </x:c>
      <x:c r="I246" s="25" t="str">
        <x:f>IF($A246="","",IF(AND($C246="",$E246=""),"",IF($E246="","brak danych",IF($E246=0,0,IF(COUNTIFS($A$10:$A$89,$C246)&lt;&gt;1,"brak danych",IF(COUNTIFS($A$10:$A$89,$C246,$H$10:$H$89,"&lt;&gt;")=0,"brak danych",VLOOKUP($C246,$A$10:$J$89,8,FALSE)*$E246))))))</x:f>
      </x:c>
      <x:c r="J246" s="25" t="str">
        <x:f>IF($A246="","",IF(AND($C246="",$E246=""),"",IF($E246="","brak danych",IF($E246=0,0,IF(COUNTIFS($A$10:$A$89,$C246)&lt;&gt;1,"brak danych",IF(COUNTIFS($A$10:$A$89,$C246,$I$10:$I$89,"&lt;&gt;")=0,"brak danych",VLOOKUP($C246,$A$10:$J$89,9,FALSE)*$E246))))))</x:f>
      </x:c>
      <x:c r="K246" s="25" t="str">
        <x:f>IF($A246="","",IF(AND($C246="",$E246=""),"",IF($E246="","brak danych",IF($E246=0,0,IF(COUNTIFS($A$10:$A$89,$C246)&lt;&gt;1,"brak danych",IF(COUNTIFS($A$10:$A$89,$C246,$J$10:$J$89,"&lt;&gt;")=0,"brak danych",VLOOKUP($C246,$A$10:$J$89,10,FALSE)*$E246))))))</x:f>
      </x:c>
      <x:c r="L246" s="24" t="str">
        <x:f>IF($A246="","",IF($F246="","",IF($F246=0,0,IF(COUNTIFS($A$10:$A$89,$C246)&lt;&gt;1,"brak danych",IF(COUNTIFS($A$10:$A$89,$C246,$F$10:$F$89,"&lt;&gt;")=0,"brak danych",VLOOKUP($C246,$A$10:$J$89,6,FALSE)*$F246)))))</x:f>
      </x:c>
      <x:c r="M246" s="25" t="str">
        <x:f>IF($A246="","",IF($F246="","",IF($F246=0,0,IF(COUNTIFS($A$10:$A$89,$C246)&lt;&gt;1,"brak danych",IF(COUNTIFS($A$10:$A$89,$C246,$G$10:$G$89,"&lt;&gt;")=0,"brak danych",VLOOKUP($C246,$A$10:$J$89,7,FALSE)*$F246)))))</x:f>
      </x:c>
      <x:c r="N246" s="25" t="str">
        <x:f>IF($A246="","",IF($F246="","",IF($F246=0,0,IF(COUNTIFS($A$10:$A$89,$C246)&lt;&gt;1,"brak danych",IF(COUNTIFS($A$10:$A$89,$C246,$H$10:$H$89,"&lt;&gt;")=0,"brak danych",VLOOKUP($C246,$A$10:$J$89,8,FALSE)*$F246)))))</x:f>
      </x:c>
      <x:c r="O246" s="25" t="str">
        <x:f>IF($A246="","",IF($F246="","",IF($F246=0,0,IF(COUNTIFS($A$10:$A$89,$C246)&lt;&gt;1,"brak danych",IF(COUNTIFS($A$10:$A$89,$C246,$I$10:$I$89,"&lt;&gt;")=0,"brak danych",VLOOKUP($C246,$A$10:$J$89,9,FALSE)*$F246)))))</x:f>
      </x:c>
      <x:c r="P246" s="25" t="str">
        <x:f>IF($A246="","",IF($F246="","",IF($F246=0,0,IF(COUNTIFS($A$10:$A$89,$C246)&lt;&gt;1,"brak danych",IF(COUNTIFS($A$10:$A$89,$C246,$J$10:$J$89,"&lt;&gt;")=0,"brak danych",VLOOKUP($C246,$A$10:$J$89,10,FALSE)*$F246)))))</x:f>
      </x:c>
      <x:c r="Q246" s="18"/>
    </x:row>
    <x:row r="247" ht="25" customHeight="1">
      <x:c r="A247" s="6"/>
      <x:c r="B247" s="30"/>
      <x:c r="C247" s="5"/>
      <x:c r="D247" s="5"/>
      <x:c r="E247" s="32"/>
      <x:c r="F247" s="32"/>
      <x:c r="G247" s="24" t="str">
        <x:f>IF($A247="","",IF(AND($C247="",$E247=""),"",IF($E247="","brak danych",IF($E247=0,0,IF(COUNTIFS($A$10:$A$89,$C247)&lt;&gt;1,"brak danych",IF(COUNTIFS($A$10:$A$89,$C247,$F$10:$F$89,"&lt;&gt;")=0,"brak danych",VLOOKUP($C247,$A$10:$J$89,6,FALSE)*$E247))))))</x:f>
      </x:c>
      <x:c r="H247" s="25" t="str">
        <x:f>IF($A247="","",IF(AND($C247="",$E247=""),"",IF($E247="","brak danych",IF($E247=0,0,IF(COUNTIFS($A$10:$A$89,$C247)&lt;&gt;1,"brak danych",IF(COUNTIFS($A$10:$A$89,$C247,$G$10:$G$89,"&lt;&gt;")=0,"brak danych",VLOOKUP($C247,$A$10:$J$89,7,FALSE)*$E247))))))</x:f>
      </x:c>
      <x:c r="I247" s="25" t="str">
        <x:f>IF($A247="","",IF(AND($C247="",$E247=""),"",IF($E247="","brak danych",IF($E247=0,0,IF(COUNTIFS($A$10:$A$89,$C247)&lt;&gt;1,"brak danych",IF(COUNTIFS($A$10:$A$89,$C247,$H$10:$H$89,"&lt;&gt;")=0,"brak danych",VLOOKUP($C247,$A$10:$J$89,8,FALSE)*$E247))))))</x:f>
      </x:c>
      <x:c r="J247" s="25" t="str">
        <x:f>IF($A247="","",IF(AND($C247="",$E247=""),"",IF($E247="","brak danych",IF($E247=0,0,IF(COUNTIFS($A$10:$A$89,$C247)&lt;&gt;1,"brak danych",IF(COUNTIFS($A$10:$A$89,$C247,$I$10:$I$89,"&lt;&gt;")=0,"brak danych",VLOOKUP($C247,$A$10:$J$89,9,FALSE)*$E247))))))</x:f>
      </x:c>
      <x:c r="K247" s="25" t="str">
        <x:f>IF($A247="","",IF(AND($C247="",$E247=""),"",IF($E247="","brak danych",IF($E247=0,0,IF(COUNTIFS($A$10:$A$89,$C247)&lt;&gt;1,"brak danych",IF(COUNTIFS($A$10:$A$89,$C247,$J$10:$J$89,"&lt;&gt;")=0,"brak danych",VLOOKUP($C247,$A$10:$J$89,10,FALSE)*$E247))))))</x:f>
      </x:c>
      <x:c r="L247" s="24" t="str">
        <x:f>IF($A247="","",IF($F247="","",IF($F247=0,0,IF(COUNTIFS($A$10:$A$89,$C247)&lt;&gt;1,"brak danych",IF(COUNTIFS($A$10:$A$89,$C247,$F$10:$F$89,"&lt;&gt;")=0,"brak danych",VLOOKUP($C247,$A$10:$J$89,6,FALSE)*$F247)))))</x:f>
      </x:c>
      <x:c r="M247" s="25" t="str">
        <x:f>IF($A247="","",IF($F247="","",IF($F247=0,0,IF(COUNTIFS($A$10:$A$89,$C247)&lt;&gt;1,"brak danych",IF(COUNTIFS($A$10:$A$89,$C247,$G$10:$G$89,"&lt;&gt;")=0,"brak danych",VLOOKUP($C247,$A$10:$J$89,7,FALSE)*$F247)))))</x:f>
      </x:c>
      <x:c r="N247" s="25" t="str">
        <x:f>IF($A247="","",IF($F247="","",IF($F247=0,0,IF(COUNTIFS($A$10:$A$89,$C247)&lt;&gt;1,"brak danych",IF(COUNTIFS($A$10:$A$89,$C247,$H$10:$H$89,"&lt;&gt;")=0,"brak danych",VLOOKUP($C247,$A$10:$J$89,8,FALSE)*$F247)))))</x:f>
      </x:c>
      <x:c r="O247" s="25" t="str">
        <x:f>IF($A247="","",IF($F247="","",IF($F247=0,0,IF(COUNTIFS($A$10:$A$89,$C247)&lt;&gt;1,"brak danych",IF(COUNTIFS($A$10:$A$89,$C247,$I$10:$I$89,"&lt;&gt;")=0,"brak danych",VLOOKUP($C247,$A$10:$J$89,9,FALSE)*$F247)))))</x:f>
      </x:c>
      <x:c r="P247" s="25" t="str">
        <x:f>IF($A247="","",IF($F247="","",IF($F247=0,0,IF(COUNTIFS($A$10:$A$89,$C247)&lt;&gt;1,"brak danych",IF(COUNTIFS($A$10:$A$89,$C247,$J$10:$J$89,"&lt;&gt;")=0,"brak danych",VLOOKUP($C247,$A$10:$J$89,10,FALSE)*$F247)))))</x:f>
      </x:c>
      <x:c r="Q247" s="18"/>
    </x:row>
    <x:row r="248" ht="25" customHeight="1">
      <x:c r="A248" s="6"/>
      <x:c r="B248" s="30"/>
      <x:c r="C248" s="5"/>
      <x:c r="D248" s="5"/>
      <x:c r="E248" s="32"/>
      <x:c r="F248" s="32"/>
      <x:c r="G248" s="24" t="str">
        <x:f>IF($A248="","",IF(AND($C248="",$E248=""),"",IF($E248="","brak danych",IF($E248=0,0,IF(COUNTIFS($A$10:$A$89,$C248)&lt;&gt;1,"brak danych",IF(COUNTIFS($A$10:$A$89,$C248,$F$10:$F$89,"&lt;&gt;")=0,"brak danych",VLOOKUP($C248,$A$10:$J$89,6,FALSE)*$E248))))))</x:f>
      </x:c>
      <x:c r="H248" s="25" t="str">
        <x:f>IF($A248="","",IF(AND($C248="",$E248=""),"",IF($E248="","brak danych",IF($E248=0,0,IF(COUNTIFS($A$10:$A$89,$C248)&lt;&gt;1,"brak danych",IF(COUNTIFS($A$10:$A$89,$C248,$G$10:$G$89,"&lt;&gt;")=0,"brak danych",VLOOKUP($C248,$A$10:$J$89,7,FALSE)*$E248))))))</x:f>
      </x:c>
      <x:c r="I248" s="25" t="str">
        <x:f>IF($A248="","",IF(AND($C248="",$E248=""),"",IF($E248="","brak danych",IF($E248=0,0,IF(COUNTIFS($A$10:$A$89,$C248)&lt;&gt;1,"brak danych",IF(COUNTIFS($A$10:$A$89,$C248,$H$10:$H$89,"&lt;&gt;")=0,"brak danych",VLOOKUP($C248,$A$10:$J$89,8,FALSE)*$E248))))))</x:f>
      </x:c>
      <x:c r="J248" s="25" t="str">
        <x:f>IF($A248="","",IF(AND($C248="",$E248=""),"",IF($E248="","brak danych",IF($E248=0,0,IF(COUNTIFS($A$10:$A$89,$C248)&lt;&gt;1,"brak danych",IF(COUNTIFS($A$10:$A$89,$C248,$I$10:$I$89,"&lt;&gt;")=0,"brak danych",VLOOKUP($C248,$A$10:$J$89,9,FALSE)*$E248))))))</x:f>
      </x:c>
      <x:c r="K248" s="25" t="str">
        <x:f>IF($A248="","",IF(AND($C248="",$E248=""),"",IF($E248="","brak danych",IF($E248=0,0,IF(COUNTIFS($A$10:$A$89,$C248)&lt;&gt;1,"brak danych",IF(COUNTIFS($A$10:$A$89,$C248,$J$10:$J$89,"&lt;&gt;")=0,"brak danych",VLOOKUP($C248,$A$10:$J$89,10,FALSE)*$E248))))))</x:f>
      </x:c>
      <x:c r="L248" s="24" t="str">
        <x:f>IF($A248="","",IF($F248="","",IF($F248=0,0,IF(COUNTIFS($A$10:$A$89,$C248)&lt;&gt;1,"brak danych",IF(COUNTIFS($A$10:$A$89,$C248,$F$10:$F$89,"&lt;&gt;")=0,"brak danych",VLOOKUP($C248,$A$10:$J$89,6,FALSE)*$F248)))))</x:f>
      </x:c>
      <x:c r="M248" s="25" t="str">
        <x:f>IF($A248="","",IF($F248="","",IF($F248=0,0,IF(COUNTIFS($A$10:$A$89,$C248)&lt;&gt;1,"brak danych",IF(COUNTIFS($A$10:$A$89,$C248,$G$10:$G$89,"&lt;&gt;")=0,"brak danych",VLOOKUP($C248,$A$10:$J$89,7,FALSE)*$F248)))))</x:f>
      </x:c>
      <x:c r="N248" s="25" t="str">
        <x:f>IF($A248="","",IF($F248="","",IF($F248=0,0,IF(COUNTIFS($A$10:$A$89,$C248)&lt;&gt;1,"brak danych",IF(COUNTIFS($A$10:$A$89,$C248,$H$10:$H$89,"&lt;&gt;")=0,"brak danych",VLOOKUP($C248,$A$10:$J$89,8,FALSE)*$F248)))))</x:f>
      </x:c>
      <x:c r="O248" s="25" t="str">
        <x:f>IF($A248="","",IF($F248="","",IF($F248=0,0,IF(COUNTIFS($A$10:$A$89,$C248)&lt;&gt;1,"brak danych",IF(COUNTIFS($A$10:$A$89,$C248,$I$10:$I$89,"&lt;&gt;")=0,"brak danych",VLOOKUP($C248,$A$10:$J$89,9,FALSE)*$F248)))))</x:f>
      </x:c>
      <x:c r="P248" s="25" t="str">
        <x:f>IF($A248="","",IF($F248="","",IF($F248=0,0,IF(COUNTIFS($A$10:$A$89,$C248)&lt;&gt;1,"brak danych",IF(COUNTIFS($A$10:$A$89,$C248,$J$10:$J$89,"&lt;&gt;")=0,"brak danych",VLOOKUP($C248,$A$10:$J$89,10,FALSE)*$F248)))))</x:f>
      </x:c>
      <x:c r="Q248" s="18"/>
    </x:row>
    <x:row r="249" ht="25" customHeight="1">
      <x:c r="A249" s="6"/>
      <x:c r="B249" s="30"/>
      <x:c r="C249" s="5"/>
      <x:c r="D249" s="5"/>
      <x:c r="E249" s="32"/>
      <x:c r="F249" s="32"/>
      <x:c r="G249" s="24" t="str">
        <x:f>IF($A249="","",IF(AND($C249="",$E249=""),"",IF($E249="","brak danych",IF($E249=0,0,IF(COUNTIFS($A$10:$A$89,$C249)&lt;&gt;1,"brak danych",IF(COUNTIFS($A$10:$A$89,$C249,$F$10:$F$89,"&lt;&gt;")=0,"brak danych",VLOOKUP($C249,$A$10:$J$89,6,FALSE)*$E249))))))</x:f>
      </x:c>
      <x:c r="H249" s="25" t="str">
        <x:f>IF($A249="","",IF(AND($C249="",$E249=""),"",IF($E249="","brak danych",IF($E249=0,0,IF(COUNTIFS($A$10:$A$89,$C249)&lt;&gt;1,"brak danych",IF(COUNTIFS($A$10:$A$89,$C249,$G$10:$G$89,"&lt;&gt;")=0,"brak danych",VLOOKUP($C249,$A$10:$J$89,7,FALSE)*$E249))))))</x:f>
      </x:c>
      <x:c r="I249" s="25" t="str">
        <x:f>IF($A249="","",IF(AND($C249="",$E249=""),"",IF($E249="","brak danych",IF($E249=0,0,IF(COUNTIFS($A$10:$A$89,$C249)&lt;&gt;1,"brak danych",IF(COUNTIFS($A$10:$A$89,$C249,$H$10:$H$89,"&lt;&gt;")=0,"brak danych",VLOOKUP($C249,$A$10:$J$89,8,FALSE)*$E249))))))</x:f>
      </x:c>
      <x:c r="J249" s="25" t="str">
        <x:f>IF($A249="","",IF(AND($C249="",$E249=""),"",IF($E249="","brak danych",IF($E249=0,0,IF(COUNTIFS($A$10:$A$89,$C249)&lt;&gt;1,"brak danych",IF(COUNTIFS($A$10:$A$89,$C249,$I$10:$I$89,"&lt;&gt;")=0,"brak danych",VLOOKUP($C249,$A$10:$J$89,9,FALSE)*$E249))))))</x:f>
      </x:c>
      <x:c r="K249" s="25" t="str">
        <x:f>IF($A249="","",IF(AND($C249="",$E249=""),"",IF($E249="","brak danych",IF($E249=0,0,IF(COUNTIFS($A$10:$A$89,$C249)&lt;&gt;1,"brak danych",IF(COUNTIFS($A$10:$A$89,$C249,$J$10:$J$89,"&lt;&gt;")=0,"brak danych",VLOOKUP($C249,$A$10:$J$89,10,FALSE)*$E249))))))</x:f>
      </x:c>
      <x:c r="L249" s="24" t="str">
        <x:f>IF($A249="","",IF($F249="","",IF($F249=0,0,IF(COUNTIFS($A$10:$A$89,$C249)&lt;&gt;1,"brak danych",IF(COUNTIFS($A$10:$A$89,$C249,$F$10:$F$89,"&lt;&gt;")=0,"brak danych",VLOOKUP($C249,$A$10:$J$89,6,FALSE)*$F249)))))</x:f>
      </x:c>
      <x:c r="M249" s="25" t="str">
        <x:f>IF($A249="","",IF($F249="","",IF($F249=0,0,IF(COUNTIFS($A$10:$A$89,$C249)&lt;&gt;1,"brak danych",IF(COUNTIFS($A$10:$A$89,$C249,$G$10:$G$89,"&lt;&gt;")=0,"brak danych",VLOOKUP($C249,$A$10:$J$89,7,FALSE)*$F249)))))</x:f>
      </x:c>
      <x:c r="N249" s="25" t="str">
        <x:f>IF($A249="","",IF($F249="","",IF($F249=0,0,IF(COUNTIFS($A$10:$A$89,$C249)&lt;&gt;1,"brak danych",IF(COUNTIFS($A$10:$A$89,$C249,$H$10:$H$89,"&lt;&gt;")=0,"brak danych",VLOOKUP($C249,$A$10:$J$89,8,FALSE)*$F249)))))</x:f>
      </x:c>
      <x:c r="O249" s="25" t="str">
        <x:f>IF($A249="","",IF($F249="","",IF($F249=0,0,IF(COUNTIFS($A$10:$A$89,$C249)&lt;&gt;1,"brak danych",IF(COUNTIFS($A$10:$A$89,$C249,$I$10:$I$89,"&lt;&gt;")=0,"brak danych",VLOOKUP($C249,$A$10:$J$89,9,FALSE)*$F249)))))</x:f>
      </x:c>
      <x:c r="P249" s="25" t="str">
        <x:f>IF($A249="","",IF($F249="","",IF($F249=0,0,IF(COUNTIFS($A$10:$A$89,$C249)&lt;&gt;1,"brak danych",IF(COUNTIFS($A$10:$A$89,$C249,$J$10:$J$89,"&lt;&gt;")=0,"brak danych",VLOOKUP($C249,$A$10:$J$89,10,FALSE)*$F249)))))</x:f>
      </x:c>
      <x:c r="Q249" s="18"/>
    </x:row>
    <x:row r="250" ht="25" customHeight="1">
      <x:c r="A250" s="6"/>
      <x:c r="B250" s="30"/>
      <x:c r="C250" s="5"/>
      <x:c r="D250" s="5"/>
      <x:c r="E250" s="32"/>
      <x:c r="F250" s="32"/>
      <x:c r="G250" s="24" t="str">
        <x:f>IF($A250="","",IF(AND($C250="",$E250=""),"",IF($E250="","brak danych",IF($E250=0,0,IF(COUNTIFS($A$10:$A$89,$C250)&lt;&gt;1,"brak danych",IF(COUNTIFS($A$10:$A$89,$C250,$F$10:$F$89,"&lt;&gt;")=0,"brak danych",VLOOKUP($C250,$A$10:$J$89,6,FALSE)*$E250))))))</x:f>
      </x:c>
      <x:c r="H250" s="25" t="str">
        <x:f>IF($A250="","",IF(AND($C250="",$E250=""),"",IF($E250="","brak danych",IF($E250=0,0,IF(COUNTIFS($A$10:$A$89,$C250)&lt;&gt;1,"brak danych",IF(COUNTIFS($A$10:$A$89,$C250,$G$10:$G$89,"&lt;&gt;")=0,"brak danych",VLOOKUP($C250,$A$10:$J$89,7,FALSE)*$E250))))))</x:f>
      </x:c>
      <x:c r="I250" s="25" t="str">
        <x:f>IF($A250="","",IF(AND($C250="",$E250=""),"",IF($E250="","brak danych",IF($E250=0,0,IF(COUNTIFS($A$10:$A$89,$C250)&lt;&gt;1,"brak danych",IF(COUNTIFS($A$10:$A$89,$C250,$H$10:$H$89,"&lt;&gt;")=0,"brak danych",VLOOKUP($C250,$A$10:$J$89,8,FALSE)*$E250))))))</x:f>
      </x:c>
      <x:c r="J250" s="25" t="str">
        <x:f>IF($A250="","",IF(AND($C250="",$E250=""),"",IF($E250="","brak danych",IF($E250=0,0,IF(COUNTIFS($A$10:$A$89,$C250)&lt;&gt;1,"brak danych",IF(COUNTIFS($A$10:$A$89,$C250,$I$10:$I$89,"&lt;&gt;")=0,"brak danych",VLOOKUP($C250,$A$10:$J$89,9,FALSE)*$E250))))))</x:f>
      </x:c>
      <x:c r="K250" s="25" t="str">
        <x:f>IF($A250="","",IF(AND($C250="",$E250=""),"",IF($E250="","brak danych",IF($E250=0,0,IF(COUNTIFS($A$10:$A$89,$C250)&lt;&gt;1,"brak danych",IF(COUNTIFS($A$10:$A$89,$C250,$J$10:$J$89,"&lt;&gt;")=0,"brak danych",VLOOKUP($C250,$A$10:$J$89,10,FALSE)*$E250))))))</x:f>
      </x:c>
      <x:c r="L250" s="24" t="str">
        <x:f>IF($A250="","",IF($F250="","",IF($F250=0,0,IF(COUNTIFS($A$10:$A$89,$C250)&lt;&gt;1,"brak danych",IF(COUNTIFS($A$10:$A$89,$C250,$F$10:$F$89,"&lt;&gt;")=0,"brak danych",VLOOKUP($C250,$A$10:$J$89,6,FALSE)*$F250)))))</x:f>
      </x:c>
      <x:c r="M250" s="25" t="str">
        <x:f>IF($A250="","",IF($F250="","",IF($F250=0,0,IF(COUNTIFS($A$10:$A$89,$C250)&lt;&gt;1,"brak danych",IF(COUNTIFS($A$10:$A$89,$C250,$G$10:$G$89,"&lt;&gt;")=0,"brak danych",VLOOKUP($C250,$A$10:$J$89,7,FALSE)*$F250)))))</x:f>
      </x:c>
      <x:c r="N250" s="25" t="str">
        <x:f>IF($A250="","",IF($F250="","",IF($F250=0,0,IF(COUNTIFS($A$10:$A$89,$C250)&lt;&gt;1,"brak danych",IF(COUNTIFS($A$10:$A$89,$C250,$H$10:$H$89,"&lt;&gt;")=0,"brak danych",VLOOKUP($C250,$A$10:$J$89,8,FALSE)*$F250)))))</x:f>
      </x:c>
      <x:c r="O250" s="25" t="str">
        <x:f>IF($A250="","",IF($F250="","",IF($F250=0,0,IF(COUNTIFS($A$10:$A$89,$C250)&lt;&gt;1,"brak danych",IF(COUNTIFS($A$10:$A$89,$C250,$I$10:$I$89,"&lt;&gt;")=0,"brak danych",VLOOKUP($C250,$A$10:$J$89,9,FALSE)*$F250)))))</x:f>
      </x:c>
      <x:c r="P250" s="25" t="str">
        <x:f>IF($A250="","",IF($F250="","",IF($F250=0,0,IF(COUNTIFS($A$10:$A$89,$C250)&lt;&gt;1,"brak danych",IF(COUNTIFS($A$10:$A$89,$C250,$J$10:$J$89,"&lt;&gt;")=0,"brak danych",VLOOKUP($C250,$A$10:$J$89,10,FALSE)*$F250)))))</x:f>
      </x:c>
      <x:c r="Q250" s="18"/>
    </x:row>
    <x:row r="251" ht="25" customHeight="1">
      <x:c r="A251" s="6"/>
      <x:c r="B251" s="30"/>
      <x:c r="C251" s="5"/>
      <x:c r="D251" s="5"/>
      <x:c r="E251" s="32"/>
      <x:c r="F251" s="32"/>
      <x:c r="G251" s="24" t="str">
        <x:f>IF($A251="","",IF(AND($C251="",$E251=""),"",IF($E251="","brak danych",IF($E251=0,0,IF(COUNTIFS($A$10:$A$89,$C251)&lt;&gt;1,"brak danych",IF(COUNTIFS($A$10:$A$89,$C251,$F$10:$F$89,"&lt;&gt;")=0,"brak danych",VLOOKUP($C251,$A$10:$J$89,6,FALSE)*$E251))))))</x:f>
      </x:c>
      <x:c r="H251" s="25" t="str">
        <x:f>IF($A251="","",IF(AND($C251="",$E251=""),"",IF($E251="","brak danych",IF($E251=0,0,IF(COUNTIFS($A$10:$A$89,$C251)&lt;&gt;1,"brak danych",IF(COUNTIFS($A$10:$A$89,$C251,$G$10:$G$89,"&lt;&gt;")=0,"brak danych",VLOOKUP($C251,$A$10:$J$89,7,FALSE)*$E251))))))</x:f>
      </x:c>
      <x:c r="I251" s="25" t="str">
        <x:f>IF($A251="","",IF(AND($C251="",$E251=""),"",IF($E251="","brak danych",IF($E251=0,0,IF(COUNTIFS($A$10:$A$89,$C251)&lt;&gt;1,"brak danych",IF(COUNTIFS($A$10:$A$89,$C251,$H$10:$H$89,"&lt;&gt;")=0,"brak danych",VLOOKUP($C251,$A$10:$J$89,8,FALSE)*$E251))))))</x:f>
      </x:c>
      <x:c r="J251" s="25" t="str">
        <x:f>IF($A251="","",IF(AND($C251="",$E251=""),"",IF($E251="","brak danych",IF($E251=0,0,IF(COUNTIFS($A$10:$A$89,$C251)&lt;&gt;1,"brak danych",IF(COUNTIFS($A$10:$A$89,$C251,$I$10:$I$89,"&lt;&gt;")=0,"brak danych",VLOOKUP($C251,$A$10:$J$89,9,FALSE)*$E251))))))</x:f>
      </x:c>
      <x:c r="K251" s="25" t="str">
        <x:f>IF($A251="","",IF(AND($C251="",$E251=""),"",IF($E251="","brak danych",IF($E251=0,0,IF(COUNTIFS($A$10:$A$89,$C251)&lt;&gt;1,"brak danych",IF(COUNTIFS($A$10:$A$89,$C251,$J$10:$J$89,"&lt;&gt;")=0,"brak danych",VLOOKUP($C251,$A$10:$J$89,10,FALSE)*$E251))))))</x:f>
      </x:c>
      <x:c r="L251" s="24" t="str">
        <x:f>IF($A251="","",IF($F251="","",IF($F251=0,0,IF(COUNTIFS($A$10:$A$89,$C251)&lt;&gt;1,"brak danych",IF(COUNTIFS($A$10:$A$89,$C251,$F$10:$F$89,"&lt;&gt;")=0,"brak danych",VLOOKUP($C251,$A$10:$J$89,6,FALSE)*$F251)))))</x:f>
      </x:c>
      <x:c r="M251" s="25" t="str">
        <x:f>IF($A251="","",IF($F251="","",IF($F251=0,0,IF(COUNTIFS($A$10:$A$89,$C251)&lt;&gt;1,"brak danych",IF(COUNTIFS($A$10:$A$89,$C251,$G$10:$G$89,"&lt;&gt;")=0,"brak danych",VLOOKUP($C251,$A$10:$J$89,7,FALSE)*$F251)))))</x:f>
      </x:c>
      <x:c r="N251" s="25" t="str">
        <x:f>IF($A251="","",IF($F251="","",IF($F251=0,0,IF(COUNTIFS($A$10:$A$89,$C251)&lt;&gt;1,"brak danych",IF(COUNTIFS($A$10:$A$89,$C251,$H$10:$H$89,"&lt;&gt;")=0,"brak danych",VLOOKUP($C251,$A$10:$J$89,8,FALSE)*$F251)))))</x:f>
      </x:c>
      <x:c r="O251" s="25" t="str">
        <x:f>IF($A251="","",IF($F251="","",IF($F251=0,0,IF(COUNTIFS($A$10:$A$89,$C251)&lt;&gt;1,"brak danych",IF(COUNTIFS($A$10:$A$89,$C251,$I$10:$I$89,"&lt;&gt;")=0,"brak danych",VLOOKUP($C251,$A$10:$J$89,9,FALSE)*$F251)))))</x:f>
      </x:c>
      <x:c r="P251" s="25" t="str">
        <x:f>IF($A251="","",IF($F251="","",IF($F251=0,0,IF(COUNTIFS($A$10:$A$89,$C251)&lt;&gt;1,"brak danych",IF(COUNTIFS($A$10:$A$89,$C251,$J$10:$J$89,"&lt;&gt;")=0,"brak danych",VLOOKUP($C251,$A$10:$J$89,10,FALSE)*$F251)))))</x:f>
      </x:c>
      <x:c r="Q251" s="18"/>
    </x:row>
    <x:row r="252" ht="25" customHeight="1">
      <x:c r="A252" s="6"/>
      <x:c r="B252" s="30"/>
      <x:c r="C252" s="5"/>
      <x:c r="D252" s="5"/>
      <x:c r="E252" s="32"/>
      <x:c r="F252" s="32"/>
      <x:c r="G252" s="24" t="str">
        <x:f>IF($A252="","",IF(AND($C252="",$E252=""),"",IF($E252="","brak danych",IF($E252=0,0,IF(COUNTIFS($A$10:$A$89,$C252)&lt;&gt;1,"brak danych",IF(COUNTIFS($A$10:$A$89,$C252,$F$10:$F$89,"&lt;&gt;")=0,"brak danych",VLOOKUP($C252,$A$10:$J$89,6,FALSE)*$E252))))))</x:f>
      </x:c>
      <x:c r="H252" s="25" t="str">
        <x:f>IF($A252="","",IF(AND($C252="",$E252=""),"",IF($E252="","brak danych",IF($E252=0,0,IF(COUNTIFS($A$10:$A$89,$C252)&lt;&gt;1,"brak danych",IF(COUNTIFS($A$10:$A$89,$C252,$G$10:$G$89,"&lt;&gt;")=0,"brak danych",VLOOKUP($C252,$A$10:$J$89,7,FALSE)*$E252))))))</x:f>
      </x:c>
      <x:c r="I252" s="25" t="str">
        <x:f>IF($A252="","",IF(AND($C252="",$E252=""),"",IF($E252="","brak danych",IF($E252=0,0,IF(COUNTIFS($A$10:$A$89,$C252)&lt;&gt;1,"brak danych",IF(COUNTIFS($A$10:$A$89,$C252,$H$10:$H$89,"&lt;&gt;")=0,"brak danych",VLOOKUP($C252,$A$10:$J$89,8,FALSE)*$E252))))))</x:f>
      </x:c>
      <x:c r="J252" s="25" t="str">
        <x:f>IF($A252="","",IF(AND($C252="",$E252=""),"",IF($E252="","brak danych",IF($E252=0,0,IF(COUNTIFS($A$10:$A$89,$C252)&lt;&gt;1,"brak danych",IF(COUNTIFS($A$10:$A$89,$C252,$I$10:$I$89,"&lt;&gt;")=0,"brak danych",VLOOKUP($C252,$A$10:$J$89,9,FALSE)*$E252))))))</x:f>
      </x:c>
      <x:c r="K252" s="25" t="str">
        <x:f>IF($A252="","",IF(AND($C252="",$E252=""),"",IF($E252="","brak danych",IF($E252=0,0,IF(COUNTIFS($A$10:$A$89,$C252)&lt;&gt;1,"brak danych",IF(COUNTIFS($A$10:$A$89,$C252,$J$10:$J$89,"&lt;&gt;")=0,"brak danych",VLOOKUP($C252,$A$10:$J$89,10,FALSE)*$E252))))))</x:f>
      </x:c>
      <x:c r="L252" s="24" t="str">
        <x:f>IF($A252="","",IF($F252="","",IF($F252=0,0,IF(COUNTIFS($A$10:$A$89,$C252)&lt;&gt;1,"brak danych",IF(COUNTIFS($A$10:$A$89,$C252,$F$10:$F$89,"&lt;&gt;")=0,"brak danych",VLOOKUP($C252,$A$10:$J$89,6,FALSE)*$F252)))))</x:f>
      </x:c>
      <x:c r="M252" s="25" t="str">
        <x:f>IF($A252="","",IF($F252="","",IF($F252=0,0,IF(COUNTIFS($A$10:$A$89,$C252)&lt;&gt;1,"brak danych",IF(COUNTIFS($A$10:$A$89,$C252,$G$10:$G$89,"&lt;&gt;")=0,"brak danych",VLOOKUP($C252,$A$10:$J$89,7,FALSE)*$F252)))))</x:f>
      </x:c>
      <x:c r="N252" s="25" t="str">
        <x:f>IF($A252="","",IF($F252="","",IF($F252=0,0,IF(COUNTIFS($A$10:$A$89,$C252)&lt;&gt;1,"brak danych",IF(COUNTIFS($A$10:$A$89,$C252,$H$10:$H$89,"&lt;&gt;")=0,"brak danych",VLOOKUP($C252,$A$10:$J$89,8,FALSE)*$F252)))))</x:f>
      </x:c>
      <x:c r="O252" s="25" t="str">
        <x:f>IF($A252="","",IF($F252="","",IF($F252=0,0,IF(COUNTIFS($A$10:$A$89,$C252)&lt;&gt;1,"brak danych",IF(COUNTIFS($A$10:$A$89,$C252,$I$10:$I$89,"&lt;&gt;")=0,"brak danych",VLOOKUP($C252,$A$10:$J$89,9,FALSE)*$F252)))))</x:f>
      </x:c>
      <x:c r="P252" s="25" t="str">
        <x:f>IF($A252="","",IF($F252="","",IF($F252=0,0,IF(COUNTIFS($A$10:$A$89,$C252)&lt;&gt;1,"brak danych",IF(COUNTIFS($A$10:$A$89,$C252,$J$10:$J$89,"&lt;&gt;")=0,"brak danych",VLOOKUP($C252,$A$10:$J$89,10,FALSE)*$F252)))))</x:f>
      </x:c>
      <x:c r="Q252" s="18"/>
    </x:row>
    <x:row r="253" ht="25" customHeight="1">
      <x:c r="A253" s="6"/>
      <x:c r="B253" s="30"/>
      <x:c r="C253" s="5"/>
      <x:c r="D253" s="5"/>
      <x:c r="E253" s="32"/>
      <x:c r="F253" s="32"/>
      <x:c r="G253" s="24" t="str">
        <x:f>IF($A253="","",IF(AND($C253="",$E253=""),"",IF($E253="","brak danych",IF($E253=0,0,IF(COUNTIFS($A$10:$A$89,$C253)&lt;&gt;1,"brak danych",IF(COUNTIFS($A$10:$A$89,$C253,$F$10:$F$89,"&lt;&gt;")=0,"brak danych",VLOOKUP($C253,$A$10:$J$89,6,FALSE)*$E253))))))</x:f>
      </x:c>
      <x:c r="H253" s="25" t="str">
        <x:f>IF($A253="","",IF(AND($C253="",$E253=""),"",IF($E253="","brak danych",IF($E253=0,0,IF(COUNTIFS($A$10:$A$89,$C253)&lt;&gt;1,"brak danych",IF(COUNTIFS($A$10:$A$89,$C253,$G$10:$G$89,"&lt;&gt;")=0,"brak danych",VLOOKUP($C253,$A$10:$J$89,7,FALSE)*$E253))))))</x:f>
      </x:c>
      <x:c r="I253" s="25" t="str">
        <x:f>IF($A253="","",IF(AND($C253="",$E253=""),"",IF($E253="","brak danych",IF($E253=0,0,IF(COUNTIFS($A$10:$A$89,$C253)&lt;&gt;1,"brak danych",IF(COUNTIFS($A$10:$A$89,$C253,$H$10:$H$89,"&lt;&gt;")=0,"brak danych",VLOOKUP($C253,$A$10:$J$89,8,FALSE)*$E253))))))</x:f>
      </x:c>
      <x:c r="J253" s="25" t="str">
        <x:f>IF($A253="","",IF(AND($C253="",$E253=""),"",IF($E253="","brak danych",IF($E253=0,0,IF(COUNTIFS($A$10:$A$89,$C253)&lt;&gt;1,"brak danych",IF(COUNTIFS($A$10:$A$89,$C253,$I$10:$I$89,"&lt;&gt;")=0,"brak danych",VLOOKUP($C253,$A$10:$J$89,9,FALSE)*$E253))))))</x:f>
      </x:c>
      <x:c r="K253" s="25" t="str">
        <x:f>IF($A253="","",IF(AND($C253="",$E253=""),"",IF($E253="","brak danych",IF($E253=0,0,IF(COUNTIFS($A$10:$A$89,$C253)&lt;&gt;1,"brak danych",IF(COUNTIFS($A$10:$A$89,$C253,$J$10:$J$89,"&lt;&gt;")=0,"brak danych",VLOOKUP($C253,$A$10:$J$89,10,FALSE)*$E253))))))</x:f>
      </x:c>
      <x:c r="L253" s="24" t="str">
        <x:f>IF($A253="","",IF($F253="","",IF($F253=0,0,IF(COUNTIFS($A$10:$A$89,$C253)&lt;&gt;1,"brak danych",IF(COUNTIFS($A$10:$A$89,$C253,$F$10:$F$89,"&lt;&gt;")=0,"brak danych",VLOOKUP($C253,$A$10:$J$89,6,FALSE)*$F253)))))</x:f>
      </x:c>
      <x:c r="M253" s="25" t="str">
        <x:f>IF($A253="","",IF($F253="","",IF($F253=0,0,IF(COUNTIFS($A$10:$A$89,$C253)&lt;&gt;1,"brak danych",IF(COUNTIFS($A$10:$A$89,$C253,$G$10:$G$89,"&lt;&gt;")=0,"brak danych",VLOOKUP($C253,$A$10:$J$89,7,FALSE)*$F253)))))</x:f>
      </x:c>
      <x:c r="N253" s="25" t="str">
        <x:f>IF($A253="","",IF($F253="","",IF($F253=0,0,IF(COUNTIFS($A$10:$A$89,$C253)&lt;&gt;1,"brak danych",IF(COUNTIFS($A$10:$A$89,$C253,$H$10:$H$89,"&lt;&gt;")=0,"brak danych",VLOOKUP($C253,$A$10:$J$89,8,FALSE)*$F253)))))</x:f>
      </x:c>
      <x:c r="O253" s="25" t="str">
        <x:f>IF($A253="","",IF($F253="","",IF($F253=0,0,IF(COUNTIFS($A$10:$A$89,$C253)&lt;&gt;1,"brak danych",IF(COUNTIFS($A$10:$A$89,$C253,$I$10:$I$89,"&lt;&gt;")=0,"brak danych",VLOOKUP($C253,$A$10:$J$89,9,FALSE)*$F253)))))</x:f>
      </x:c>
      <x:c r="P253" s="25" t="str">
        <x:f>IF($A253="","",IF($F253="","",IF($F253=0,0,IF(COUNTIFS($A$10:$A$89,$C253)&lt;&gt;1,"brak danych",IF(COUNTIFS($A$10:$A$89,$C253,$J$10:$J$89,"&lt;&gt;")=0,"brak danych",VLOOKUP($C253,$A$10:$J$89,10,FALSE)*$F253)))))</x:f>
      </x:c>
      <x:c r="Q253" s="18"/>
    </x:row>
    <x:row r="254" ht="25" customHeight="1">
      <x:c r="A254" s="6"/>
      <x:c r="B254" s="30"/>
      <x:c r="C254" s="5"/>
      <x:c r="D254" s="5"/>
      <x:c r="E254" s="32"/>
      <x:c r="F254" s="32"/>
      <x:c r="G254" s="24" t="str">
        <x:f>IF($A254="","",IF(AND($C254="",$E254=""),"",IF($E254="","brak danych",IF($E254=0,0,IF(COUNTIFS($A$10:$A$89,$C254)&lt;&gt;1,"brak danych",IF(COUNTIFS($A$10:$A$89,$C254,$F$10:$F$89,"&lt;&gt;")=0,"brak danych",VLOOKUP($C254,$A$10:$J$89,6,FALSE)*$E254))))))</x:f>
      </x:c>
      <x:c r="H254" s="25" t="str">
        <x:f>IF($A254="","",IF(AND($C254="",$E254=""),"",IF($E254="","brak danych",IF($E254=0,0,IF(COUNTIFS($A$10:$A$89,$C254)&lt;&gt;1,"brak danych",IF(COUNTIFS($A$10:$A$89,$C254,$G$10:$G$89,"&lt;&gt;")=0,"brak danych",VLOOKUP($C254,$A$10:$J$89,7,FALSE)*$E254))))))</x:f>
      </x:c>
      <x:c r="I254" s="25" t="str">
        <x:f>IF($A254="","",IF(AND($C254="",$E254=""),"",IF($E254="","brak danych",IF($E254=0,0,IF(COUNTIFS($A$10:$A$89,$C254)&lt;&gt;1,"brak danych",IF(COUNTIFS($A$10:$A$89,$C254,$H$10:$H$89,"&lt;&gt;")=0,"brak danych",VLOOKUP($C254,$A$10:$J$89,8,FALSE)*$E254))))))</x:f>
      </x:c>
      <x:c r="J254" s="25" t="str">
        <x:f>IF($A254="","",IF(AND($C254="",$E254=""),"",IF($E254="","brak danych",IF($E254=0,0,IF(COUNTIFS($A$10:$A$89,$C254)&lt;&gt;1,"brak danych",IF(COUNTIFS($A$10:$A$89,$C254,$I$10:$I$89,"&lt;&gt;")=0,"brak danych",VLOOKUP($C254,$A$10:$J$89,9,FALSE)*$E254))))))</x:f>
      </x:c>
      <x:c r="K254" s="25" t="str">
        <x:f>IF($A254="","",IF(AND($C254="",$E254=""),"",IF($E254="","brak danych",IF($E254=0,0,IF(COUNTIFS($A$10:$A$89,$C254)&lt;&gt;1,"brak danych",IF(COUNTIFS($A$10:$A$89,$C254,$J$10:$J$89,"&lt;&gt;")=0,"brak danych",VLOOKUP($C254,$A$10:$J$89,10,FALSE)*$E254))))))</x:f>
      </x:c>
      <x:c r="L254" s="24" t="str">
        <x:f>IF($A254="","",IF($F254="","",IF($F254=0,0,IF(COUNTIFS($A$10:$A$89,$C254)&lt;&gt;1,"brak danych",IF(COUNTIFS($A$10:$A$89,$C254,$F$10:$F$89,"&lt;&gt;")=0,"brak danych",VLOOKUP($C254,$A$10:$J$89,6,FALSE)*$F254)))))</x:f>
      </x:c>
      <x:c r="M254" s="25" t="str">
        <x:f>IF($A254="","",IF($F254="","",IF($F254=0,0,IF(COUNTIFS($A$10:$A$89,$C254)&lt;&gt;1,"brak danych",IF(COUNTIFS($A$10:$A$89,$C254,$G$10:$G$89,"&lt;&gt;")=0,"brak danych",VLOOKUP($C254,$A$10:$J$89,7,FALSE)*$F254)))))</x:f>
      </x:c>
      <x:c r="N254" s="25" t="str">
        <x:f>IF($A254="","",IF($F254="","",IF($F254=0,0,IF(COUNTIFS($A$10:$A$89,$C254)&lt;&gt;1,"brak danych",IF(COUNTIFS($A$10:$A$89,$C254,$H$10:$H$89,"&lt;&gt;")=0,"brak danych",VLOOKUP($C254,$A$10:$J$89,8,FALSE)*$F254)))))</x:f>
      </x:c>
      <x:c r="O254" s="25" t="str">
        <x:f>IF($A254="","",IF($F254="","",IF($F254=0,0,IF(COUNTIFS($A$10:$A$89,$C254)&lt;&gt;1,"brak danych",IF(COUNTIFS($A$10:$A$89,$C254,$I$10:$I$89,"&lt;&gt;")=0,"brak danych",VLOOKUP($C254,$A$10:$J$89,9,FALSE)*$F254)))))</x:f>
      </x:c>
      <x:c r="P254" s="25" t="str">
        <x:f>IF($A254="","",IF($F254="","",IF($F254=0,0,IF(COUNTIFS($A$10:$A$89,$C254)&lt;&gt;1,"brak danych",IF(COUNTIFS($A$10:$A$89,$C254,$J$10:$J$89,"&lt;&gt;")=0,"brak danych",VLOOKUP($C254,$A$10:$J$89,10,FALSE)*$F254)))))</x:f>
      </x:c>
      <x:c r="Q254" s="18"/>
    </x:row>
    <x:row r="255" ht="25" customHeight="1">
      <x:c r="A255" s="6"/>
      <x:c r="B255" s="30"/>
      <x:c r="C255" s="5"/>
      <x:c r="D255" s="5"/>
      <x:c r="E255" s="32"/>
      <x:c r="F255" s="32"/>
      <x:c r="G255" s="24" t="str">
        <x:f>IF($A255="","",IF(AND($C255="",$E255=""),"",IF($E255="","brak danych",IF($E255=0,0,IF(COUNTIFS($A$10:$A$89,$C255)&lt;&gt;1,"brak danych",IF(COUNTIFS($A$10:$A$89,$C255,$F$10:$F$89,"&lt;&gt;")=0,"brak danych",VLOOKUP($C255,$A$10:$J$89,6,FALSE)*$E255))))))</x:f>
      </x:c>
      <x:c r="H255" s="25" t="str">
        <x:f>IF($A255="","",IF(AND($C255="",$E255=""),"",IF($E255="","brak danych",IF($E255=0,0,IF(COUNTIFS($A$10:$A$89,$C255)&lt;&gt;1,"brak danych",IF(COUNTIFS($A$10:$A$89,$C255,$G$10:$G$89,"&lt;&gt;")=0,"brak danych",VLOOKUP($C255,$A$10:$J$89,7,FALSE)*$E255))))))</x:f>
      </x:c>
      <x:c r="I255" s="25" t="str">
        <x:f>IF($A255="","",IF(AND($C255="",$E255=""),"",IF($E255="","brak danych",IF($E255=0,0,IF(COUNTIFS($A$10:$A$89,$C255)&lt;&gt;1,"brak danych",IF(COUNTIFS($A$10:$A$89,$C255,$H$10:$H$89,"&lt;&gt;")=0,"brak danych",VLOOKUP($C255,$A$10:$J$89,8,FALSE)*$E255))))))</x:f>
      </x:c>
      <x:c r="J255" s="25" t="str">
        <x:f>IF($A255="","",IF(AND($C255="",$E255=""),"",IF($E255="","brak danych",IF($E255=0,0,IF(COUNTIFS($A$10:$A$89,$C255)&lt;&gt;1,"brak danych",IF(COUNTIFS($A$10:$A$89,$C255,$I$10:$I$89,"&lt;&gt;")=0,"brak danych",VLOOKUP($C255,$A$10:$J$89,9,FALSE)*$E255))))))</x:f>
      </x:c>
      <x:c r="K255" s="25" t="str">
        <x:f>IF($A255="","",IF(AND($C255="",$E255=""),"",IF($E255="","brak danych",IF($E255=0,0,IF(COUNTIFS($A$10:$A$89,$C255)&lt;&gt;1,"brak danych",IF(COUNTIFS($A$10:$A$89,$C255,$J$10:$J$89,"&lt;&gt;")=0,"brak danych",VLOOKUP($C255,$A$10:$J$89,10,FALSE)*$E255))))))</x:f>
      </x:c>
      <x:c r="L255" s="24" t="str">
        <x:f>IF($A255="","",IF($F255="","",IF($F255=0,0,IF(COUNTIFS($A$10:$A$89,$C255)&lt;&gt;1,"brak danych",IF(COUNTIFS($A$10:$A$89,$C255,$F$10:$F$89,"&lt;&gt;")=0,"brak danych",VLOOKUP($C255,$A$10:$J$89,6,FALSE)*$F255)))))</x:f>
      </x:c>
      <x:c r="M255" s="25" t="str">
        <x:f>IF($A255="","",IF($F255="","",IF($F255=0,0,IF(COUNTIFS($A$10:$A$89,$C255)&lt;&gt;1,"brak danych",IF(COUNTIFS($A$10:$A$89,$C255,$G$10:$G$89,"&lt;&gt;")=0,"brak danych",VLOOKUP($C255,$A$10:$J$89,7,FALSE)*$F255)))))</x:f>
      </x:c>
      <x:c r="N255" s="25" t="str">
        <x:f>IF($A255="","",IF($F255="","",IF($F255=0,0,IF(COUNTIFS($A$10:$A$89,$C255)&lt;&gt;1,"brak danych",IF(COUNTIFS($A$10:$A$89,$C255,$H$10:$H$89,"&lt;&gt;")=0,"brak danych",VLOOKUP($C255,$A$10:$J$89,8,FALSE)*$F255)))))</x:f>
      </x:c>
      <x:c r="O255" s="25" t="str">
        <x:f>IF($A255="","",IF($F255="","",IF($F255=0,0,IF(COUNTIFS($A$10:$A$89,$C255)&lt;&gt;1,"brak danych",IF(COUNTIFS($A$10:$A$89,$C255,$I$10:$I$89,"&lt;&gt;")=0,"brak danych",VLOOKUP($C255,$A$10:$J$89,9,FALSE)*$F255)))))</x:f>
      </x:c>
      <x:c r="P255" s="25" t="str">
        <x:f>IF($A255="","",IF($F255="","",IF($F255=0,0,IF(COUNTIFS($A$10:$A$89,$C255)&lt;&gt;1,"brak danych",IF(COUNTIFS($A$10:$A$89,$C255,$J$10:$J$89,"&lt;&gt;")=0,"brak danych",VLOOKUP($C255,$A$10:$J$89,10,FALSE)*$F255)))))</x:f>
      </x:c>
      <x:c r="Q255" s="18"/>
    </x:row>
    <x:row r="256" ht="25" customHeight="1">
      <x:c r="A256" s="6"/>
      <x:c r="B256" s="30"/>
      <x:c r="C256" s="5"/>
      <x:c r="D256" s="5"/>
      <x:c r="E256" s="32"/>
      <x:c r="F256" s="32"/>
      <x:c r="G256" s="24" t="str">
        <x:f>IF($A256="","",IF(AND($C256="",$E256=""),"",IF($E256="","brak danych",IF($E256=0,0,IF(COUNTIFS($A$10:$A$89,$C256)&lt;&gt;1,"brak danych",IF(COUNTIFS($A$10:$A$89,$C256,$F$10:$F$89,"&lt;&gt;")=0,"brak danych",VLOOKUP($C256,$A$10:$J$89,6,FALSE)*$E256))))))</x:f>
      </x:c>
      <x:c r="H256" s="25" t="str">
        <x:f>IF($A256="","",IF(AND($C256="",$E256=""),"",IF($E256="","brak danych",IF($E256=0,0,IF(COUNTIFS($A$10:$A$89,$C256)&lt;&gt;1,"brak danych",IF(COUNTIFS($A$10:$A$89,$C256,$G$10:$G$89,"&lt;&gt;")=0,"brak danych",VLOOKUP($C256,$A$10:$J$89,7,FALSE)*$E256))))))</x:f>
      </x:c>
      <x:c r="I256" s="25" t="str">
        <x:f>IF($A256="","",IF(AND($C256="",$E256=""),"",IF($E256="","brak danych",IF($E256=0,0,IF(COUNTIFS($A$10:$A$89,$C256)&lt;&gt;1,"brak danych",IF(COUNTIFS($A$10:$A$89,$C256,$H$10:$H$89,"&lt;&gt;")=0,"brak danych",VLOOKUP($C256,$A$10:$J$89,8,FALSE)*$E256))))))</x:f>
      </x:c>
      <x:c r="J256" s="25" t="str">
        <x:f>IF($A256="","",IF(AND($C256="",$E256=""),"",IF($E256="","brak danych",IF($E256=0,0,IF(COUNTIFS($A$10:$A$89,$C256)&lt;&gt;1,"brak danych",IF(COUNTIFS($A$10:$A$89,$C256,$I$10:$I$89,"&lt;&gt;")=0,"brak danych",VLOOKUP($C256,$A$10:$J$89,9,FALSE)*$E256))))))</x:f>
      </x:c>
      <x:c r="K256" s="25" t="str">
        <x:f>IF($A256="","",IF(AND($C256="",$E256=""),"",IF($E256="","brak danych",IF($E256=0,0,IF(COUNTIFS($A$10:$A$89,$C256)&lt;&gt;1,"brak danych",IF(COUNTIFS($A$10:$A$89,$C256,$J$10:$J$89,"&lt;&gt;")=0,"brak danych",VLOOKUP($C256,$A$10:$J$89,10,FALSE)*$E256))))))</x:f>
      </x:c>
      <x:c r="L256" s="24" t="str">
        <x:f>IF($A256="","",IF($F256="","",IF($F256=0,0,IF(COUNTIFS($A$10:$A$89,$C256)&lt;&gt;1,"brak danych",IF(COUNTIFS($A$10:$A$89,$C256,$F$10:$F$89,"&lt;&gt;")=0,"brak danych",VLOOKUP($C256,$A$10:$J$89,6,FALSE)*$F256)))))</x:f>
      </x:c>
      <x:c r="M256" s="25" t="str">
        <x:f>IF($A256="","",IF($F256="","",IF($F256=0,0,IF(COUNTIFS($A$10:$A$89,$C256)&lt;&gt;1,"brak danych",IF(COUNTIFS($A$10:$A$89,$C256,$G$10:$G$89,"&lt;&gt;")=0,"brak danych",VLOOKUP($C256,$A$10:$J$89,7,FALSE)*$F256)))))</x:f>
      </x:c>
      <x:c r="N256" s="25" t="str">
        <x:f>IF($A256="","",IF($F256="","",IF($F256=0,0,IF(COUNTIFS($A$10:$A$89,$C256)&lt;&gt;1,"brak danych",IF(COUNTIFS($A$10:$A$89,$C256,$H$10:$H$89,"&lt;&gt;")=0,"brak danych",VLOOKUP($C256,$A$10:$J$89,8,FALSE)*$F256)))))</x:f>
      </x:c>
      <x:c r="O256" s="25" t="str">
        <x:f>IF($A256="","",IF($F256="","",IF($F256=0,0,IF(COUNTIFS($A$10:$A$89,$C256)&lt;&gt;1,"brak danych",IF(COUNTIFS($A$10:$A$89,$C256,$I$10:$I$89,"&lt;&gt;")=0,"brak danych",VLOOKUP($C256,$A$10:$J$89,9,FALSE)*$F256)))))</x:f>
      </x:c>
      <x:c r="P256" s="25" t="str">
        <x:f>IF($A256="","",IF($F256="","",IF($F256=0,0,IF(COUNTIFS($A$10:$A$89,$C256)&lt;&gt;1,"brak danych",IF(COUNTIFS($A$10:$A$89,$C256,$J$10:$J$89,"&lt;&gt;")=0,"brak danych",VLOOKUP($C256,$A$10:$J$89,10,FALSE)*$F256)))))</x:f>
      </x:c>
      <x:c r="Q256" s="18"/>
    </x:row>
    <x:row r="257" ht="25" customHeight="1">
      <x:c r="A257" s="6"/>
      <x:c r="B257" s="30"/>
      <x:c r="C257" s="5"/>
      <x:c r="D257" s="5"/>
      <x:c r="E257" s="32"/>
      <x:c r="F257" s="32"/>
      <x:c r="G257" s="24" t="str">
        <x:f>IF($A257="","",IF(AND($C257="",$E257=""),"",IF($E257="","brak danych",IF($E257=0,0,IF(COUNTIFS($A$10:$A$89,$C257)&lt;&gt;1,"brak danych",IF(COUNTIFS($A$10:$A$89,$C257,$F$10:$F$89,"&lt;&gt;")=0,"brak danych",VLOOKUP($C257,$A$10:$J$89,6,FALSE)*$E257))))))</x:f>
      </x:c>
      <x:c r="H257" s="25" t="str">
        <x:f>IF($A257="","",IF(AND($C257="",$E257=""),"",IF($E257="","brak danych",IF($E257=0,0,IF(COUNTIFS($A$10:$A$89,$C257)&lt;&gt;1,"brak danych",IF(COUNTIFS($A$10:$A$89,$C257,$G$10:$G$89,"&lt;&gt;")=0,"brak danych",VLOOKUP($C257,$A$10:$J$89,7,FALSE)*$E257))))))</x:f>
      </x:c>
      <x:c r="I257" s="25" t="str">
        <x:f>IF($A257="","",IF(AND($C257="",$E257=""),"",IF($E257="","brak danych",IF($E257=0,0,IF(COUNTIFS($A$10:$A$89,$C257)&lt;&gt;1,"brak danych",IF(COUNTIFS($A$10:$A$89,$C257,$H$10:$H$89,"&lt;&gt;")=0,"brak danych",VLOOKUP($C257,$A$10:$J$89,8,FALSE)*$E257))))))</x:f>
      </x:c>
      <x:c r="J257" s="25" t="str">
        <x:f>IF($A257="","",IF(AND($C257="",$E257=""),"",IF($E257="","brak danych",IF($E257=0,0,IF(COUNTIFS($A$10:$A$89,$C257)&lt;&gt;1,"brak danych",IF(COUNTIFS($A$10:$A$89,$C257,$I$10:$I$89,"&lt;&gt;")=0,"brak danych",VLOOKUP($C257,$A$10:$J$89,9,FALSE)*$E257))))))</x:f>
      </x:c>
      <x:c r="K257" s="25" t="str">
        <x:f>IF($A257="","",IF(AND($C257="",$E257=""),"",IF($E257="","brak danych",IF($E257=0,0,IF(COUNTIFS($A$10:$A$89,$C257)&lt;&gt;1,"brak danych",IF(COUNTIFS($A$10:$A$89,$C257,$J$10:$J$89,"&lt;&gt;")=0,"brak danych",VLOOKUP($C257,$A$10:$J$89,10,FALSE)*$E257))))))</x:f>
      </x:c>
      <x:c r="L257" s="24" t="str">
        <x:f>IF($A257="","",IF($F257="","",IF($F257=0,0,IF(COUNTIFS($A$10:$A$89,$C257)&lt;&gt;1,"brak danych",IF(COUNTIFS($A$10:$A$89,$C257,$F$10:$F$89,"&lt;&gt;")=0,"brak danych",VLOOKUP($C257,$A$10:$J$89,6,FALSE)*$F257)))))</x:f>
      </x:c>
      <x:c r="M257" s="25" t="str">
        <x:f>IF($A257="","",IF($F257="","",IF($F257=0,0,IF(COUNTIFS($A$10:$A$89,$C257)&lt;&gt;1,"brak danych",IF(COUNTIFS($A$10:$A$89,$C257,$G$10:$G$89,"&lt;&gt;")=0,"brak danych",VLOOKUP($C257,$A$10:$J$89,7,FALSE)*$F257)))))</x:f>
      </x:c>
      <x:c r="N257" s="25" t="str">
        <x:f>IF($A257="","",IF($F257="","",IF($F257=0,0,IF(COUNTIFS($A$10:$A$89,$C257)&lt;&gt;1,"brak danych",IF(COUNTIFS($A$10:$A$89,$C257,$H$10:$H$89,"&lt;&gt;")=0,"brak danych",VLOOKUP($C257,$A$10:$J$89,8,FALSE)*$F257)))))</x:f>
      </x:c>
      <x:c r="O257" s="25" t="str">
        <x:f>IF($A257="","",IF($F257="","",IF($F257=0,0,IF(COUNTIFS($A$10:$A$89,$C257)&lt;&gt;1,"brak danych",IF(COUNTIFS($A$10:$A$89,$C257,$I$10:$I$89,"&lt;&gt;")=0,"brak danych",VLOOKUP($C257,$A$10:$J$89,9,FALSE)*$F257)))))</x:f>
      </x:c>
      <x:c r="P257" s="25" t="str">
        <x:f>IF($A257="","",IF($F257="","",IF($F257=0,0,IF(COUNTIFS($A$10:$A$89,$C257)&lt;&gt;1,"brak danych",IF(COUNTIFS($A$10:$A$89,$C257,$J$10:$J$89,"&lt;&gt;")=0,"brak danych",VLOOKUP($C257,$A$10:$J$89,10,FALSE)*$F257)))))</x:f>
      </x:c>
      <x:c r="Q257" s="18"/>
    </x:row>
    <x:row r="258" ht="25" customHeight="1">
      <x:c r="A258" s="6"/>
      <x:c r="B258" s="30"/>
      <x:c r="C258" s="5"/>
      <x:c r="D258" s="5"/>
      <x:c r="E258" s="32"/>
      <x:c r="F258" s="32"/>
      <x:c r="G258" s="24" t="str">
        <x:f>IF($A258="","",IF(AND($C258="",$E258=""),"",IF($E258="","brak danych",IF($E258=0,0,IF(COUNTIFS($A$10:$A$89,$C258)&lt;&gt;1,"brak danych",IF(COUNTIFS($A$10:$A$89,$C258,$F$10:$F$89,"&lt;&gt;")=0,"brak danych",VLOOKUP($C258,$A$10:$J$89,6,FALSE)*$E258))))))</x:f>
      </x:c>
      <x:c r="H258" s="25" t="str">
        <x:f>IF($A258="","",IF(AND($C258="",$E258=""),"",IF($E258="","brak danych",IF($E258=0,0,IF(COUNTIFS($A$10:$A$89,$C258)&lt;&gt;1,"brak danych",IF(COUNTIFS($A$10:$A$89,$C258,$G$10:$G$89,"&lt;&gt;")=0,"brak danych",VLOOKUP($C258,$A$10:$J$89,7,FALSE)*$E258))))))</x:f>
      </x:c>
      <x:c r="I258" s="25" t="str">
        <x:f>IF($A258="","",IF(AND($C258="",$E258=""),"",IF($E258="","brak danych",IF($E258=0,0,IF(COUNTIFS($A$10:$A$89,$C258)&lt;&gt;1,"brak danych",IF(COUNTIFS($A$10:$A$89,$C258,$H$10:$H$89,"&lt;&gt;")=0,"brak danych",VLOOKUP($C258,$A$10:$J$89,8,FALSE)*$E258))))))</x:f>
      </x:c>
      <x:c r="J258" s="25" t="str">
        <x:f>IF($A258="","",IF(AND($C258="",$E258=""),"",IF($E258="","brak danych",IF($E258=0,0,IF(COUNTIFS($A$10:$A$89,$C258)&lt;&gt;1,"brak danych",IF(COUNTIFS($A$10:$A$89,$C258,$I$10:$I$89,"&lt;&gt;")=0,"brak danych",VLOOKUP($C258,$A$10:$J$89,9,FALSE)*$E258))))))</x:f>
      </x:c>
      <x:c r="K258" s="25" t="str">
        <x:f>IF($A258="","",IF(AND($C258="",$E258=""),"",IF($E258="","brak danych",IF($E258=0,0,IF(COUNTIFS($A$10:$A$89,$C258)&lt;&gt;1,"brak danych",IF(COUNTIFS($A$10:$A$89,$C258,$J$10:$J$89,"&lt;&gt;")=0,"brak danych",VLOOKUP($C258,$A$10:$J$89,10,FALSE)*$E258))))))</x:f>
      </x:c>
      <x:c r="L258" s="24" t="str">
        <x:f>IF($A258="","",IF($F258="","",IF($F258=0,0,IF(COUNTIFS($A$10:$A$89,$C258)&lt;&gt;1,"brak danych",IF(COUNTIFS($A$10:$A$89,$C258,$F$10:$F$89,"&lt;&gt;")=0,"brak danych",VLOOKUP($C258,$A$10:$J$89,6,FALSE)*$F258)))))</x:f>
      </x:c>
      <x:c r="M258" s="25" t="str">
        <x:f>IF($A258="","",IF($F258="","",IF($F258=0,0,IF(COUNTIFS($A$10:$A$89,$C258)&lt;&gt;1,"brak danych",IF(COUNTIFS($A$10:$A$89,$C258,$G$10:$G$89,"&lt;&gt;")=0,"brak danych",VLOOKUP($C258,$A$10:$J$89,7,FALSE)*$F258)))))</x:f>
      </x:c>
      <x:c r="N258" s="25" t="str">
        <x:f>IF($A258="","",IF($F258="","",IF($F258=0,0,IF(COUNTIFS($A$10:$A$89,$C258)&lt;&gt;1,"brak danych",IF(COUNTIFS($A$10:$A$89,$C258,$H$10:$H$89,"&lt;&gt;")=0,"brak danych",VLOOKUP($C258,$A$10:$J$89,8,FALSE)*$F258)))))</x:f>
      </x:c>
      <x:c r="O258" s="25" t="str">
        <x:f>IF($A258="","",IF($F258="","",IF($F258=0,0,IF(COUNTIFS($A$10:$A$89,$C258)&lt;&gt;1,"brak danych",IF(COUNTIFS($A$10:$A$89,$C258,$I$10:$I$89,"&lt;&gt;")=0,"brak danych",VLOOKUP($C258,$A$10:$J$89,9,FALSE)*$F258)))))</x:f>
      </x:c>
      <x:c r="P258" s="25" t="str">
        <x:f>IF($A258="","",IF($F258="","",IF($F258=0,0,IF(COUNTIFS($A$10:$A$89,$C258)&lt;&gt;1,"brak danych",IF(COUNTIFS($A$10:$A$89,$C258,$J$10:$J$89,"&lt;&gt;")=0,"brak danych",VLOOKUP($C258,$A$10:$J$89,10,FALSE)*$F258)))))</x:f>
      </x:c>
      <x:c r="Q258" s="18"/>
    </x:row>
    <x:row r="259" ht="25" customHeight="1">
      <x:c r="A259" s="6"/>
      <x:c r="B259" s="30"/>
      <x:c r="C259" s="5"/>
      <x:c r="D259" s="5"/>
      <x:c r="E259" s="32"/>
      <x:c r="F259" s="32"/>
      <x:c r="G259" s="24" t="str">
        <x:f>IF($A259="","",IF(AND($C259="",$E259=""),"",IF($E259="","brak danych",IF($E259=0,0,IF(COUNTIFS($A$10:$A$89,$C259)&lt;&gt;1,"brak danych",IF(COUNTIFS($A$10:$A$89,$C259,$F$10:$F$89,"&lt;&gt;")=0,"brak danych",VLOOKUP($C259,$A$10:$J$89,6,FALSE)*$E259))))))</x:f>
      </x:c>
      <x:c r="H259" s="25" t="str">
        <x:f>IF($A259="","",IF(AND($C259="",$E259=""),"",IF($E259="","brak danych",IF($E259=0,0,IF(COUNTIFS($A$10:$A$89,$C259)&lt;&gt;1,"brak danych",IF(COUNTIFS($A$10:$A$89,$C259,$G$10:$G$89,"&lt;&gt;")=0,"brak danych",VLOOKUP($C259,$A$10:$J$89,7,FALSE)*$E259))))))</x:f>
      </x:c>
      <x:c r="I259" s="25" t="str">
        <x:f>IF($A259="","",IF(AND($C259="",$E259=""),"",IF($E259="","brak danych",IF($E259=0,0,IF(COUNTIFS($A$10:$A$89,$C259)&lt;&gt;1,"brak danych",IF(COUNTIFS($A$10:$A$89,$C259,$H$10:$H$89,"&lt;&gt;")=0,"brak danych",VLOOKUP($C259,$A$10:$J$89,8,FALSE)*$E259))))))</x:f>
      </x:c>
      <x:c r="J259" s="25" t="str">
        <x:f>IF($A259="","",IF(AND($C259="",$E259=""),"",IF($E259="","brak danych",IF($E259=0,0,IF(COUNTIFS($A$10:$A$89,$C259)&lt;&gt;1,"brak danych",IF(COUNTIFS($A$10:$A$89,$C259,$I$10:$I$89,"&lt;&gt;")=0,"brak danych",VLOOKUP($C259,$A$10:$J$89,9,FALSE)*$E259))))))</x:f>
      </x:c>
      <x:c r="K259" s="25" t="str">
        <x:f>IF($A259="","",IF(AND($C259="",$E259=""),"",IF($E259="","brak danych",IF($E259=0,0,IF(COUNTIFS($A$10:$A$89,$C259)&lt;&gt;1,"brak danych",IF(COUNTIFS($A$10:$A$89,$C259,$J$10:$J$89,"&lt;&gt;")=0,"brak danych",VLOOKUP($C259,$A$10:$J$89,10,FALSE)*$E259))))))</x:f>
      </x:c>
      <x:c r="L259" s="24" t="str">
        <x:f>IF($A259="","",IF($F259="","",IF($F259=0,0,IF(COUNTIFS($A$10:$A$89,$C259)&lt;&gt;1,"brak danych",IF(COUNTIFS($A$10:$A$89,$C259,$F$10:$F$89,"&lt;&gt;")=0,"brak danych",VLOOKUP($C259,$A$10:$J$89,6,FALSE)*$F259)))))</x:f>
      </x:c>
      <x:c r="M259" s="25" t="str">
        <x:f>IF($A259="","",IF($F259="","",IF($F259=0,0,IF(COUNTIFS($A$10:$A$89,$C259)&lt;&gt;1,"brak danych",IF(COUNTIFS($A$10:$A$89,$C259,$G$10:$G$89,"&lt;&gt;")=0,"brak danych",VLOOKUP($C259,$A$10:$J$89,7,FALSE)*$F259)))))</x:f>
      </x:c>
      <x:c r="N259" s="25" t="str">
        <x:f>IF($A259="","",IF($F259="","",IF($F259=0,0,IF(COUNTIFS($A$10:$A$89,$C259)&lt;&gt;1,"brak danych",IF(COUNTIFS($A$10:$A$89,$C259,$H$10:$H$89,"&lt;&gt;")=0,"brak danych",VLOOKUP($C259,$A$10:$J$89,8,FALSE)*$F259)))))</x:f>
      </x:c>
      <x:c r="O259" s="25" t="str">
        <x:f>IF($A259="","",IF($F259="","",IF($F259=0,0,IF(COUNTIFS($A$10:$A$89,$C259)&lt;&gt;1,"brak danych",IF(COUNTIFS($A$10:$A$89,$C259,$I$10:$I$89,"&lt;&gt;")=0,"brak danych",VLOOKUP($C259,$A$10:$J$89,9,FALSE)*$F259)))))</x:f>
      </x:c>
      <x:c r="P259" s="25" t="str">
        <x:f>IF($A259="","",IF($F259="","",IF($F259=0,0,IF(COUNTIFS($A$10:$A$89,$C259)&lt;&gt;1,"brak danych",IF(COUNTIFS($A$10:$A$89,$C259,$J$10:$J$89,"&lt;&gt;")=0,"brak danych",VLOOKUP($C259,$A$10:$J$89,10,FALSE)*$F259)))))</x:f>
      </x:c>
      <x:c r="Q259" s="18"/>
    </x:row>
    <x:row r="260" ht="25" customHeight="1">
      <x:c r="A260" s="6"/>
      <x:c r="B260" s="30"/>
      <x:c r="C260" s="5"/>
      <x:c r="D260" s="5"/>
      <x:c r="E260" s="32"/>
      <x:c r="F260" s="32"/>
      <x:c r="G260" s="24" t="str">
        <x:f>IF($A260="","",IF(AND($C260="",$E260=""),"",IF($E260="","brak danych",IF($E260=0,0,IF(COUNTIFS($A$10:$A$89,$C260)&lt;&gt;1,"brak danych",IF(COUNTIFS($A$10:$A$89,$C260,$F$10:$F$89,"&lt;&gt;")=0,"brak danych",VLOOKUP($C260,$A$10:$J$89,6,FALSE)*$E260))))))</x:f>
      </x:c>
      <x:c r="H260" s="25" t="str">
        <x:f>IF($A260="","",IF(AND($C260="",$E260=""),"",IF($E260="","brak danych",IF($E260=0,0,IF(COUNTIFS($A$10:$A$89,$C260)&lt;&gt;1,"brak danych",IF(COUNTIFS($A$10:$A$89,$C260,$G$10:$G$89,"&lt;&gt;")=0,"brak danych",VLOOKUP($C260,$A$10:$J$89,7,FALSE)*$E260))))))</x:f>
      </x:c>
      <x:c r="I260" s="25" t="str">
        <x:f>IF($A260="","",IF(AND($C260="",$E260=""),"",IF($E260="","brak danych",IF($E260=0,0,IF(COUNTIFS($A$10:$A$89,$C260)&lt;&gt;1,"brak danych",IF(COUNTIFS($A$10:$A$89,$C260,$H$10:$H$89,"&lt;&gt;")=0,"brak danych",VLOOKUP($C260,$A$10:$J$89,8,FALSE)*$E260))))))</x:f>
      </x:c>
      <x:c r="J260" s="25" t="str">
        <x:f>IF($A260="","",IF(AND($C260="",$E260=""),"",IF($E260="","brak danych",IF($E260=0,0,IF(COUNTIFS($A$10:$A$89,$C260)&lt;&gt;1,"brak danych",IF(COUNTIFS($A$10:$A$89,$C260,$I$10:$I$89,"&lt;&gt;")=0,"brak danych",VLOOKUP($C260,$A$10:$J$89,9,FALSE)*$E260))))))</x:f>
      </x:c>
      <x:c r="K260" s="25" t="str">
        <x:f>IF($A260="","",IF(AND($C260="",$E260=""),"",IF($E260="","brak danych",IF($E260=0,0,IF(COUNTIFS($A$10:$A$89,$C260)&lt;&gt;1,"brak danych",IF(COUNTIFS($A$10:$A$89,$C260,$J$10:$J$89,"&lt;&gt;")=0,"brak danych",VLOOKUP($C260,$A$10:$J$89,10,FALSE)*$E260))))))</x:f>
      </x:c>
      <x:c r="L260" s="24" t="str">
        <x:f>IF($A260="","",IF($F260="","",IF($F260=0,0,IF(COUNTIFS($A$10:$A$89,$C260)&lt;&gt;1,"brak danych",IF(COUNTIFS($A$10:$A$89,$C260,$F$10:$F$89,"&lt;&gt;")=0,"brak danych",VLOOKUP($C260,$A$10:$J$89,6,FALSE)*$F260)))))</x:f>
      </x:c>
      <x:c r="M260" s="25" t="str">
        <x:f>IF($A260="","",IF($F260="","",IF($F260=0,0,IF(COUNTIFS($A$10:$A$89,$C260)&lt;&gt;1,"brak danych",IF(COUNTIFS($A$10:$A$89,$C260,$G$10:$G$89,"&lt;&gt;")=0,"brak danych",VLOOKUP($C260,$A$10:$J$89,7,FALSE)*$F260)))))</x:f>
      </x:c>
      <x:c r="N260" s="25" t="str">
        <x:f>IF($A260="","",IF($F260="","",IF($F260=0,0,IF(COUNTIFS($A$10:$A$89,$C260)&lt;&gt;1,"brak danych",IF(COUNTIFS($A$10:$A$89,$C260,$H$10:$H$89,"&lt;&gt;")=0,"brak danych",VLOOKUP($C260,$A$10:$J$89,8,FALSE)*$F260)))))</x:f>
      </x:c>
      <x:c r="O260" s="25" t="str">
        <x:f>IF($A260="","",IF($F260="","",IF($F260=0,0,IF(COUNTIFS($A$10:$A$89,$C260)&lt;&gt;1,"brak danych",IF(COUNTIFS($A$10:$A$89,$C260,$I$10:$I$89,"&lt;&gt;")=0,"brak danych",VLOOKUP($C260,$A$10:$J$89,9,FALSE)*$F260)))))</x:f>
      </x:c>
      <x:c r="P260" s="25" t="str">
        <x:f>IF($A260="","",IF($F260="","",IF($F260=0,0,IF(COUNTIFS($A$10:$A$89,$C260)&lt;&gt;1,"brak danych",IF(COUNTIFS($A$10:$A$89,$C260,$J$10:$J$89,"&lt;&gt;")=0,"brak danych",VLOOKUP($C260,$A$10:$J$89,10,FALSE)*$F260)))))</x:f>
      </x:c>
      <x:c r="Q260" s="18"/>
    </x:row>
    <x:row r="261" ht="25" customHeight="1">
      <x:c r="A261" s="6"/>
      <x:c r="B261" s="30"/>
      <x:c r="C261" s="5"/>
      <x:c r="D261" s="5"/>
      <x:c r="E261" s="32"/>
      <x:c r="F261" s="32"/>
      <x:c r="G261" s="24" t="str">
        <x:f>IF($A261="","",IF(AND($C261="",$E261=""),"",IF($E261="","brak danych",IF($E261=0,0,IF(COUNTIFS($A$10:$A$89,$C261)&lt;&gt;1,"brak danych",IF(COUNTIFS($A$10:$A$89,$C261,$F$10:$F$89,"&lt;&gt;")=0,"brak danych",VLOOKUP($C261,$A$10:$J$89,6,FALSE)*$E261))))))</x:f>
      </x:c>
      <x:c r="H261" s="25" t="str">
        <x:f>IF($A261="","",IF(AND($C261="",$E261=""),"",IF($E261="","brak danych",IF($E261=0,0,IF(COUNTIFS($A$10:$A$89,$C261)&lt;&gt;1,"brak danych",IF(COUNTIFS($A$10:$A$89,$C261,$G$10:$G$89,"&lt;&gt;")=0,"brak danych",VLOOKUP($C261,$A$10:$J$89,7,FALSE)*$E261))))))</x:f>
      </x:c>
      <x:c r="I261" s="25" t="str">
        <x:f>IF($A261="","",IF(AND($C261="",$E261=""),"",IF($E261="","brak danych",IF($E261=0,0,IF(COUNTIFS($A$10:$A$89,$C261)&lt;&gt;1,"brak danych",IF(COUNTIFS($A$10:$A$89,$C261,$H$10:$H$89,"&lt;&gt;")=0,"brak danych",VLOOKUP($C261,$A$10:$J$89,8,FALSE)*$E261))))))</x:f>
      </x:c>
      <x:c r="J261" s="25" t="str">
        <x:f>IF($A261="","",IF(AND($C261="",$E261=""),"",IF($E261="","brak danych",IF($E261=0,0,IF(COUNTIFS($A$10:$A$89,$C261)&lt;&gt;1,"brak danych",IF(COUNTIFS($A$10:$A$89,$C261,$I$10:$I$89,"&lt;&gt;")=0,"brak danych",VLOOKUP($C261,$A$10:$J$89,9,FALSE)*$E261))))))</x:f>
      </x:c>
      <x:c r="K261" s="25" t="str">
        <x:f>IF($A261="","",IF(AND($C261="",$E261=""),"",IF($E261="","brak danych",IF($E261=0,0,IF(COUNTIFS($A$10:$A$89,$C261)&lt;&gt;1,"brak danych",IF(COUNTIFS($A$10:$A$89,$C261,$J$10:$J$89,"&lt;&gt;")=0,"brak danych",VLOOKUP($C261,$A$10:$J$89,10,FALSE)*$E261))))))</x:f>
      </x:c>
      <x:c r="L261" s="24" t="str">
        <x:f>IF($A261="","",IF($F261="","",IF($F261=0,0,IF(COUNTIFS($A$10:$A$89,$C261)&lt;&gt;1,"brak danych",IF(COUNTIFS($A$10:$A$89,$C261,$F$10:$F$89,"&lt;&gt;")=0,"brak danych",VLOOKUP($C261,$A$10:$J$89,6,FALSE)*$F261)))))</x:f>
      </x:c>
      <x:c r="M261" s="25" t="str">
        <x:f>IF($A261="","",IF($F261="","",IF($F261=0,0,IF(COUNTIFS($A$10:$A$89,$C261)&lt;&gt;1,"brak danych",IF(COUNTIFS($A$10:$A$89,$C261,$G$10:$G$89,"&lt;&gt;")=0,"brak danych",VLOOKUP($C261,$A$10:$J$89,7,FALSE)*$F261)))))</x:f>
      </x:c>
      <x:c r="N261" s="25" t="str">
        <x:f>IF($A261="","",IF($F261="","",IF($F261=0,0,IF(COUNTIFS($A$10:$A$89,$C261)&lt;&gt;1,"brak danych",IF(COUNTIFS($A$10:$A$89,$C261,$H$10:$H$89,"&lt;&gt;")=0,"brak danych",VLOOKUP($C261,$A$10:$J$89,8,FALSE)*$F261)))))</x:f>
      </x:c>
      <x:c r="O261" s="25" t="str">
        <x:f>IF($A261="","",IF($F261="","",IF($F261=0,0,IF(COUNTIFS($A$10:$A$89,$C261)&lt;&gt;1,"brak danych",IF(COUNTIFS($A$10:$A$89,$C261,$I$10:$I$89,"&lt;&gt;")=0,"brak danych",VLOOKUP($C261,$A$10:$J$89,9,FALSE)*$F261)))))</x:f>
      </x:c>
      <x:c r="P261" s="25" t="str">
        <x:f>IF($A261="","",IF($F261="","",IF($F261=0,0,IF(COUNTIFS($A$10:$A$89,$C261)&lt;&gt;1,"brak danych",IF(COUNTIFS($A$10:$A$89,$C261,$J$10:$J$89,"&lt;&gt;")=0,"brak danych",VLOOKUP($C261,$A$10:$J$89,10,FALSE)*$F261)))))</x:f>
      </x:c>
      <x:c r="Q261" s="18"/>
    </x:row>
    <x:row r="262" ht="25" customHeight="1">
      <x:c r="A262" s="6"/>
      <x:c r="B262" s="30"/>
      <x:c r="C262" s="5"/>
      <x:c r="D262" s="5"/>
      <x:c r="E262" s="32"/>
      <x:c r="F262" s="32"/>
      <x:c r="G262" s="24" t="str">
        <x:f>IF($A262="","",IF(AND($C262="",$E262=""),"",IF($E262="","brak danych",IF($E262=0,0,IF(COUNTIFS($A$10:$A$89,$C262)&lt;&gt;1,"brak danych",IF(COUNTIFS($A$10:$A$89,$C262,$F$10:$F$89,"&lt;&gt;")=0,"brak danych",VLOOKUP($C262,$A$10:$J$89,6,FALSE)*$E262))))))</x:f>
      </x:c>
      <x:c r="H262" s="25" t="str">
        <x:f>IF($A262="","",IF(AND($C262="",$E262=""),"",IF($E262="","brak danych",IF($E262=0,0,IF(COUNTIFS($A$10:$A$89,$C262)&lt;&gt;1,"brak danych",IF(COUNTIFS($A$10:$A$89,$C262,$G$10:$G$89,"&lt;&gt;")=0,"brak danych",VLOOKUP($C262,$A$10:$J$89,7,FALSE)*$E262))))))</x:f>
      </x:c>
      <x:c r="I262" s="25" t="str">
        <x:f>IF($A262="","",IF(AND($C262="",$E262=""),"",IF($E262="","brak danych",IF($E262=0,0,IF(COUNTIFS($A$10:$A$89,$C262)&lt;&gt;1,"brak danych",IF(COUNTIFS($A$10:$A$89,$C262,$H$10:$H$89,"&lt;&gt;")=0,"brak danych",VLOOKUP($C262,$A$10:$J$89,8,FALSE)*$E262))))))</x:f>
      </x:c>
      <x:c r="J262" s="25" t="str">
        <x:f>IF($A262="","",IF(AND($C262="",$E262=""),"",IF($E262="","brak danych",IF($E262=0,0,IF(COUNTIFS($A$10:$A$89,$C262)&lt;&gt;1,"brak danych",IF(COUNTIFS($A$10:$A$89,$C262,$I$10:$I$89,"&lt;&gt;")=0,"brak danych",VLOOKUP($C262,$A$10:$J$89,9,FALSE)*$E262))))))</x:f>
      </x:c>
      <x:c r="K262" s="25" t="str">
        <x:f>IF($A262="","",IF(AND($C262="",$E262=""),"",IF($E262="","brak danych",IF($E262=0,0,IF(COUNTIFS($A$10:$A$89,$C262)&lt;&gt;1,"brak danych",IF(COUNTIFS($A$10:$A$89,$C262,$J$10:$J$89,"&lt;&gt;")=0,"brak danych",VLOOKUP($C262,$A$10:$J$89,10,FALSE)*$E262))))))</x:f>
      </x:c>
      <x:c r="L262" s="24" t="str">
        <x:f>IF($A262="","",IF($F262="","",IF($F262=0,0,IF(COUNTIFS($A$10:$A$89,$C262)&lt;&gt;1,"brak danych",IF(COUNTIFS($A$10:$A$89,$C262,$F$10:$F$89,"&lt;&gt;")=0,"brak danych",VLOOKUP($C262,$A$10:$J$89,6,FALSE)*$F262)))))</x:f>
      </x:c>
      <x:c r="M262" s="25" t="str">
        <x:f>IF($A262="","",IF($F262="","",IF($F262=0,0,IF(COUNTIFS($A$10:$A$89,$C262)&lt;&gt;1,"brak danych",IF(COUNTIFS($A$10:$A$89,$C262,$G$10:$G$89,"&lt;&gt;")=0,"brak danych",VLOOKUP($C262,$A$10:$J$89,7,FALSE)*$F262)))))</x:f>
      </x:c>
      <x:c r="N262" s="25" t="str">
        <x:f>IF($A262="","",IF($F262="","",IF($F262=0,0,IF(COUNTIFS($A$10:$A$89,$C262)&lt;&gt;1,"brak danych",IF(COUNTIFS($A$10:$A$89,$C262,$H$10:$H$89,"&lt;&gt;")=0,"brak danych",VLOOKUP($C262,$A$10:$J$89,8,FALSE)*$F262)))))</x:f>
      </x:c>
      <x:c r="O262" s="25" t="str">
        <x:f>IF($A262="","",IF($F262="","",IF($F262=0,0,IF(COUNTIFS($A$10:$A$89,$C262)&lt;&gt;1,"brak danych",IF(COUNTIFS($A$10:$A$89,$C262,$I$10:$I$89,"&lt;&gt;")=0,"brak danych",VLOOKUP($C262,$A$10:$J$89,9,FALSE)*$F262)))))</x:f>
      </x:c>
      <x:c r="P262" s="25" t="str">
        <x:f>IF($A262="","",IF($F262="","",IF($F262=0,0,IF(COUNTIFS($A$10:$A$89,$C262)&lt;&gt;1,"brak danych",IF(COUNTIFS($A$10:$A$89,$C262,$J$10:$J$89,"&lt;&gt;")=0,"brak danych",VLOOKUP($C262,$A$10:$J$89,10,FALSE)*$F262)))))</x:f>
      </x:c>
      <x:c r="Q262" s="18"/>
    </x:row>
    <x:row r="263" ht="25" customHeight="1">
      <x:c r="A263" s="6"/>
      <x:c r="B263" s="30"/>
      <x:c r="C263" s="5"/>
      <x:c r="D263" s="5"/>
      <x:c r="E263" s="32"/>
      <x:c r="F263" s="32"/>
      <x:c r="G263" s="24" t="str">
        <x:f>IF($A263="","",IF(AND($C263="",$E263=""),"",IF($E263="","brak danych",IF($E263=0,0,IF(COUNTIFS($A$10:$A$89,$C263)&lt;&gt;1,"brak danych",IF(COUNTIFS($A$10:$A$89,$C263,$F$10:$F$89,"&lt;&gt;")=0,"brak danych",VLOOKUP($C263,$A$10:$J$89,6,FALSE)*$E263))))))</x:f>
      </x:c>
      <x:c r="H263" s="25" t="str">
        <x:f>IF($A263="","",IF(AND($C263="",$E263=""),"",IF($E263="","brak danych",IF($E263=0,0,IF(COUNTIFS($A$10:$A$89,$C263)&lt;&gt;1,"brak danych",IF(COUNTIFS($A$10:$A$89,$C263,$G$10:$G$89,"&lt;&gt;")=0,"brak danych",VLOOKUP($C263,$A$10:$J$89,7,FALSE)*$E263))))))</x:f>
      </x:c>
      <x:c r="I263" s="25" t="str">
        <x:f>IF($A263="","",IF(AND($C263="",$E263=""),"",IF($E263="","brak danych",IF($E263=0,0,IF(COUNTIFS($A$10:$A$89,$C263)&lt;&gt;1,"brak danych",IF(COUNTIFS($A$10:$A$89,$C263,$H$10:$H$89,"&lt;&gt;")=0,"brak danych",VLOOKUP($C263,$A$10:$J$89,8,FALSE)*$E263))))))</x:f>
      </x:c>
      <x:c r="J263" s="25" t="str">
        <x:f>IF($A263="","",IF(AND($C263="",$E263=""),"",IF($E263="","brak danych",IF($E263=0,0,IF(COUNTIFS($A$10:$A$89,$C263)&lt;&gt;1,"brak danych",IF(COUNTIFS($A$10:$A$89,$C263,$I$10:$I$89,"&lt;&gt;")=0,"brak danych",VLOOKUP($C263,$A$10:$J$89,9,FALSE)*$E263))))))</x:f>
      </x:c>
      <x:c r="K263" s="25" t="str">
        <x:f>IF($A263="","",IF(AND($C263="",$E263=""),"",IF($E263="","brak danych",IF($E263=0,0,IF(COUNTIFS($A$10:$A$89,$C263)&lt;&gt;1,"brak danych",IF(COUNTIFS($A$10:$A$89,$C263,$J$10:$J$89,"&lt;&gt;")=0,"brak danych",VLOOKUP($C263,$A$10:$J$89,10,FALSE)*$E263))))))</x:f>
      </x:c>
      <x:c r="L263" s="24" t="str">
        <x:f>IF($A263="","",IF($F263="","",IF($F263=0,0,IF(COUNTIFS($A$10:$A$89,$C263)&lt;&gt;1,"brak danych",IF(COUNTIFS($A$10:$A$89,$C263,$F$10:$F$89,"&lt;&gt;")=0,"brak danych",VLOOKUP($C263,$A$10:$J$89,6,FALSE)*$F263)))))</x:f>
      </x:c>
      <x:c r="M263" s="25" t="str">
        <x:f>IF($A263="","",IF($F263="","",IF($F263=0,0,IF(COUNTIFS($A$10:$A$89,$C263)&lt;&gt;1,"brak danych",IF(COUNTIFS($A$10:$A$89,$C263,$G$10:$G$89,"&lt;&gt;")=0,"brak danych",VLOOKUP($C263,$A$10:$J$89,7,FALSE)*$F263)))))</x:f>
      </x:c>
      <x:c r="N263" s="25" t="str">
        <x:f>IF($A263="","",IF($F263="","",IF($F263=0,0,IF(COUNTIFS($A$10:$A$89,$C263)&lt;&gt;1,"brak danych",IF(COUNTIFS($A$10:$A$89,$C263,$H$10:$H$89,"&lt;&gt;")=0,"brak danych",VLOOKUP($C263,$A$10:$J$89,8,FALSE)*$F263)))))</x:f>
      </x:c>
      <x:c r="O263" s="25" t="str">
        <x:f>IF($A263="","",IF($F263="","",IF($F263=0,0,IF(COUNTIFS($A$10:$A$89,$C263)&lt;&gt;1,"brak danych",IF(COUNTIFS($A$10:$A$89,$C263,$I$10:$I$89,"&lt;&gt;")=0,"brak danych",VLOOKUP($C263,$A$10:$J$89,9,FALSE)*$F263)))))</x:f>
      </x:c>
      <x:c r="P263" s="25" t="str">
        <x:f>IF($A263="","",IF($F263="","",IF($F263=0,0,IF(COUNTIFS($A$10:$A$89,$C263)&lt;&gt;1,"brak danych",IF(COUNTIFS($A$10:$A$89,$C263,$J$10:$J$89,"&lt;&gt;")=0,"brak danych",VLOOKUP($C263,$A$10:$J$89,10,FALSE)*$F263)))))</x:f>
      </x:c>
      <x:c r="Q263" s="18"/>
    </x:row>
    <x:row r="264" ht="25" customHeight="1">
      <x:c r="A264" s="6"/>
      <x:c r="B264" s="30"/>
      <x:c r="C264" s="5"/>
      <x:c r="D264" s="5"/>
      <x:c r="E264" s="32"/>
      <x:c r="F264" s="32"/>
      <x:c r="G264" s="24" t="str">
        <x:f>IF($A264="","",IF(AND($C264="",$E264=""),"",IF($E264="","brak danych",IF($E264=0,0,IF(COUNTIFS($A$10:$A$89,$C264)&lt;&gt;1,"brak danych",IF(COUNTIFS($A$10:$A$89,$C264,$F$10:$F$89,"&lt;&gt;")=0,"brak danych",VLOOKUP($C264,$A$10:$J$89,6,FALSE)*$E264))))))</x:f>
      </x:c>
      <x:c r="H264" s="25" t="str">
        <x:f>IF($A264="","",IF(AND($C264="",$E264=""),"",IF($E264="","brak danych",IF($E264=0,0,IF(COUNTIFS($A$10:$A$89,$C264)&lt;&gt;1,"brak danych",IF(COUNTIFS($A$10:$A$89,$C264,$G$10:$G$89,"&lt;&gt;")=0,"brak danych",VLOOKUP($C264,$A$10:$J$89,7,FALSE)*$E264))))))</x:f>
      </x:c>
      <x:c r="I264" s="25" t="str">
        <x:f>IF($A264="","",IF(AND($C264="",$E264=""),"",IF($E264="","brak danych",IF($E264=0,0,IF(COUNTIFS($A$10:$A$89,$C264)&lt;&gt;1,"brak danych",IF(COUNTIFS($A$10:$A$89,$C264,$H$10:$H$89,"&lt;&gt;")=0,"brak danych",VLOOKUP($C264,$A$10:$J$89,8,FALSE)*$E264))))))</x:f>
      </x:c>
      <x:c r="J264" s="25" t="str">
        <x:f>IF($A264="","",IF(AND($C264="",$E264=""),"",IF($E264="","brak danych",IF($E264=0,0,IF(COUNTIFS($A$10:$A$89,$C264)&lt;&gt;1,"brak danych",IF(COUNTIFS($A$10:$A$89,$C264,$I$10:$I$89,"&lt;&gt;")=0,"brak danych",VLOOKUP($C264,$A$10:$J$89,9,FALSE)*$E264))))))</x:f>
      </x:c>
      <x:c r="K264" s="25" t="str">
        <x:f>IF($A264="","",IF(AND($C264="",$E264=""),"",IF($E264="","brak danych",IF($E264=0,0,IF(COUNTIFS($A$10:$A$89,$C264)&lt;&gt;1,"brak danych",IF(COUNTIFS($A$10:$A$89,$C264,$J$10:$J$89,"&lt;&gt;")=0,"brak danych",VLOOKUP($C264,$A$10:$J$89,10,FALSE)*$E264))))))</x:f>
      </x:c>
      <x:c r="L264" s="24" t="str">
        <x:f>IF($A264="","",IF($F264="","",IF($F264=0,0,IF(COUNTIFS($A$10:$A$89,$C264)&lt;&gt;1,"brak danych",IF(COUNTIFS($A$10:$A$89,$C264,$F$10:$F$89,"&lt;&gt;")=0,"brak danych",VLOOKUP($C264,$A$10:$J$89,6,FALSE)*$F264)))))</x:f>
      </x:c>
      <x:c r="M264" s="25" t="str">
        <x:f>IF($A264="","",IF($F264="","",IF($F264=0,0,IF(COUNTIFS($A$10:$A$89,$C264)&lt;&gt;1,"brak danych",IF(COUNTIFS($A$10:$A$89,$C264,$G$10:$G$89,"&lt;&gt;")=0,"brak danych",VLOOKUP($C264,$A$10:$J$89,7,FALSE)*$F264)))))</x:f>
      </x:c>
      <x:c r="N264" s="25" t="str">
        <x:f>IF($A264="","",IF($F264="","",IF($F264=0,0,IF(COUNTIFS($A$10:$A$89,$C264)&lt;&gt;1,"brak danych",IF(COUNTIFS($A$10:$A$89,$C264,$H$10:$H$89,"&lt;&gt;")=0,"brak danych",VLOOKUP($C264,$A$10:$J$89,8,FALSE)*$F264)))))</x:f>
      </x:c>
      <x:c r="O264" s="25" t="str">
        <x:f>IF($A264="","",IF($F264="","",IF($F264=0,0,IF(COUNTIFS($A$10:$A$89,$C264)&lt;&gt;1,"brak danych",IF(COUNTIFS($A$10:$A$89,$C264,$I$10:$I$89,"&lt;&gt;")=0,"brak danych",VLOOKUP($C264,$A$10:$J$89,9,FALSE)*$F264)))))</x:f>
      </x:c>
      <x:c r="P264" s="25" t="str">
        <x:f>IF($A264="","",IF($F264="","",IF($F264=0,0,IF(COUNTIFS($A$10:$A$89,$C264)&lt;&gt;1,"brak danych",IF(COUNTIFS($A$10:$A$89,$C264,$J$10:$J$89,"&lt;&gt;")=0,"brak danych",VLOOKUP($C264,$A$10:$J$89,10,FALSE)*$F264)))))</x:f>
      </x:c>
      <x:c r="Q264" s="18"/>
    </x:row>
    <x:row r="265" ht="25" customHeight="1">
      <x:c r="A265" s="6"/>
      <x:c r="B265" s="30"/>
      <x:c r="C265" s="5"/>
      <x:c r="D265" s="5"/>
      <x:c r="E265" s="32"/>
      <x:c r="F265" s="32"/>
      <x:c r="G265" s="24" t="str">
        <x:f>IF($A265="","",IF(AND($C265="",$E265=""),"",IF($E265="","brak danych",IF($E265=0,0,IF(COUNTIFS($A$10:$A$89,$C265)&lt;&gt;1,"brak danych",IF(COUNTIFS($A$10:$A$89,$C265,$F$10:$F$89,"&lt;&gt;")=0,"brak danych",VLOOKUP($C265,$A$10:$J$89,6,FALSE)*$E265))))))</x:f>
      </x:c>
      <x:c r="H265" s="25" t="str">
        <x:f>IF($A265="","",IF(AND($C265="",$E265=""),"",IF($E265="","brak danych",IF($E265=0,0,IF(COUNTIFS($A$10:$A$89,$C265)&lt;&gt;1,"brak danych",IF(COUNTIFS($A$10:$A$89,$C265,$G$10:$G$89,"&lt;&gt;")=0,"brak danych",VLOOKUP($C265,$A$10:$J$89,7,FALSE)*$E265))))))</x:f>
      </x:c>
      <x:c r="I265" s="25" t="str">
        <x:f>IF($A265="","",IF(AND($C265="",$E265=""),"",IF($E265="","brak danych",IF($E265=0,0,IF(COUNTIFS($A$10:$A$89,$C265)&lt;&gt;1,"brak danych",IF(COUNTIFS($A$10:$A$89,$C265,$H$10:$H$89,"&lt;&gt;")=0,"brak danych",VLOOKUP($C265,$A$10:$J$89,8,FALSE)*$E265))))))</x:f>
      </x:c>
      <x:c r="J265" s="25" t="str">
        <x:f>IF($A265="","",IF(AND($C265="",$E265=""),"",IF($E265="","brak danych",IF($E265=0,0,IF(COUNTIFS($A$10:$A$89,$C265)&lt;&gt;1,"brak danych",IF(COUNTIFS($A$10:$A$89,$C265,$I$10:$I$89,"&lt;&gt;")=0,"brak danych",VLOOKUP($C265,$A$10:$J$89,9,FALSE)*$E265))))))</x:f>
      </x:c>
      <x:c r="K265" s="25" t="str">
        <x:f>IF($A265="","",IF(AND($C265="",$E265=""),"",IF($E265="","brak danych",IF($E265=0,0,IF(COUNTIFS($A$10:$A$89,$C265)&lt;&gt;1,"brak danych",IF(COUNTIFS($A$10:$A$89,$C265,$J$10:$J$89,"&lt;&gt;")=0,"brak danych",VLOOKUP($C265,$A$10:$J$89,10,FALSE)*$E265))))))</x:f>
      </x:c>
      <x:c r="L265" s="24" t="str">
        <x:f>IF($A265="","",IF($F265="","",IF($F265=0,0,IF(COUNTIFS($A$10:$A$89,$C265)&lt;&gt;1,"brak danych",IF(COUNTIFS($A$10:$A$89,$C265,$F$10:$F$89,"&lt;&gt;")=0,"brak danych",VLOOKUP($C265,$A$10:$J$89,6,FALSE)*$F265)))))</x:f>
      </x:c>
      <x:c r="M265" s="25" t="str">
        <x:f>IF($A265="","",IF($F265="","",IF($F265=0,0,IF(COUNTIFS($A$10:$A$89,$C265)&lt;&gt;1,"brak danych",IF(COUNTIFS($A$10:$A$89,$C265,$G$10:$G$89,"&lt;&gt;")=0,"brak danych",VLOOKUP($C265,$A$10:$J$89,7,FALSE)*$F265)))))</x:f>
      </x:c>
      <x:c r="N265" s="25" t="str">
        <x:f>IF($A265="","",IF($F265="","",IF($F265=0,0,IF(COUNTIFS($A$10:$A$89,$C265)&lt;&gt;1,"brak danych",IF(COUNTIFS($A$10:$A$89,$C265,$H$10:$H$89,"&lt;&gt;")=0,"brak danych",VLOOKUP($C265,$A$10:$J$89,8,FALSE)*$F265)))))</x:f>
      </x:c>
      <x:c r="O265" s="25" t="str">
        <x:f>IF($A265="","",IF($F265="","",IF($F265=0,0,IF(COUNTIFS($A$10:$A$89,$C265)&lt;&gt;1,"brak danych",IF(COUNTIFS($A$10:$A$89,$C265,$I$10:$I$89,"&lt;&gt;")=0,"brak danych",VLOOKUP($C265,$A$10:$J$89,9,FALSE)*$F265)))))</x:f>
      </x:c>
      <x:c r="P265" s="25" t="str">
        <x:f>IF($A265="","",IF($F265="","",IF($F265=0,0,IF(COUNTIFS($A$10:$A$89,$C265)&lt;&gt;1,"brak danych",IF(COUNTIFS($A$10:$A$89,$C265,$J$10:$J$89,"&lt;&gt;")=0,"brak danych",VLOOKUP($C265,$A$10:$J$89,10,FALSE)*$F265)))))</x:f>
      </x:c>
      <x:c r="Q265" s="18"/>
    </x:row>
    <x:row r="266" ht="25" customHeight="1">
      <x:c r="A266" s="6"/>
      <x:c r="B266" s="30"/>
      <x:c r="C266" s="5"/>
      <x:c r="D266" s="5"/>
      <x:c r="E266" s="32"/>
      <x:c r="F266" s="32"/>
      <x:c r="G266" s="24" t="str">
        <x:f>IF($A266="","",IF(AND($C266="",$E266=""),"",IF($E266="","brak danych",IF($E266=0,0,IF(COUNTIFS($A$10:$A$89,$C266)&lt;&gt;1,"brak danych",IF(COUNTIFS($A$10:$A$89,$C266,$F$10:$F$89,"&lt;&gt;")=0,"brak danych",VLOOKUP($C266,$A$10:$J$89,6,FALSE)*$E266))))))</x:f>
      </x:c>
      <x:c r="H266" s="25" t="str">
        <x:f>IF($A266="","",IF(AND($C266="",$E266=""),"",IF($E266="","brak danych",IF($E266=0,0,IF(COUNTIFS($A$10:$A$89,$C266)&lt;&gt;1,"brak danych",IF(COUNTIFS($A$10:$A$89,$C266,$G$10:$G$89,"&lt;&gt;")=0,"brak danych",VLOOKUP($C266,$A$10:$J$89,7,FALSE)*$E266))))))</x:f>
      </x:c>
      <x:c r="I266" s="25" t="str">
        <x:f>IF($A266="","",IF(AND($C266="",$E266=""),"",IF($E266="","brak danych",IF($E266=0,0,IF(COUNTIFS($A$10:$A$89,$C266)&lt;&gt;1,"brak danych",IF(COUNTIFS($A$10:$A$89,$C266,$H$10:$H$89,"&lt;&gt;")=0,"brak danych",VLOOKUP($C266,$A$10:$J$89,8,FALSE)*$E266))))))</x:f>
      </x:c>
      <x:c r="J266" s="25" t="str">
        <x:f>IF($A266="","",IF(AND($C266="",$E266=""),"",IF($E266="","brak danych",IF($E266=0,0,IF(COUNTIFS($A$10:$A$89,$C266)&lt;&gt;1,"brak danych",IF(COUNTIFS($A$10:$A$89,$C266,$I$10:$I$89,"&lt;&gt;")=0,"brak danych",VLOOKUP($C266,$A$10:$J$89,9,FALSE)*$E266))))))</x:f>
      </x:c>
      <x:c r="K266" s="25" t="str">
        <x:f>IF($A266="","",IF(AND($C266="",$E266=""),"",IF($E266="","brak danych",IF($E266=0,0,IF(COUNTIFS($A$10:$A$89,$C266)&lt;&gt;1,"brak danych",IF(COUNTIFS($A$10:$A$89,$C266,$J$10:$J$89,"&lt;&gt;")=0,"brak danych",VLOOKUP($C266,$A$10:$J$89,10,FALSE)*$E266))))))</x:f>
      </x:c>
      <x:c r="L266" s="24" t="str">
        <x:f>IF($A266="","",IF($F266="","",IF($F266=0,0,IF(COUNTIFS($A$10:$A$89,$C266)&lt;&gt;1,"brak danych",IF(COUNTIFS($A$10:$A$89,$C266,$F$10:$F$89,"&lt;&gt;")=0,"brak danych",VLOOKUP($C266,$A$10:$J$89,6,FALSE)*$F266)))))</x:f>
      </x:c>
      <x:c r="M266" s="25" t="str">
        <x:f>IF($A266="","",IF($F266="","",IF($F266=0,0,IF(COUNTIFS($A$10:$A$89,$C266)&lt;&gt;1,"brak danych",IF(COUNTIFS($A$10:$A$89,$C266,$G$10:$G$89,"&lt;&gt;")=0,"brak danych",VLOOKUP($C266,$A$10:$J$89,7,FALSE)*$F266)))))</x:f>
      </x:c>
      <x:c r="N266" s="25" t="str">
        <x:f>IF($A266="","",IF($F266="","",IF($F266=0,0,IF(COUNTIFS($A$10:$A$89,$C266)&lt;&gt;1,"brak danych",IF(COUNTIFS($A$10:$A$89,$C266,$H$10:$H$89,"&lt;&gt;")=0,"brak danych",VLOOKUP($C266,$A$10:$J$89,8,FALSE)*$F266)))))</x:f>
      </x:c>
      <x:c r="O266" s="25" t="str">
        <x:f>IF($A266="","",IF($F266="","",IF($F266=0,0,IF(COUNTIFS($A$10:$A$89,$C266)&lt;&gt;1,"brak danych",IF(COUNTIFS($A$10:$A$89,$C266,$I$10:$I$89,"&lt;&gt;")=0,"brak danych",VLOOKUP($C266,$A$10:$J$89,9,FALSE)*$F266)))))</x:f>
      </x:c>
      <x:c r="P266" s="25" t="str">
        <x:f>IF($A266="","",IF($F266="","",IF($F266=0,0,IF(COUNTIFS($A$10:$A$89,$C266)&lt;&gt;1,"brak danych",IF(COUNTIFS($A$10:$A$89,$C266,$J$10:$J$89,"&lt;&gt;")=0,"brak danych",VLOOKUP($C266,$A$10:$J$89,10,FALSE)*$F266)))))</x:f>
      </x:c>
      <x:c r="Q266" s="18"/>
    </x:row>
    <x:row r="267" ht="25" customHeight="1">
      <x:c r="A267" s="6"/>
      <x:c r="B267" s="30"/>
      <x:c r="C267" s="5"/>
      <x:c r="D267" s="5"/>
      <x:c r="E267" s="32"/>
      <x:c r="F267" s="32"/>
      <x:c r="G267" s="24" t="str">
        <x:f>IF($A267="","",IF(AND($C267="",$E267=""),"",IF($E267="","brak danych",IF($E267=0,0,IF(COUNTIFS($A$10:$A$89,$C267)&lt;&gt;1,"brak danych",IF(COUNTIFS($A$10:$A$89,$C267,$F$10:$F$89,"&lt;&gt;")=0,"brak danych",VLOOKUP($C267,$A$10:$J$89,6,FALSE)*$E267))))))</x:f>
      </x:c>
      <x:c r="H267" s="25" t="str">
        <x:f>IF($A267="","",IF(AND($C267="",$E267=""),"",IF($E267="","brak danych",IF($E267=0,0,IF(COUNTIFS($A$10:$A$89,$C267)&lt;&gt;1,"brak danych",IF(COUNTIFS($A$10:$A$89,$C267,$G$10:$G$89,"&lt;&gt;")=0,"brak danych",VLOOKUP($C267,$A$10:$J$89,7,FALSE)*$E267))))))</x:f>
      </x:c>
      <x:c r="I267" s="25" t="str">
        <x:f>IF($A267="","",IF(AND($C267="",$E267=""),"",IF($E267="","brak danych",IF($E267=0,0,IF(COUNTIFS($A$10:$A$89,$C267)&lt;&gt;1,"brak danych",IF(COUNTIFS($A$10:$A$89,$C267,$H$10:$H$89,"&lt;&gt;")=0,"brak danych",VLOOKUP($C267,$A$10:$J$89,8,FALSE)*$E267))))))</x:f>
      </x:c>
      <x:c r="J267" s="25" t="str">
        <x:f>IF($A267="","",IF(AND($C267="",$E267=""),"",IF($E267="","brak danych",IF($E267=0,0,IF(COUNTIFS($A$10:$A$89,$C267)&lt;&gt;1,"brak danych",IF(COUNTIFS($A$10:$A$89,$C267,$I$10:$I$89,"&lt;&gt;")=0,"brak danych",VLOOKUP($C267,$A$10:$J$89,9,FALSE)*$E267))))))</x:f>
      </x:c>
      <x:c r="K267" s="25" t="str">
        <x:f>IF($A267="","",IF(AND($C267="",$E267=""),"",IF($E267="","brak danych",IF($E267=0,0,IF(COUNTIFS($A$10:$A$89,$C267)&lt;&gt;1,"brak danych",IF(COUNTIFS($A$10:$A$89,$C267,$J$10:$J$89,"&lt;&gt;")=0,"brak danych",VLOOKUP($C267,$A$10:$J$89,10,FALSE)*$E267))))))</x:f>
      </x:c>
      <x:c r="L267" s="24" t="str">
        <x:f>IF($A267="","",IF($F267="","",IF($F267=0,0,IF(COUNTIFS($A$10:$A$89,$C267)&lt;&gt;1,"brak danych",IF(COUNTIFS($A$10:$A$89,$C267,$F$10:$F$89,"&lt;&gt;")=0,"brak danych",VLOOKUP($C267,$A$10:$J$89,6,FALSE)*$F267)))))</x:f>
      </x:c>
      <x:c r="M267" s="25" t="str">
        <x:f>IF($A267="","",IF($F267="","",IF($F267=0,0,IF(COUNTIFS($A$10:$A$89,$C267)&lt;&gt;1,"brak danych",IF(COUNTIFS($A$10:$A$89,$C267,$G$10:$G$89,"&lt;&gt;")=0,"brak danych",VLOOKUP($C267,$A$10:$J$89,7,FALSE)*$F267)))))</x:f>
      </x:c>
      <x:c r="N267" s="25" t="str">
        <x:f>IF($A267="","",IF($F267="","",IF($F267=0,0,IF(COUNTIFS($A$10:$A$89,$C267)&lt;&gt;1,"brak danych",IF(COUNTIFS($A$10:$A$89,$C267,$H$10:$H$89,"&lt;&gt;")=0,"brak danych",VLOOKUP($C267,$A$10:$J$89,8,FALSE)*$F267)))))</x:f>
      </x:c>
      <x:c r="O267" s="25" t="str">
        <x:f>IF($A267="","",IF($F267="","",IF($F267=0,0,IF(COUNTIFS($A$10:$A$89,$C267)&lt;&gt;1,"brak danych",IF(COUNTIFS($A$10:$A$89,$C267,$I$10:$I$89,"&lt;&gt;")=0,"brak danych",VLOOKUP($C267,$A$10:$J$89,9,FALSE)*$F267)))))</x:f>
      </x:c>
      <x:c r="P267" s="25" t="str">
        <x:f>IF($A267="","",IF($F267="","",IF($F267=0,0,IF(COUNTIFS($A$10:$A$89,$C267)&lt;&gt;1,"brak danych",IF(COUNTIFS($A$10:$A$89,$C267,$J$10:$J$89,"&lt;&gt;")=0,"brak danych",VLOOKUP($C267,$A$10:$J$89,10,FALSE)*$F267)))))</x:f>
      </x:c>
      <x:c r="Q267" s="18"/>
    </x:row>
    <x:row r="268" ht="25" customHeight="1">
      <x:c r="A268" s="6"/>
      <x:c r="B268" s="30"/>
      <x:c r="C268" s="5"/>
      <x:c r="D268" s="5"/>
      <x:c r="E268" s="32"/>
      <x:c r="F268" s="32"/>
      <x:c r="G268" s="24" t="str">
        <x:f>IF($A268="","",IF(AND($C268="",$E268=""),"",IF($E268="","brak danych",IF($E268=0,0,IF(COUNTIFS($A$10:$A$89,$C268)&lt;&gt;1,"brak danych",IF(COUNTIFS($A$10:$A$89,$C268,$F$10:$F$89,"&lt;&gt;")=0,"brak danych",VLOOKUP($C268,$A$10:$J$89,6,FALSE)*$E268))))))</x:f>
      </x:c>
      <x:c r="H268" s="25" t="str">
        <x:f>IF($A268="","",IF(AND($C268="",$E268=""),"",IF($E268="","brak danych",IF($E268=0,0,IF(COUNTIFS($A$10:$A$89,$C268)&lt;&gt;1,"brak danych",IF(COUNTIFS($A$10:$A$89,$C268,$G$10:$G$89,"&lt;&gt;")=0,"brak danych",VLOOKUP($C268,$A$10:$J$89,7,FALSE)*$E268))))))</x:f>
      </x:c>
      <x:c r="I268" s="25" t="str">
        <x:f>IF($A268="","",IF(AND($C268="",$E268=""),"",IF($E268="","brak danych",IF($E268=0,0,IF(COUNTIFS($A$10:$A$89,$C268)&lt;&gt;1,"brak danych",IF(COUNTIFS($A$10:$A$89,$C268,$H$10:$H$89,"&lt;&gt;")=0,"brak danych",VLOOKUP($C268,$A$10:$J$89,8,FALSE)*$E268))))))</x:f>
      </x:c>
      <x:c r="J268" s="25" t="str">
        <x:f>IF($A268="","",IF(AND($C268="",$E268=""),"",IF($E268="","brak danych",IF($E268=0,0,IF(COUNTIFS($A$10:$A$89,$C268)&lt;&gt;1,"brak danych",IF(COUNTIFS($A$10:$A$89,$C268,$I$10:$I$89,"&lt;&gt;")=0,"brak danych",VLOOKUP($C268,$A$10:$J$89,9,FALSE)*$E268))))))</x:f>
      </x:c>
      <x:c r="K268" s="25" t="str">
        <x:f>IF($A268="","",IF(AND($C268="",$E268=""),"",IF($E268="","brak danych",IF($E268=0,0,IF(COUNTIFS($A$10:$A$89,$C268)&lt;&gt;1,"brak danych",IF(COUNTIFS($A$10:$A$89,$C268,$J$10:$J$89,"&lt;&gt;")=0,"brak danych",VLOOKUP($C268,$A$10:$J$89,10,FALSE)*$E268))))))</x:f>
      </x:c>
      <x:c r="L268" s="24" t="str">
        <x:f>IF($A268="","",IF($F268="","",IF($F268=0,0,IF(COUNTIFS($A$10:$A$89,$C268)&lt;&gt;1,"brak danych",IF(COUNTIFS($A$10:$A$89,$C268,$F$10:$F$89,"&lt;&gt;")=0,"brak danych",VLOOKUP($C268,$A$10:$J$89,6,FALSE)*$F268)))))</x:f>
      </x:c>
      <x:c r="M268" s="25" t="str">
        <x:f>IF($A268="","",IF($F268="","",IF($F268=0,0,IF(COUNTIFS($A$10:$A$89,$C268)&lt;&gt;1,"brak danych",IF(COUNTIFS($A$10:$A$89,$C268,$G$10:$G$89,"&lt;&gt;")=0,"brak danych",VLOOKUP($C268,$A$10:$J$89,7,FALSE)*$F268)))))</x:f>
      </x:c>
      <x:c r="N268" s="25" t="str">
        <x:f>IF($A268="","",IF($F268="","",IF($F268=0,0,IF(COUNTIFS($A$10:$A$89,$C268)&lt;&gt;1,"brak danych",IF(COUNTIFS($A$10:$A$89,$C268,$H$10:$H$89,"&lt;&gt;")=0,"brak danych",VLOOKUP($C268,$A$10:$J$89,8,FALSE)*$F268)))))</x:f>
      </x:c>
      <x:c r="O268" s="25" t="str">
        <x:f>IF($A268="","",IF($F268="","",IF($F268=0,0,IF(COUNTIFS($A$10:$A$89,$C268)&lt;&gt;1,"brak danych",IF(COUNTIFS($A$10:$A$89,$C268,$I$10:$I$89,"&lt;&gt;")=0,"brak danych",VLOOKUP($C268,$A$10:$J$89,9,FALSE)*$F268)))))</x:f>
      </x:c>
      <x:c r="P268" s="25" t="str">
        <x:f>IF($A268="","",IF($F268="","",IF($F268=0,0,IF(COUNTIFS($A$10:$A$89,$C268)&lt;&gt;1,"brak danych",IF(COUNTIFS($A$10:$A$89,$C268,$J$10:$J$89,"&lt;&gt;")=0,"brak danych",VLOOKUP($C268,$A$10:$J$89,10,FALSE)*$F268)))))</x:f>
      </x:c>
      <x:c r="Q268" s="18"/>
    </x:row>
    <x:row r="269" ht="25" customHeight="1">
      <x:c r="A269" s="6"/>
      <x:c r="B269" s="30"/>
      <x:c r="C269" s="5"/>
      <x:c r="D269" s="5"/>
      <x:c r="E269" s="32"/>
      <x:c r="F269" s="32"/>
      <x:c r="G269" s="24" t="str">
        <x:f>IF($A269="","",IF(AND($C269="",$E269=""),"",IF($E269="","brak danych",IF($E269=0,0,IF(COUNTIFS($A$10:$A$89,$C269)&lt;&gt;1,"brak danych",IF(COUNTIFS($A$10:$A$89,$C269,$F$10:$F$89,"&lt;&gt;")=0,"brak danych",VLOOKUP($C269,$A$10:$J$89,6,FALSE)*$E269))))))</x:f>
      </x:c>
      <x:c r="H269" s="25" t="str">
        <x:f>IF($A269="","",IF(AND($C269="",$E269=""),"",IF($E269="","brak danych",IF($E269=0,0,IF(COUNTIFS($A$10:$A$89,$C269)&lt;&gt;1,"brak danych",IF(COUNTIFS($A$10:$A$89,$C269,$G$10:$G$89,"&lt;&gt;")=0,"brak danych",VLOOKUP($C269,$A$10:$J$89,7,FALSE)*$E269))))))</x:f>
      </x:c>
      <x:c r="I269" s="25" t="str">
        <x:f>IF($A269="","",IF(AND($C269="",$E269=""),"",IF($E269="","brak danych",IF($E269=0,0,IF(COUNTIFS($A$10:$A$89,$C269)&lt;&gt;1,"brak danych",IF(COUNTIFS($A$10:$A$89,$C269,$H$10:$H$89,"&lt;&gt;")=0,"brak danych",VLOOKUP($C269,$A$10:$J$89,8,FALSE)*$E269))))))</x:f>
      </x:c>
      <x:c r="J269" s="25" t="str">
        <x:f>IF($A269="","",IF(AND($C269="",$E269=""),"",IF($E269="","brak danych",IF($E269=0,0,IF(COUNTIFS($A$10:$A$89,$C269)&lt;&gt;1,"brak danych",IF(COUNTIFS($A$10:$A$89,$C269,$I$10:$I$89,"&lt;&gt;")=0,"brak danych",VLOOKUP($C269,$A$10:$J$89,9,FALSE)*$E269))))))</x:f>
      </x:c>
      <x:c r="K269" s="25" t="str">
        <x:f>IF($A269="","",IF(AND($C269="",$E269=""),"",IF($E269="","brak danych",IF($E269=0,0,IF(COUNTIFS($A$10:$A$89,$C269)&lt;&gt;1,"brak danych",IF(COUNTIFS($A$10:$A$89,$C269,$J$10:$J$89,"&lt;&gt;")=0,"brak danych",VLOOKUP($C269,$A$10:$J$89,10,FALSE)*$E269))))))</x:f>
      </x:c>
      <x:c r="L269" s="24" t="str">
        <x:f>IF($A269="","",IF($F269="","",IF($F269=0,0,IF(COUNTIFS($A$10:$A$89,$C269)&lt;&gt;1,"brak danych",IF(COUNTIFS($A$10:$A$89,$C269,$F$10:$F$89,"&lt;&gt;")=0,"brak danych",VLOOKUP($C269,$A$10:$J$89,6,FALSE)*$F269)))))</x:f>
      </x:c>
      <x:c r="M269" s="25" t="str">
        <x:f>IF($A269="","",IF($F269="","",IF($F269=0,0,IF(COUNTIFS($A$10:$A$89,$C269)&lt;&gt;1,"brak danych",IF(COUNTIFS($A$10:$A$89,$C269,$G$10:$G$89,"&lt;&gt;")=0,"brak danych",VLOOKUP($C269,$A$10:$J$89,7,FALSE)*$F269)))))</x:f>
      </x:c>
      <x:c r="N269" s="25" t="str">
        <x:f>IF($A269="","",IF($F269="","",IF($F269=0,0,IF(COUNTIFS($A$10:$A$89,$C269)&lt;&gt;1,"brak danych",IF(COUNTIFS($A$10:$A$89,$C269,$H$10:$H$89,"&lt;&gt;")=0,"brak danych",VLOOKUP($C269,$A$10:$J$89,8,FALSE)*$F269)))))</x:f>
      </x:c>
      <x:c r="O269" s="25" t="str">
        <x:f>IF($A269="","",IF($F269="","",IF($F269=0,0,IF(COUNTIFS($A$10:$A$89,$C269)&lt;&gt;1,"brak danych",IF(COUNTIFS($A$10:$A$89,$C269,$I$10:$I$89,"&lt;&gt;")=0,"brak danych",VLOOKUP($C269,$A$10:$J$89,9,FALSE)*$F269)))))</x:f>
      </x:c>
      <x:c r="P269" s="25" t="str">
        <x:f>IF($A269="","",IF($F269="","",IF($F269=0,0,IF(COUNTIFS($A$10:$A$89,$C269)&lt;&gt;1,"brak danych",IF(COUNTIFS($A$10:$A$89,$C269,$J$10:$J$89,"&lt;&gt;")=0,"brak danych",VLOOKUP($C269,$A$10:$J$89,10,FALSE)*$F269)))))</x:f>
      </x:c>
      <x:c r="Q269" s="18"/>
    </x:row>
    <x:row r="270" ht="25" customHeight="1">
      <x:c r="A270" s="6"/>
      <x:c r="B270" s="30"/>
      <x:c r="C270" s="5"/>
      <x:c r="D270" s="5"/>
      <x:c r="E270" s="32"/>
      <x:c r="F270" s="32"/>
      <x:c r="G270" s="24" t="str">
        <x:f>IF($A270="","",IF(AND($C270="",$E270=""),"",IF($E270="","brak danych",IF($E270=0,0,IF(COUNTIFS($A$10:$A$89,$C270)&lt;&gt;1,"brak danych",IF(COUNTIFS($A$10:$A$89,$C270,$F$10:$F$89,"&lt;&gt;")=0,"brak danych",VLOOKUP($C270,$A$10:$J$89,6,FALSE)*$E270))))))</x:f>
      </x:c>
      <x:c r="H270" s="25" t="str">
        <x:f>IF($A270="","",IF(AND($C270="",$E270=""),"",IF($E270="","brak danych",IF($E270=0,0,IF(COUNTIFS($A$10:$A$89,$C270)&lt;&gt;1,"brak danych",IF(COUNTIFS($A$10:$A$89,$C270,$G$10:$G$89,"&lt;&gt;")=0,"brak danych",VLOOKUP($C270,$A$10:$J$89,7,FALSE)*$E270))))))</x:f>
      </x:c>
      <x:c r="I270" s="25" t="str">
        <x:f>IF($A270="","",IF(AND($C270="",$E270=""),"",IF($E270="","brak danych",IF($E270=0,0,IF(COUNTIFS($A$10:$A$89,$C270)&lt;&gt;1,"brak danych",IF(COUNTIFS($A$10:$A$89,$C270,$H$10:$H$89,"&lt;&gt;")=0,"brak danych",VLOOKUP($C270,$A$10:$J$89,8,FALSE)*$E270))))))</x:f>
      </x:c>
      <x:c r="J270" s="25" t="str">
        <x:f>IF($A270="","",IF(AND($C270="",$E270=""),"",IF($E270="","brak danych",IF($E270=0,0,IF(COUNTIFS($A$10:$A$89,$C270)&lt;&gt;1,"brak danych",IF(COUNTIFS($A$10:$A$89,$C270,$I$10:$I$89,"&lt;&gt;")=0,"brak danych",VLOOKUP($C270,$A$10:$J$89,9,FALSE)*$E270))))))</x:f>
      </x:c>
      <x:c r="K270" s="25" t="str">
        <x:f>IF($A270="","",IF(AND($C270="",$E270=""),"",IF($E270="","brak danych",IF($E270=0,0,IF(COUNTIFS($A$10:$A$89,$C270)&lt;&gt;1,"brak danych",IF(COUNTIFS($A$10:$A$89,$C270,$J$10:$J$89,"&lt;&gt;")=0,"brak danych",VLOOKUP($C270,$A$10:$J$89,10,FALSE)*$E270))))))</x:f>
      </x:c>
      <x:c r="L270" s="24" t="str">
        <x:f>IF($A270="","",IF($F270="","",IF($F270=0,0,IF(COUNTIFS($A$10:$A$89,$C270)&lt;&gt;1,"brak danych",IF(COUNTIFS($A$10:$A$89,$C270,$F$10:$F$89,"&lt;&gt;")=0,"brak danych",VLOOKUP($C270,$A$10:$J$89,6,FALSE)*$F270)))))</x:f>
      </x:c>
      <x:c r="M270" s="25" t="str">
        <x:f>IF($A270="","",IF($F270="","",IF($F270=0,0,IF(COUNTIFS($A$10:$A$89,$C270)&lt;&gt;1,"brak danych",IF(COUNTIFS($A$10:$A$89,$C270,$G$10:$G$89,"&lt;&gt;")=0,"brak danych",VLOOKUP($C270,$A$10:$J$89,7,FALSE)*$F270)))))</x:f>
      </x:c>
      <x:c r="N270" s="25" t="str">
        <x:f>IF($A270="","",IF($F270="","",IF($F270=0,0,IF(COUNTIFS($A$10:$A$89,$C270)&lt;&gt;1,"brak danych",IF(COUNTIFS($A$10:$A$89,$C270,$H$10:$H$89,"&lt;&gt;")=0,"brak danych",VLOOKUP($C270,$A$10:$J$89,8,FALSE)*$F270)))))</x:f>
      </x:c>
      <x:c r="O270" s="25" t="str">
        <x:f>IF($A270="","",IF($F270="","",IF($F270=0,0,IF(COUNTIFS($A$10:$A$89,$C270)&lt;&gt;1,"brak danych",IF(COUNTIFS($A$10:$A$89,$C270,$I$10:$I$89,"&lt;&gt;")=0,"brak danych",VLOOKUP($C270,$A$10:$J$89,9,FALSE)*$F270)))))</x:f>
      </x:c>
      <x:c r="P270" s="25" t="str">
        <x:f>IF($A270="","",IF($F270="","",IF($F270=0,0,IF(COUNTIFS($A$10:$A$89,$C270)&lt;&gt;1,"brak danych",IF(COUNTIFS($A$10:$A$89,$C270,$J$10:$J$89,"&lt;&gt;")=0,"brak danych",VLOOKUP($C270,$A$10:$J$89,10,FALSE)*$F270)))))</x:f>
      </x:c>
      <x:c r="Q270" s="18"/>
    </x:row>
    <x:row r="271" ht="25" customHeight="1">
      <x:c r="A271" s="6"/>
      <x:c r="B271" s="30"/>
      <x:c r="C271" s="5"/>
      <x:c r="D271" s="5"/>
      <x:c r="E271" s="32"/>
      <x:c r="F271" s="32"/>
      <x:c r="G271" s="24" t="str">
        <x:f>IF($A271="","",IF(AND($C271="",$E271=""),"",IF($E271="","brak danych",IF($E271=0,0,IF(COUNTIFS($A$10:$A$89,$C271)&lt;&gt;1,"brak danych",IF(COUNTIFS($A$10:$A$89,$C271,$F$10:$F$89,"&lt;&gt;")=0,"brak danych",VLOOKUP($C271,$A$10:$J$89,6,FALSE)*$E271))))))</x:f>
      </x:c>
      <x:c r="H271" s="25" t="str">
        <x:f>IF($A271="","",IF(AND($C271="",$E271=""),"",IF($E271="","brak danych",IF($E271=0,0,IF(COUNTIFS($A$10:$A$89,$C271)&lt;&gt;1,"brak danych",IF(COUNTIFS($A$10:$A$89,$C271,$G$10:$G$89,"&lt;&gt;")=0,"brak danych",VLOOKUP($C271,$A$10:$J$89,7,FALSE)*$E271))))))</x:f>
      </x:c>
      <x:c r="I271" s="25" t="str">
        <x:f>IF($A271="","",IF(AND($C271="",$E271=""),"",IF($E271="","brak danych",IF($E271=0,0,IF(COUNTIFS($A$10:$A$89,$C271)&lt;&gt;1,"brak danych",IF(COUNTIFS($A$10:$A$89,$C271,$H$10:$H$89,"&lt;&gt;")=0,"brak danych",VLOOKUP($C271,$A$10:$J$89,8,FALSE)*$E271))))))</x:f>
      </x:c>
      <x:c r="J271" s="25" t="str">
        <x:f>IF($A271="","",IF(AND($C271="",$E271=""),"",IF($E271="","brak danych",IF($E271=0,0,IF(COUNTIFS($A$10:$A$89,$C271)&lt;&gt;1,"brak danych",IF(COUNTIFS($A$10:$A$89,$C271,$I$10:$I$89,"&lt;&gt;")=0,"brak danych",VLOOKUP($C271,$A$10:$J$89,9,FALSE)*$E271))))))</x:f>
      </x:c>
      <x:c r="K271" s="25" t="str">
        <x:f>IF($A271="","",IF(AND($C271="",$E271=""),"",IF($E271="","brak danych",IF($E271=0,0,IF(COUNTIFS($A$10:$A$89,$C271)&lt;&gt;1,"brak danych",IF(COUNTIFS($A$10:$A$89,$C271,$J$10:$J$89,"&lt;&gt;")=0,"brak danych",VLOOKUP($C271,$A$10:$J$89,10,FALSE)*$E271))))))</x:f>
      </x:c>
      <x:c r="L271" s="24" t="str">
        <x:f>IF($A271="","",IF($F271="","",IF($F271=0,0,IF(COUNTIFS($A$10:$A$89,$C271)&lt;&gt;1,"brak danych",IF(COUNTIFS($A$10:$A$89,$C271,$F$10:$F$89,"&lt;&gt;")=0,"brak danych",VLOOKUP($C271,$A$10:$J$89,6,FALSE)*$F271)))))</x:f>
      </x:c>
      <x:c r="M271" s="25" t="str">
        <x:f>IF($A271="","",IF($F271="","",IF($F271=0,0,IF(COUNTIFS($A$10:$A$89,$C271)&lt;&gt;1,"brak danych",IF(COUNTIFS($A$10:$A$89,$C271,$G$10:$G$89,"&lt;&gt;")=0,"brak danych",VLOOKUP($C271,$A$10:$J$89,7,FALSE)*$F271)))))</x:f>
      </x:c>
      <x:c r="N271" s="25" t="str">
        <x:f>IF($A271="","",IF($F271="","",IF($F271=0,0,IF(COUNTIFS($A$10:$A$89,$C271)&lt;&gt;1,"brak danych",IF(COUNTIFS($A$10:$A$89,$C271,$H$10:$H$89,"&lt;&gt;")=0,"brak danych",VLOOKUP($C271,$A$10:$J$89,8,FALSE)*$F271)))))</x:f>
      </x:c>
      <x:c r="O271" s="25" t="str">
        <x:f>IF($A271="","",IF($F271="","",IF($F271=0,0,IF(COUNTIFS($A$10:$A$89,$C271)&lt;&gt;1,"brak danych",IF(COUNTIFS($A$10:$A$89,$C271,$I$10:$I$89,"&lt;&gt;")=0,"brak danych",VLOOKUP($C271,$A$10:$J$89,9,FALSE)*$F271)))))</x:f>
      </x:c>
      <x:c r="P271" s="25" t="str">
        <x:f>IF($A271="","",IF($F271="","",IF($F271=0,0,IF(COUNTIFS($A$10:$A$89,$C271)&lt;&gt;1,"brak danych",IF(COUNTIFS($A$10:$A$89,$C271,$J$10:$J$89,"&lt;&gt;")=0,"brak danych",VLOOKUP($C271,$A$10:$J$89,10,FALSE)*$F271)))))</x:f>
      </x:c>
      <x:c r="Q271" s="18"/>
    </x:row>
    <x:row r="272" ht="25" customHeight="1">
      <x:c r="A272" s="6"/>
      <x:c r="B272" s="30"/>
      <x:c r="C272" s="5"/>
      <x:c r="D272" s="5"/>
      <x:c r="E272" s="32"/>
      <x:c r="F272" s="32"/>
      <x:c r="G272" s="24" t="str">
        <x:f>IF($A272="","",IF(AND($C272="",$E272=""),"",IF($E272="","brak danych",IF($E272=0,0,IF(COUNTIFS($A$10:$A$89,$C272)&lt;&gt;1,"brak danych",IF(COUNTIFS($A$10:$A$89,$C272,$F$10:$F$89,"&lt;&gt;")=0,"brak danych",VLOOKUP($C272,$A$10:$J$89,6,FALSE)*$E272))))))</x:f>
      </x:c>
      <x:c r="H272" s="25" t="str">
        <x:f>IF($A272="","",IF(AND($C272="",$E272=""),"",IF($E272="","brak danych",IF($E272=0,0,IF(COUNTIFS($A$10:$A$89,$C272)&lt;&gt;1,"brak danych",IF(COUNTIFS($A$10:$A$89,$C272,$G$10:$G$89,"&lt;&gt;")=0,"brak danych",VLOOKUP($C272,$A$10:$J$89,7,FALSE)*$E272))))))</x:f>
      </x:c>
      <x:c r="I272" s="25" t="str">
        <x:f>IF($A272="","",IF(AND($C272="",$E272=""),"",IF($E272="","brak danych",IF($E272=0,0,IF(COUNTIFS($A$10:$A$89,$C272)&lt;&gt;1,"brak danych",IF(COUNTIFS($A$10:$A$89,$C272,$H$10:$H$89,"&lt;&gt;")=0,"brak danych",VLOOKUP($C272,$A$10:$J$89,8,FALSE)*$E272))))))</x:f>
      </x:c>
      <x:c r="J272" s="25" t="str">
        <x:f>IF($A272="","",IF(AND($C272="",$E272=""),"",IF($E272="","brak danych",IF($E272=0,0,IF(COUNTIFS($A$10:$A$89,$C272)&lt;&gt;1,"brak danych",IF(COUNTIFS($A$10:$A$89,$C272,$I$10:$I$89,"&lt;&gt;")=0,"brak danych",VLOOKUP($C272,$A$10:$J$89,9,FALSE)*$E272))))))</x:f>
      </x:c>
      <x:c r="K272" s="25" t="str">
        <x:f>IF($A272="","",IF(AND($C272="",$E272=""),"",IF($E272="","brak danych",IF($E272=0,0,IF(COUNTIFS($A$10:$A$89,$C272)&lt;&gt;1,"brak danych",IF(COUNTIFS($A$10:$A$89,$C272,$J$10:$J$89,"&lt;&gt;")=0,"brak danych",VLOOKUP($C272,$A$10:$J$89,10,FALSE)*$E272))))))</x:f>
      </x:c>
      <x:c r="L272" s="24" t="str">
        <x:f>IF($A272="","",IF($F272="","",IF($F272=0,0,IF(COUNTIFS($A$10:$A$89,$C272)&lt;&gt;1,"brak danych",IF(COUNTIFS($A$10:$A$89,$C272,$F$10:$F$89,"&lt;&gt;")=0,"brak danych",VLOOKUP($C272,$A$10:$J$89,6,FALSE)*$F272)))))</x:f>
      </x:c>
      <x:c r="M272" s="25" t="str">
        <x:f>IF($A272="","",IF($F272="","",IF($F272=0,0,IF(COUNTIFS($A$10:$A$89,$C272)&lt;&gt;1,"brak danych",IF(COUNTIFS($A$10:$A$89,$C272,$G$10:$G$89,"&lt;&gt;")=0,"brak danych",VLOOKUP($C272,$A$10:$J$89,7,FALSE)*$F272)))))</x:f>
      </x:c>
      <x:c r="N272" s="25" t="str">
        <x:f>IF($A272="","",IF($F272="","",IF($F272=0,0,IF(COUNTIFS($A$10:$A$89,$C272)&lt;&gt;1,"brak danych",IF(COUNTIFS($A$10:$A$89,$C272,$H$10:$H$89,"&lt;&gt;")=0,"brak danych",VLOOKUP($C272,$A$10:$J$89,8,FALSE)*$F272)))))</x:f>
      </x:c>
      <x:c r="O272" s="25" t="str">
        <x:f>IF($A272="","",IF($F272="","",IF($F272=0,0,IF(COUNTIFS($A$10:$A$89,$C272)&lt;&gt;1,"brak danych",IF(COUNTIFS($A$10:$A$89,$C272,$I$10:$I$89,"&lt;&gt;")=0,"brak danych",VLOOKUP($C272,$A$10:$J$89,9,FALSE)*$F272)))))</x:f>
      </x:c>
      <x:c r="P272" s="25" t="str">
        <x:f>IF($A272="","",IF($F272="","",IF($F272=0,0,IF(COUNTIFS($A$10:$A$89,$C272)&lt;&gt;1,"brak danych",IF(COUNTIFS($A$10:$A$89,$C272,$J$10:$J$89,"&lt;&gt;")=0,"brak danych",VLOOKUP($C272,$A$10:$J$89,10,FALSE)*$F272)))))</x:f>
      </x:c>
      <x:c r="Q272" s="18"/>
    </x:row>
    <x:row r="273" ht="25" customHeight="1">
      <x:c r="A273" s="6"/>
      <x:c r="B273" s="30"/>
      <x:c r="C273" s="5"/>
      <x:c r="D273" s="5"/>
      <x:c r="E273" s="32"/>
      <x:c r="F273" s="32"/>
      <x:c r="G273" s="24" t="str">
        <x:f>IF($A273="","",IF(AND($C273="",$E273=""),"",IF($E273="","brak danych",IF($E273=0,0,IF(COUNTIFS($A$10:$A$89,$C273)&lt;&gt;1,"brak danych",IF(COUNTIFS($A$10:$A$89,$C273,$F$10:$F$89,"&lt;&gt;")=0,"brak danych",VLOOKUP($C273,$A$10:$J$89,6,FALSE)*$E273))))))</x:f>
      </x:c>
      <x:c r="H273" s="25" t="str">
        <x:f>IF($A273="","",IF(AND($C273="",$E273=""),"",IF($E273="","brak danych",IF($E273=0,0,IF(COUNTIFS($A$10:$A$89,$C273)&lt;&gt;1,"brak danych",IF(COUNTIFS($A$10:$A$89,$C273,$G$10:$G$89,"&lt;&gt;")=0,"brak danych",VLOOKUP($C273,$A$10:$J$89,7,FALSE)*$E273))))))</x:f>
      </x:c>
      <x:c r="I273" s="25" t="str">
        <x:f>IF($A273="","",IF(AND($C273="",$E273=""),"",IF($E273="","brak danych",IF($E273=0,0,IF(COUNTIFS($A$10:$A$89,$C273)&lt;&gt;1,"brak danych",IF(COUNTIFS($A$10:$A$89,$C273,$H$10:$H$89,"&lt;&gt;")=0,"brak danych",VLOOKUP($C273,$A$10:$J$89,8,FALSE)*$E273))))))</x:f>
      </x:c>
      <x:c r="J273" s="25" t="str">
        <x:f>IF($A273="","",IF(AND($C273="",$E273=""),"",IF($E273="","brak danych",IF($E273=0,0,IF(COUNTIFS($A$10:$A$89,$C273)&lt;&gt;1,"brak danych",IF(COUNTIFS($A$10:$A$89,$C273,$I$10:$I$89,"&lt;&gt;")=0,"brak danych",VLOOKUP($C273,$A$10:$J$89,9,FALSE)*$E273))))))</x:f>
      </x:c>
      <x:c r="K273" s="25" t="str">
        <x:f>IF($A273="","",IF(AND($C273="",$E273=""),"",IF($E273="","brak danych",IF($E273=0,0,IF(COUNTIFS($A$10:$A$89,$C273)&lt;&gt;1,"brak danych",IF(COUNTIFS($A$10:$A$89,$C273,$J$10:$J$89,"&lt;&gt;")=0,"brak danych",VLOOKUP($C273,$A$10:$J$89,10,FALSE)*$E273))))))</x:f>
      </x:c>
      <x:c r="L273" s="24" t="str">
        <x:f>IF($A273="","",IF($F273="","",IF($F273=0,0,IF(COUNTIFS($A$10:$A$89,$C273)&lt;&gt;1,"brak danych",IF(COUNTIFS($A$10:$A$89,$C273,$F$10:$F$89,"&lt;&gt;")=0,"brak danych",VLOOKUP($C273,$A$10:$J$89,6,FALSE)*$F273)))))</x:f>
      </x:c>
      <x:c r="M273" s="25" t="str">
        <x:f>IF($A273="","",IF($F273="","",IF($F273=0,0,IF(COUNTIFS($A$10:$A$89,$C273)&lt;&gt;1,"brak danych",IF(COUNTIFS($A$10:$A$89,$C273,$G$10:$G$89,"&lt;&gt;")=0,"brak danych",VLOOKUP($C273,$A$10:$J$89,7,FALSE)*$F273)))))</x:f>
      </x:c>
      <x:c r="N273" s="25" t="str">
        <x:f>IF($A273="","",IF($F273="","",IF($F273=0,0,IF(COUNTIFS($A$10:$A$89,$C273)&lt;&gt;1,"brak danych",IF(COUNTIFS($A$10:$A$89,$C273,$H$10:$H$89,"&lt;&gt;")=0,"brak danych",VLOOKUP($C273,$A$10:$J$89,8,FALSE)*$F273)))))</x:f>
      </x:c>
      <x:c r="O273" s="25" t="str">
        <x:f>IF($A273="","",IF($F273="","",IF($F273=0,0,IF(COUNTIFS($A$10:$A$89,$C273)&lt;&gt;1,"brak danych",IF(COUNTIFS($A$10:$A$89,$C273,$I$10:$I$89,"&lt;&gt;")=0,"brak danych",VLOOKUP($C273,$A$10:$J$89,9,FALSE)*$F273)))))</x:f>
      </x:c>
      <x:c r="P273" s="25" t="str">
        <x:f>IF($A273="","",IF($F273="","",IF($F273=0,0,IF(COUNTIFS($A$10:$A$89,$C273)&lt;&gt;1,"brak danych",IF(COUNTIFS($A$10:$A$89,$C273,$J$10:$J$89,"&lt;&gt;")=0,"brak danych",VLOOKUP($C273,$A$10:$J$89,10,FALSE)*$F273)))))</x:f>
      </x:c>
      <x:c r="Q273" s="18"/>
    </x:row>
    <x:row r="274" ht="25" customHeight="1">
      <x:c r="A274" s="6"/>
      <x:c r="B274" s="30"/>
      <x:c r="C274" s="5"/>
      <x:c r="D274" s="5"/>
      <x:c r="E274" s="32"/>
      <x:c r="F274" s="32"/>
      <x:c r="G274" s="24" t="str">
        <x:f>IF($A274="","",IF(AND($C274="",$E274=""),"",IF($E274="","brak danych",IF($E274=0,0,IF(COUNTIFS($A$10:$A$89,$C274)&lt;&gt;1,"brak danych",IF(COUNTIFS($A$10:$A$89,$C274,$F$10:$F$89,"&lt;&gt;")=0,"brak danych",VLOOKUP($C274,$A$10:$J$89,6,FALSE)*$E274))))))</x:f>
      </x:c>
      <x:c r="H274" s="25" t="str">
        <x:f>IF($A274="","",IF(AND($C274="",$E274=""),"",IF($E274="","brak danych",IF($E274=0,0,IF(COUNTIFS($A$10:$A$89,$C274)&lt;&gt;1,"brak danych",IF(COUNTIFS($A$10:$A$89,$C274,$G$10:$G$89,"&lt;&gt;")=0,"brak danych",VLOOKUP($C274,$A$10:$J$89,7,FALSE)*$E274))))))</x:f>
      </x:c>
      <x:c r="I274" s="25" t="str">
        <x:f>IF($A274="","",IF(AND($C274="",$E274=""),"",IF($E274="","brak danych",IF($E274=0,0,IF(COUNTIFS($A$10:$A$89,$C274)&lt;&gt;1,"brak danych",IF(COUNTIFS($A$10:$A$89,$C274,$H$10:$H$89,"&lt;&gt;")=0,"brak danych",VLOOKUP($C274,$A$10:$J$89,8,FALSE)*$E274))))))</x:f>
      </x:c>
      <x:c r="J274" s="25" t="str">
        <x:f>IF($A274="","",IF(AND($C274="",$E274=""),"",IF($E274="","brak danych",IF($E274=0,0,IF(COUNTIFS($A$10:$A$89,$C274)&lt;&gt;1,"brak danych",IF(COUNTIFS($A$10:$A$89,$C274,$I$10:$I$89,"&lt;&gt;")=0,"brak danych",VLOOKUP($C274,$A$10:$J$89,9,FALSE)*$E274))))))</x:f>
      </x:c>
      <x:c r="K274" s="25" t="str">
        <x:f>IF($A274="","",IF(AND($C274="",$E274=""),"",IF($E274="","brak danych",IF($E274=0,0,IF(COUNTIFS($A$10:$A$89,$C274)&lt;&gt;1,"brak danych",IF(COUNTIFS($A$10:$A$89,$C274,$J$10:$J$89,"&lt;&gt;")=0,"brak danych",VLOOKUP($C274,$A$10:$J$89,10,FALSE)*$E274))))))</x:f>
      </x:c>
      <x:c r="L274" s="24" t="str">
        <x:f>IF($A274="","",IF($F274="","",IF($F274=0,0,IF(COUNTIFS($A$10:$A$89,$C274)&lt;&gt;1,"brak danych",IF(COUNTIFS($A$10:$A$89,$C274,$F$10:$F$89,"&lt;&gt;")=0,"brak danych",VLOOKUP($C274,$A$10:$J$89,6,FALSE)*$F274)))))</x:f>
      </x:c>
      <x:c r="M274" s="25" t="str">
        <x:f>IF($A274="","",IF($F274="","",IF($F274=0,0,IF(COUNTIFS($A$10:$A$89,$C274)&lt;&gt;1,"brak danych",IF(COUNTIFS($A$10:$A$89,$C274,$G$10:$G$89,"&lt;&gt;")=0,"brak danych",VLOOKUP($C274,$A$10:$J$89,7,FALSE)*$F274)))))</x:f>
      </x:c>
      <x:c r="N274" s="25" t="str">
        <x:f>IF($A274="","",IF($F274="","",IF($F274=0,0,IF(COUNTIFS($A$10:$A$89,$C274)&lt;&gt;1,"brak danych",IF(COUNTIFS($A$10:$A$89,$C274,$H$10:$H$89,"&lt;&gt;")=0,"brak danych",VLOOKUP($C274,$A$10:$J$89,8,FALSE)*$F274)))))</x:f>
      </x:c>
      <x:c r="O274" s="25" t="str">
        <x:f>IF($A274="","",IF($F274="","",IF($F274=0,0,IF(COUNTIFS($A$10:$A$89,$C274)&lt;&gt;1,"brak danych",IF(COUNTIFS($A$10:$A$89,$C274,$I$10:$I$89,"&lt;&gt;")=0,"brak danych",VLOOKUP($C274,$A$10:$J$89,9,FALSE)*$F274)))))</x:f>
      </x:c>
      <x:c r="P274" s="25" t="str">
        <x:f>IF($A274="","",IF($F274="","",IF($F274=0,0,IF(COUNTIFS($A$10:$A$89,$C274)&lt;&gt;1,"brak danych",IF(COUNTIFS($A$10:$A$89,$C274,$J$10:$J$89,"&lt;&gt;")=0,"brak danych",VLOOKUP($C274,$A$10:$J$89,10,FALSE)*$F274)))))</x:f>
      </x:c>
      <x:c r="Q274" s="18"/>
    </x:row>
    <x:row r="275" ht="25" customHeight="1">
      <x:c r="A275" s="6"/>
      <x:c r="B275" s="30"/>
      <x:c r="C275" s="5"/>
      <x:c r="D275" s="5"/>
      <x:c r="E275" s="32"/>
      <x:c r="F275" s="32"/>
      <x:c r="G275" s="24" t="str">
        <x:f>IF($A275="","",IF(AND($C275="",$E275=""),"",IF($E275="","brak danych",IF($E275=0,0,IF(COUNTIFS($A$10:$A$89,$C275)&lt;&gt;1,"brak danych",IF(COUNTIFS($A$10:$A$89,$C275,$F$10:$F$89,"&lt;&gt;")=0,"brak danych",VLOOKUP($C275,$A$10:$J$89,6,FALSE)*$E275))))))</x:f>
      </x:c>
      <x:c r="H275" s="25" t="str">
        <x:f>IF($A275="","",IF(AND($C275="",$E275=""),"",IF($E275="","brak danych",IF($E275=0,0,IF(COUNTIFS($A$10:$A$89,$C275)&lt;&gt;1,"brak danych",IF(COUNTIFS($A$10:$A$89,$C275,$G$10:$G$89,"&lt;&gt;")=0,"brak danych",VLOOKUP($C275,$A$10:$J$89,7,FALSE)*$E275))))))</x:f>
      </x:c>
      <x:c r="I275" s="25" t="str">
        <x:f>IF($A275="","",IF(AND($C275="",$E275=""),"",IF($E275="","brak danych",IF($E275=0,0,IF(COUNTIFS($A$10:$A$89,$C275)&lt;&gt;1,"brak danych",IF(COUNTIFS($A$10:$A$89,$C275,$H$10:$H$89,"&lt;&gt;")=0,"brak danych",VLOOKUP($C275,$A$10:$J$89,8,FALSE)*$E275))))))</x:f>
      </x:c>
      <x:c r="J275" s="25" t="str">
        <x:f>IF($A275="","",IF(AND($C275="",$E275=""),"",IF($E275="","brak danych",IF($E275=0,0,IF(COUNTIFS($A$10:$A$89,$C275)&lt;&gt;1,"brak danych",IF(COUNTIFS($A$10:$A$89,$C275,$I$10:$I$89,"&lt;&gt;")=0,"brak danych",VLOOKUP($C275,$A$10:$J$89,9,FALSE)*$E275))))))</x:f>
      </x:c>
      <x:c r="K275" s="25" t="str">
        <x:f>IF($A275="","",IF(AND($C275="",$E275=""),"",IF($E275="","brak danych",IF($E275=0,0,IF(COUNTIFS($A$10:$A$89,$C275)&lt;&gt;1,"brak danych",IF(COUNTIFS($A$10:$A$89,$C275,$J$10:$J$89,"&lt;&gt;")=0,"brak danych",VLOOKUP($C275,$A$10:$J$89,10,FALSE)*$E275))))))</x:f>
      </x:c>
      <x:c r="L275" s="24" t="str">
        <x:f>IF($A275="","",IF($F275="","",IF($F275=0,0,IF(COUNTIFS($A$10:$A$89,$C275)&lt;&gt;1,"brak danych",IF(COUNTIFS($A$10:$A$89,$C275,$F$10:$F$89,"&lt;&gt;")=0,"brak danych",VLOOKUP($C275,$A$10:$J$89,6,FALSE)*$F275)))))</x:f>
      </x:c>
      <x:c r="M275" s="25" t="str">
        <x:f>IF($A275="","",IF($F275="","",IF($F275=0,0,IF(COUNTIFS($A$10:$A$89,$C275)&lt;&gt;1,"brak danych",IF(COUNTIFS($A$10:$A$89,$C275,$G$10:$G$89,"&lt;&gt;")=0,"brak danych",VLOOKUP($C275,$A$10:$J$89,7,FALSE)*$F275)))))</x:f>
      </x:c>
      <x:c r="N275" s="25" t="str">
        <x:f>IF($A275="","",IF($F275="","",IF($F275=0,0,IF(COUNTIFS($A$10:$A$89,$C275)&lt;&gt;1,"brak danych",IF(COUNTIFS($A$10:$A$89,$C275,$H$10:$H$89,"&lt;&gt;")=0,"brak danych",VLOOKUP($C275,$A$10:$J$89,8,FALSE)*$F275)))))</x:f>
      </x:c>
      <x:c r="O275" s="25" t="str">
        <x:f>IF($A275="","",IF($F275="","",IF($F275=0,0,IF(COUNTIFS($A$10:$A$89,$C275)&lt;&gt;1,"brak danych",IF(COUNTIFS($A$10:$A$89,$C275,$I$10:$I$89,"&lt;&gt;")=0,"brak danych",VLOOKUP($C275,$A$10:$J$89,9,FALSE)*$F275)))))</x:f>
      </x:c>
      <x:c r="P275" s="25" t="str">
        <x:f>IF($A275="","",IF($F275="","",IF($F275=0,0,IF(COUNTIFS($A$10:$A$89,$C275)&lt;&gt;1,"brak danych",IF(COUNTIFS($A$10:$A$89,$C275,$J$10:$J$89,"&lt;&gt;")=0,"brak danych",VLOOKUP($C275,$A$10:$J$89,10,FALSE)*$F275)))))</x:f>
      </x:c>
      <x:c r="Q275" s="18"/>
    </x:row>
    <x:row r="276" ht="25" customHeight="1">
      <x:c r="A276" s="6"/>
      <x:c r="B276" s="30"/>
      <x:c r="C276" s="5"/>
      <x:c r="D276" s="5"/>
      <x:c r="E276" s="32"/>
      <x:c r="F276" s="32"/>
      <x:c r="G276" s="24" t="str">
        <x:f>IF($A276="","",IF(AND($C276="",$E276=""),"",IF($E276="","brak danych",IF($E276=0,0,IF(COUNTIFS($A$10:$A$89,$C276)&lt;&gt;1,"brak danych",IF(COUNTIFS($A$10:$A$89,$C276,$F$10:$F$89,"&lt;&gt;")=0,"brak danych",VLOOKUP($C276,$A$10:$J$89,6,FALSE)*$E276))))))</x:f>
      </x:c>
      <x:c r="H276" s="25" t="str">
        <x:f>IF($A276="","",IF(AND($C276="",$E276=""),"",IF($E276="","brak danych",IF($E276=0,0,IF(COUNTIFS($A$10:$A$89,$C276)&lt;&gt;1,"brak danych",IF(COUNTIFS($A$10:$A$89,$C276,$G$10:$G$89,"&lt;&gt;")=0,"brak danych",VLOOKUP($C276,$A$10:$J$89,7,FALSE)*$E276))))))</x:f>
      </x:c>
      <x:c r="I276" s="25" t="str">
        <x:f>IF($A276="","",IF(AND($C276="",$E276=""),"",IF($E276="","brak danych",IF($E276=0,0,IF(COUNTIFS($A$10:$A$89,$C276)&lt;&gt;1,"brak danych",IF(COUNTIFS($A$10:$A$89,$C276,$H$10:$H$89,"&lt;&gt;")=0,"brak danych",VLOOKUP($C276,$A$10:$J$89,8,FALSE)*$E276))))))</x:f>
      </x:c>
      <x:c r="J276" s="25" t="str">
        <x:f>IF($A276="","",IF(AND($C276="",$E276=""),"",IF($E276="","brak danych",IF($E276=0,0,IF(COUNTIFS($A$10:$A$89,$C276)&lt;&gt;1,"brak danych",IF(COUNTIFS($A$10:$A$89,$C276,$I$10:$I$89,"&lt;&gt;")=0,"brak danych",VLOOKUP($C276,$A$10:$J$89,9,FALSE)*$E276))))))</x:f>
      </x:c>
      <x:c r="K276" s="25" t="str">
        <x:f>IF($A276="","",IF(AND($C276="",$E276=""),"",IF($E276="","brak danych",IF($E276=0,0,IF(COUNTIFS($A$10:$A$89,$C276)&lt;&gt;1,"brak danych",IF(COUNTIFS($A$10:$A$89,$C276,$J$10:$J$89,"&lt;&gt;")=0,"brak danych",VLOOKUP($C276,$A$10:$J$89,10,FALSE)*$E276))))))</x:f>
      </x:c>
      <x:c r="L276" s="24" t="str">
        <x:f>IF($A276="","",IF($F276="","",IF($F276=0,0,IF(COUNTIFS($A$10:$A$89,$C276)&lt;&gt;1,"brak danych",IF(COUNTIFS($A$10:$A$89,$C276,$F$10:$F$89,"&lt;&gt;")=0,"brak danych",VLOOKUP($C276,$A$10:$J$89,6,FALSE)*$F276)))))</x:f>
      </x:c>
      <x:c r="M276" s="25" t="str">
        <x:f>IF($A276="","",IF($F276="","",IF($F276=0,0,IF(COUNTIFS($A$10:$A$89,$C276)&lt;&gt;1,"brak danych",IF(COUNTIFS($A$10:$A$89,$C276,$G$10:$G$89,"&lt;&gt;")=0,"brak danych",VLOOKUP($C276,$A$10:$J$89,7,FALSE)*$F276)))))</x:f>
      </x:c>
      <x:c r="N276" s="25" t="str">
        <x:f>IF($A276="","",IF($F276="","",IF($F276=0,0,IF(COUNTIFS($A$10:$A$89,$C276)&lt;&gt;1,"brak danych",IF(COUNTIFS($A$10:$A$89,$C276,$H$10:$H$89,"&lt;&gt;")=0,"brak danych",VLOOKUP($C276,$A$10:$J$89,8,FALSE)*$F276)))))</x:f>
      </x:c>
      <x:c r="O276" s="25" t="str">
        <x:f>IF($A276="","",IF($F276="","",IF($F276=0,0,IF(COUNTIFS($A$10:$A$89,$C276)&lt;&gt;1,"brak danych",IF(COUNTIFS($A$10:$A$89,$C276,$I$10:$I$89,"&lt;&gt;")=0,"brak danych",VLOOKUP($C276,$A$10:$J$89,9,FALSE)*$F276)))))</x:f>
      </x:c>
      <x:c r="P276" s="25" t="str">
        <x:f>IF($A276="","",IF($F276="","",IF($F276=0,0,IF(COUNTIFS($A$10:$A$89,$C276)&lt;&gt;1,"brak danych",IF(COUNTIFS($A$10:$A$89,$C276,$J$10:$J$89,"&lt;&gt;")=0,"brak danych",VLOOKUP($C276,$A$10:$J$89,10,FALSE)*$F276)))))</x:f>
      </x:c>
      <x:c r="Q276" s="18"/>
    </x:row>
    <x:row r="277" ht="25" customHeight="1">
      <x:c r="A277" s="6"/>
      <x:c r="B277" s="30"/>
      <x:c r="C277" s="5"/>
      <x:c r="D277" s="5"/>
      <x:c r="E277" s="32"/>
      <x:c r="F277" s="32"/>
      <x:c r="G277" s="24" t="str">
        <x:f>IF($A277="","",IF(AND($C277="",$E277=""),"",IF($E277="","brak danych",IF($E277=0,0,IF(COUNTIFS($A$10:$A$89,$C277)&lt;&gt;1,"brak danych",IF(COUNTIFS($A$10:$A$89,$C277,$F$10:$F$89,"&lt;&gt;")=0,"brak danych",VLOOKUP($C277,$A$10:$J$89,6,FALSE)*$E277))))))</x:f>
      </x:c>
      <x:c r="H277" s="25" t="str">
        <x:f>IF($A277="","",IF(AND($C277="",$E277=""),"",IF($E277="","brak danych",IF($E277=0,0,IF(COUNTIFS($A$10:$A$89,$C277)&lt;&gt;1,"brak danych",IF(COUNTIFS($A$10:$A$89,$C277,$G$10:$G$89,"&lt;&gt;")=0,"brak danych",VLOOKUP($C277,$A$10:$J$89,7,FALSE)*$E277))))))</x:f>
      </x:c>
      <x:c r="I277" s="25" t="str">
        <x:f>IF($A277="","",IF(AND($C277="",$E277=""),"",IF($E277="","brak danych",IF($E277=0,0,IF(COUNTIFS($A$10:$A$89,$C277)&lt;&gt;1,"brak danych",IF(COUNTIFS($A$10:$A$89,$C277,$H$10:$H$89,"&lt;&gt;")=0,"brak danych",VLOOKUP($C277,$A$10:$J$89,8,FALSE)*$E277))))))</x:f>
      </x:c>
      <x:c r="J277" s="25" t="str">
        <x:f>IF($A277="","",IF(AND($C277="",$E277=""),"",IF($E277="","brak danych",IF($E277=0,0,IF(COUNTIFS($A$10:$A$89,$C277)&lt;&gt;1,"brak danych",IF(COUNTIFS($A$10:$A$89,$C277,$I$10:$I$89,"&lt;&gt;")=0,"brak danych",VLOOKUP($C277,$A$10:$J$89,9,FALSE)*$E277))))))</x:f>
      </x:c>
      <x:c r="K277" s="25" t="str">
        <x:f>IF($A277="","",IF(AND($C277="",$E277=""),"",IF($E277="","brak danych",IF($E277=0,0,IF(COUNTIFS($A$10:$A$89,$C277)&lt;&gt;1,"brak danych",IF(COUNTIFS($A$10:$A$89,$C277,$J$10:$J$89,"&lt;&gt;")=0,"brak danych",VLOOKUP($C277,$A$10:$J$89,10,FALSE)*$E277))))))</x:f>
      </x:c>
      <x:c r="L277" s="24" t="str">
        <x:f>IF($A277="","",IF($F277="","",IF($F277=0,0,IF(COUNTIFS($A$10:$A$89,$C277)&lt;&gt;1,"brak danych",IF(COUNTIFS($A$10:$A$89,$C277,$F$10:$F$89,"&lt;&gt;")=0,"brak danych",VLOOKUP($C277,$A$10:$J$89,6,FALSE)*$F277)))))</x:f>
      </x:c>
      <x:c r="M277" s="25" t="str">
        <x:f>IF($A277="","",IF($F277="","",IF($F277=0,0,IF(COUNTIFS($A$10:$A$89,$C277)&lt;&gt;1,"brak danych",IF(COUNTIFS($A$10:$A$89,$C277,$G$10:$G$89,"&lt;&gt;")=0,"brak danych",VLOOKUP($C277,$A$10:$J$89,7,FALSE)*$F277)))))</x:f>
      </x:c>
      <x:c r="N277" s="25" t="str">
        <x:f>IF($A277="","",IF($F277="","",IF($F277=0,0,IF(COUNTIFS($A$10:$A$89,$C277)&lt;&gt;1,"brak danych",IF(COUNTIFS($A$10:$A$89,$C277,$H$10:$H$89,"&lt;&gt;")=0,"brak danych",VLOOKUP($C277,$A$10:$J$89,8,FALSE)*$F277)))))</x:f>
      </x:c>
      <x:c r="O277" s="25" t="str">
        <x:f>IF($A277="","",IF($F277="","",IF($F277=0,0,IF(COUNTIFS($A$10:$A$89,$C277)&lt;&gt;1,"brak danych",IF(COUNTIFS($A$10:$A$89,$C277,$I$10:$I$89,"&lt;&gt;")=0,"brak danych",VLOOKUP($C277,$A$10:$J$89,9,FALSE)*$F277)))))</x:f>
      </x:c>
      <x:c r="P277" s="25" t="str">
        <x:f>IF($A277="","",IF($F277="","",IF($F277=0,0,IF(COUNTIFS($A$10:$A$89,$C277)&lt;&gt;1,"brak danych",IF(COUNTIFS($A$10:$A$89,$C277,$J$10:$J$89,"&lt;&gt;")=0,"brak danych",VLOOKUP($C277,$A$10:$J$89,10,FALSE)*$F277)))))</x:f>
      </x:c>
      <x:c r="Q277" s="18"/>
    </x:row>
    <x:row r="278" ht="25" customHeight="1">
      <x:c r="A278" s="6"/>
      <x:c r="B278" s="30"/>
      <x:c r="C278" s="5"/>
      <x:c r="D278" s="5"/>
      <x:c r="E278" s="32"/>
      <x:c r="F278" s="32"/>
      <x:c r="G278" s="24" t="str">
        <x:f>IF($A278="","",IF(AND($C278="",$E278=""),"",IF($E278="","brak danych",IF($E278=0,0,IF(COUNTIFS($A$10:$A$89,$C278)&lt;&gt;1,"brak danych",IF(COUNTIFS($A$10:$A$89,$C278,$F$10:$F$89,"&lt;&gt;")=0,"brak danych",VLOOKUP($C278,$A$10:$J$89,6,FALSE)*$E278))))))</x:f>
      </x:c>
      <x:c r="H278" s="25" t="str">
        <x:f>IF($A278="","",IF(AND($C278="",$E278=""),"",IF($E278="","brak danych",IF($E278=0,0,IF(COUNTIFS($A$10:$A$89,$C278)&lt;&gt;1,"brak danych",IF(COUNTIFS($A$10:$A$89,$C278,$G$10:$G$89,"&lt;&gt;")=0,"brak danych",VLOOKUP($C278,$A$10:$J$89,7,FALSE)*$E278))))))</x:f>
      </x:c>
      <x:c r="I278" s="25" t="str">
        <x:f>IF($A278="","",IF(AND($C278="",$E278=""),"",IF($E278="","brak danych",IF($E278=0,0,IF(COUNTIFS($A$10:$A$89,$C278)&lt;&gt;1,"brak danych",IF(COUNTIFS($A$10:$A$89,$C278,$H$10:$H$89,"&lt;&gt;")=0,"brak danych",VLOOKUP($C278,$A$10:$J$89,8,FALSE)*$E278))))))</x:f>
      </x:c>
      <x:c r="J278" s="25" t="str">
        <x:f>IF($A278="","",IF(AND($C278="",$E278=""),"",IF($E278="","brak danych",IF($E278=0,0,IF(COUNTIFS($A$10:$A$89,$C278)&lt;&gt;1,"brak danych",IF(COUNTIFS($A$10:$A$89,$C278,$I$10:$I$89,"&lt;&gt;")=0,"brak danych",VLOOKUP($C278,$A$10:$J$89,9,FALSE)*$E278))))))</x:f>
      </x:c>
      <x:c r="K278" s="25" t="str">
        <x:f>IF($A278="","",IF(AND($C278="",$E278=""),"",IF($E278="","brak danych",IF($E278=0,0,IF(COUNTIFS($A$10:$A$89,$C278)&lt;&gt;1,"brak danych",IF(COUNTIFS($A$10:$A$89,$C278,$J$10:$J$89,"&lt;&gt;")=0,"brak danych",VLOOKUP($C278,$A$10:$J$89,10,FALSE)*$E278))))))</x:f>
      </x:c>
      <x:c r="L278" s="24" t="str">
        <x:f>IF($A278="","",IF($F278="","",IF($F278=0,0,IF(COUNTIFS($A$10:$A$89,$C278)&lt;&gt;1,"brak danych",IF(COUNTIFS($A$10:$A$89,$C278,$F$10:$F$89,"&lt;&gt;")=0,"brak danych",VLOOKUP($C278,$A$10:$J$89,6,FALSE)*$F278)))))</x:f>
      </x:c>
      <x:c r="M278" s="25" t="str">
        <x:f>IF($A278="","",IF($F278="","",IF($F278=0,0,IF(COUNTIFS($A$10:$A$89,$C278)&lt;&gt;1,"brak danych",IF(COUNTIFS($A$10:$A$89,$C278,$G$10:$G$89,"&lt;&gt;")=0,"brak danych",VLOOKUP($C278,$A$10:$J$89,7,FALSE)*$F278)))))</x:f>
      </x:c>
      <x:c r="N278" s="25" t="str">
        <x:f>IF($A278="","",IF($F278="","",IF($F278=0,0,IF(COUNTIFS($A$10:$A$89,$C278)&lt;&gt;1,"brak danych",IF(COUNTIFS($A$10:$A$89,$C278,$H$10:$H$89,"&lt;&gt;")=0,"brak danych",VLOOKUP($C278,$A$10:$J$89,8,FALSE)*$F278)))))</x:f>
      </x:c>
      <x:c r="O278" s="25" t="str">
        <x:f>IF($A278="","",IF($F278="","",IF($F278=0,0,IF(COUNTIFS($A$10:$A$89,$C278)&lt;&gt;1,"brak danych",IF(COUNTIFS($A$10:$A$89,$C278,$I$10:$I$89,"&lt;&gt;")=0,"brak danych",VLOOKUP($C278,$A$10:$J$89,9,FALSE)*$F278)))))</x:f>
      </x:c>
      <x:c r="P278" s="25" t="str">
        <x:f>IF($A278="","",IF($F278="","",IF($F278=0,0,IF(COUNTIFS($A$10:$A$89,$C278)&lt;&gt;1,"brak danych",IF(COUNTIFS($A$10:$A$89,$C278,$J$10:$J$89,"&lt;&gt;")=0,"brak danych",VLOOKUP($C278,$A$10:$J$89,10,FALSE)*$F278)))))</x:f>
      </x:c>
      <x:c r="Q278" s="18"/>
    </x:row>
    <x:row r="279" ht="25" customHeight="1">
      <x:c r="A279" s="6"/>
      <x:c r="B279" s="30"/>
      <x:c r="C279" s="5"/>
      <x:c r="D279" s="5"/>
      <x:c r="E279" s="32"/>
      <x:c r="F279" s="32"/>
      <x:c r="G279" s="24" t="str">
        <x:f>IF($A279="","",IF(AND($C279="",$E279=""),"",IF($E279="","brak danych",IF($E279=0,0,IF(COUNTIFS($A$10:$A$89,$C279)&lt;&gt;1,"brak danych",IF(COUNTIFS($A$10:$A$89,$C279,$F$10:$F$89,"&lt;&gt;")=0,"brak danych",VLOOKUP($C279,$A$10:$J$89,6,FALSE)*$E279))))))</x:f>
      </x:c>
      <x:c r="H279" s="25" t="str">
        <x:f>IF($A279="","",IF(AND($C279="",$E279=""),"",IF($E279="","brak danych",IF($E279=0,0,IF(COUNTIFS($A$10:$A$89,$C279)&lt;&gt;1,"brak danych",IF(COUNTIFS($A$10:$A$89,$C279,$G$10:$G$89,"&lt;&gt;")=0,"brak danych",VLOOKUP($C279,$A$10:$J$89,7,FALSE)*$E279))))))</x:f>
      </x:c>
      <x:c r="I279" s="25" t="str">
        <x:f>IF($A279="","",IF(AND($C279="",$E279=""),"",IF($E279="","brak danych",IF($E279=0,0,IF(COUNTIFS($A$10:$A$89,$C279)&lt;&gt;1,"brak danych",IF(COUNTIFS($A$10:$A$89,$C279,$H$10:$H$89,"&lt;&gt;")=0,"brak danych",VLOOKUP($C279,$A$10:$J$89,8,FALSE)*$E279))))))</x:f>
      </x:c>
      <x:c r="J279" s="25" t="str">
        <x:f>IF($A279="","",IF(AND($C279="",$E279=""),"",IF($E279="","brak danych",IF($E279=0,0,IF(COUNTIFS($A$10:$A$89,$C279)&lt;&gt;1,"brak danych",IF(COUNTIFS($A$10:$A$89,$C279,$I$10:$I$89,"&lt;&gt;")=0,"brak danych",VLOOKUP($C279,$A$10:$J$89,9,FALSE)*$E279))))))</x:f>
      </x:c>
      <x:c r="K279" s="25" t="str">
        <x:f>IF($A279="","",IF(AND($C279="",$E279=""),"",IF($E279="","brak danych",IF($E279=0,0,IF(COUNTIFS($A$10:$A$89,$C279)&lt;&gt;1,"brak danych",IF(COUNTIFS($A$10:$A$89,$C279,$J$10:$J$89,"&lt;&gt;")=0,"brak danych",VLOOKUP($C279,$A$10:$J$89,10,FALSE)*$E279))))))</x:f>
      </x:c>
      <x:c r="L279" s="24" t="str">
        <x:f>IF($A279="","",IF($F279="","",IF($F279=0,0,IF(COUNTIFS($A$10:$A$89,$C279)&lt;&gt;1,"brak danych",IF(COUNTIFS($A$10:$A$89,$C279,$F$10:$F$89,"&lt;&gt;")=0,"brak danych",VLOOKUP($C279,$A$10:$J$89,6,FALSE)*$F279)))))</x:f>
      </x:c>
      <x:c r="M279" s="25" t="str">
        <x:f>IF($A279="","",IF($F279="","",IF($F279=0,0,IF(COUNTIFS($A$10:$A$89,$C279)&lt;&gt;1,"brak danych",IF(COUNTIFS($A$10:$A$89,$C279,$G$10:$G$89,"&lt;&gt;")=0,"brak danych",VLOOKUP($C279,$A$10:$J$89,7,FALSE)*$F279)))))</x:f>
      </x:c>
      <x:c r="N279" s="25" t="str">
        <x:f>IF($A279="","",IF($F279="","",IF($F279=0,0,IF(COUNTIFS($A$10:$A$89,$C279)&lt;&gt;1,"brak danych",IF(COUNTIFS($A$10:$A$89,$C279,$H$10:$H$89,"&lt;&gt;")=0,"brak danych",VLOOKUP($C279,$A$10:$J$89,8,FALSE)*$F279)))))</x:f>
      </x:c>
      <x:c r="O279" s="25" t="str">
        <x:f>IF($A279="","",IF($F279="","",IF($F279=0,0,IF(COUNTIFS($A$10:$A$89,$C279)&lt;&gt;1,"brak danych",IF(COUNTIFS($A$10:$A$89,$C279,$I$10:$I$89,"&lt;&gt;")=0,"brak danych",VLOOKUP($C279,$A$10:$J$89,9,FALSE)*$F279)))))</x:f>
      </x:c>
      <x:c r="P279" s="25" t="str">
        <x:f>IF($A279="","",IF($F279="","",IF($F279=0,0,IF(COUNTIFS($A$10:$A$89,$C279)&lt;&gt;1,"brak danych",IF(COUNTIFS($A$10:$A$89,$C279,$J$10:$J$89,"&lt;&gt;")=0,"brak danych",VLOOKUP($C279,$A$10:$J$89,10,FALSE)*$F279)))))</x:f>
      </x:c>
      <x:c r="Q279" s="18"/>
    </x:row>
    <x:row r="280" ht="25" customHeight="1">
      <x:c r="A280" s="6"/>
      <x:c r="B280" s="30"/>
      <x:c r="C280" s="5"/>
      <x:c r="D280" s="5"/>
      <x:c r="E280" s="32"/>
      <x:c r="F280" s="32"/>
      <x:c r="G280" s="24" t="str">
        <x:f>IF($A280="","",IF(AND($C280="",$E280=""),"",IF($E280="","brak danych",IF($E280=0,0,IF(COUNTIFS($A$10:$A$89,$C280)&lt;&gt;1,"brak danych",IF(COUNTIFS($A$10:$A$89,$C280,$F$10:$F$89,"&lt;&gt;")=0,"brak danych",VLOOKUP($C280,$A$10:$J$89,6,FALSE)*$E280))))))</x:f>
      </x:c>
      <x:c r="H280" s="25" t="str">
        <x:f>IF($A280="","",IF(AND($C280="",$E280=""),"",IF($E280="","brak danych",IF($E280=0,0,IF(COUNTIFS($A$10:$A$89,$C280)&lt;&gt;1,"brak danych",IF(COUNTIFS($A$10:$A$89,$C280,$G$10:$G$89,"&lt;&gt;")=0,"brak danych",VLOOKUP($C280,$A$10:$J$89,7,FALSE)*$E280))))))</x:f>
      </x:c>
      <x:c r="I280" s="25" t="str">
        <x:f>IF($A280="","",IF(AND($C280="",$E280=""),"",IF($E280="","brak danych",IF($E280=0,0,IF(COUNTIFS($A$10:$A$89,$C280)&lt;&gt;1,"brak danych",IF(COUNTIFS($A$10:$A$89,$C280,$H$10:$H$89,"&lt;&gt;")=0,"brak danych",VLOOKUP($C280,$A$10:$J$89,8,FALSE)*$E280))))))</x:f>
      </x:c>
      <x:c r="J280" s="25" t="str">
        <x:f>IF($A280="","",IF(AND($C280="",$E280=""),"",IF($E280="","brak danych",IF($E280=0,0,IF(COUNTIFS($A$10:$A$89,$C280)&lt;&gt;1,"brak danych",IF(COUNTIFS($A$10:$A$89,$C280,$I$10:$I$89,"&lt;&gt;")=0,"brak danych",VLOOKUP($C280,$A$10:$J$89,9,FALSE)*$E280))))))</x:f>
      </x:c>
      <x:c r="K280" s="25" t="str">
        <x:f>IF($A280="","",IF(AND($C280="",$E280=""),"",IF($E280="","brak danych",IF($E280=0,0,IF(COUNTIFS($A$10:$A$89,$C280)&lt;&gt;1,"brak danych",IF(COUNTIFS($A$10:$A$89,$C280,$J$10:$J$89,"&lt;&gt;")=0,"brak danych",VLOOKUP($C280,$A$10:$J$89,10,FALSE)*$E280))))))</x:f>
      </x:c>
      <x:c r="L280" s="24" t="str">
        <x:f>IF($A280="","",IF($F280="","",IF($F280=0,0,IF(COUNTIFS($A$10:$A$89,$C280)&lt;&gt;1,"brak danych",IF(COUNTIFS($A$10:$A$89,$C280,$F$10:$F$89,"&lt;&gt;")=0,"brak danych",VLOOKUP($C280,$A$10:$J$89,6,FALSE)*$F280)))))</x:f>
      </x:c>
      <x:c r="M280" s="25" t="str">
        <x:f>IF($A280="","",IF($F280="","",IF($F280=0,0,IF(COUNTIFS($A$10:$A$89,$C280)&lt;&gt;1,"brak danych",IF(COUNTIFS($A$10:$A$89,$C280,$G$10:$G$89,"&lt;&gt;")=0,"brak danych",VLOOKUP($C280,$A$10:$J$89,7,FALSE)*$F280)))))</x:f>
      </x:c>
      <x:c r="N280" s="25" t="str">
        <x:f>IF($A280="","",IF($F280="","",IF($F280=0,0,IF(COUNTIFS($A$10:$A$89,$C280)&lt;&gt;1,"brak danych",IF(COUNTIFS($A$10:$A$89,$C280,$H$10:$H$89,"&lt;&gt;")=0,"brak danych",VLOOKUP($C280,$A$10:$J$89,8,FALSE)*$F280)))))</x:f>
      </x:c>
      <x:c r="O280" s="25" t="str">
        <x:f>IF($A280="","",IF($F280="","",IF($F280=0,0,IF(COUNTIFS($A$10:$A$89,$C280)&lt;&gt;1,"brak danych",IF(COUNTIFS($A$10:$A$89,$C280,$I$10:$I$89,"&lt;&gt;")=0,"brak danych",VLOOKUP($C280,$A$10:$J$89,9,FALSE)*$F280)))))</x:f>
      </x:c>
      <x:c r="P280" s="25" t="str">
        <x:f>IF($A280="","",IF($F280="","",IF($F280=0,0,IF(COUNTIFS($A$10:$A$89,$C280)&lt;&gt;1,"brak danych",IF(COUNTIFS($A$10:$A$89,$C280,$J$10:$J$89,"&lt;&gt;")=0,"brak danych",VLOOKUP($C280,$A$10:$J$89,10,FALSE)*$F280)))))</x:f>
      </x:c>
      <x:c r="Q280" s="18"/>
    </x:row>
    <x:row r="281" ht="25" customHeight="1">
      <x:c r="A281" s="6"/>
      <x:c r="B281" s="30"/>
      <x:c r="C281" s="5"/>
      <x:c r="D281" s="5"/>
      <x:c r="E281" s="32"/>
      <x:c r="F281" s="32"/>
      <x:c r="G281" s="24" t="str">
        <x:f>IF($A281="","",IF(AND($C281="",$E281=""),"",IF($E281="","brak danych",IF($E281=0,0,IF(COUNTIFS($A$10:$A$89,$C281)&lt;&gt;1,"brak danych",IF(COUNTIFS($A$10:$A$89,$C281,$F$10:$F$89,"&lt;&gt;")=0,"brak danych",VLOOKUP($C281,$A$10:$J$89,6,FALSE)*$E281))))))</x:f>
      </x:c>
      <x:c r="H281" s="25" t="str">
        <x:f>IF($A281="","",IF(AND($C281="",$E281=""),"",IF($E281="","brak danych",IF($E281=0,0,IF(COUNTIFS($A$10:$A$89,$C281)&lt;&gt;1,"brak danych",IF(COUNTIFS($A$10:$A$89,$C281,$G$10:$G$89,"&lt;&gt;")=0,"brak danych",VLOOKUP($C281,$A$10:$J$89,7,FALSE)*$E281))))))</x:f>
      </x:c>
      <x:c r="I281" s="25" t="str">
        <x:f>IF($A281="","",IF(AND($C281="",$E281=""),"",IF($E281="","brak danych",IF($E281=0,0,IF(COUNTIFS($A$10:$A$89,$C281)&lt;&gt;1,"brak danych",IF(COUNTIFS($A$10:$A$89,$C281,$H$10:$H$89,"&lt;&gt;")=0,"brak danych",VLOOKUP($C281,$A$10:$J$89,8,FALSE)*$E281))))))</x:f>
      </x:c>
      <x:c r="J281" s="25" t="str">
        <x:f>IF($A281="","",IF(AND($C281="",$E281=""),"",IF($E281="","brak danych",IF($E281=0,0,IF(COUNTIFS($A$10:$A$89,$C281)&lt;&gt;1,"brak danych",IF(COUNTIFS($A$10:$A$89,$C281,$I$10:$I$89,"&lt;&gt;")=0,"brak danych",VLOOKUP($C281,$A$10:$J$89,9,FALSE)*$E281))))))</x:f>
      </x:c>
      <x:c r="K281" s="25" t="str">
        <x:f>IF($A281="","",IF(AND($C281="",$E281=""),"",IF($E281="","brak danych",IF($E281=0,0,IF(COUNTIFS($A$10:$A$89,$C281)&lt;&gt;1,"brak danych",IF(COUNTIFS($A$10:$A$89,$C281,$J$10:$J$89,"&lt;&gt;")=0,"brak danych",VLOOKUP($C281,$A$10:$J$89,10,FALSE)*$E281))))))</x:f>
      </x:c>
      <x:c r="L281" s="24" t="str">
        <x:f>IF($A281="","",IF($F281="","",IF($F281=0,0,IF(COUNTIFS($A$10:$A$89,$C281)&lt;&gt;1,"brak danych",IF(COUNTIFS($A$10:$A$89,$C281,$F$10:$F$89,"&lt;&gt;")=0,"brak danych",VLOOKUP($C281,$A$10:$J$89,6,FALSE)*$F281)))))</x:f>
      </x:c>
      <x:c r="M281" s="25" t="str">
        <x:f>IF($A281="","",IF($F281="","",IF($F281=0,0,IF(COUNTIFS($A$10:$A$89,$C281)&lt;&gt;1,"brak danych",IF(COUNTIFS($A$10:$A$89,$C281,$G$10:$G$89,"&lt;&gt;")=0,"brak danych",VLOOKUP($C281,$A$10:$J$89,7,FALSE)*$F281)))))</x:f>
      </x:c>
      <x:c r="N281" s="25" t="str">
        <x:f>IF($A281="","",IF($F281="","",IF($F281=0,0,IF(COUNTIFS($A$10:$A$89,$C281)&lt;&gt;1,"brak danych",IF(COUNTIFS($A$10:$A$89,$C281,$H$10:$H$89,"&lt;&gt;")=0,"brak danych",VLOOKUP($C281,$A$10:$J$89,8,FALSE)*$F281)))))</x:f>
      </x:c>
      <x:c r="O281" s="25" t="str">
        <x:f>IF($A281="","",IF($F281="","",IF($F281=0,0,IF(COUNTIFS($A$10:$A$89,$C281)&lt;&gt;1,"brak danych",IF(COUNTIFS($A$10:$A$89,$C281,$I$10:$I$89,"&lt;&gt;")=0,"brak danych",VLOOKUP($C281,$A$10:$J$89,9,FALSE)*$F281)))))</x:f>
      </x:c>
      <x:c r="P281" s="25" t="str">
        <x:f>IF($A281="","",IF($F281="","",IF($F281=0,0,IF(COUNTIFS($A$10:$A$89,$C281)&lt;&gt;1,"brak danych",IF(COUNTIFS($A$10:$A$89,$C281,$J$10:$J$89,"&lt;&gt;")=0,"brak danych",VLOOKUP($C281,$A$10:$J$89,10,FALSE)*$F281)))))</x:f>
      </x:c>
      <x:c r="Q281" s="18"/>
    </x:row>
    <x:row r="282" ht="25" customHeight="1">
      <x:c r="A282" s="6"/>
      <x:c r="B282" s="30"/>
      <x:c r="C282" s="5"/>
      <x:c r="D282" s="5"/>
      <x:c r="E282" s="32"/>
      <x:c r="F282" s="32"/>
      <x:c r="G282" s="24" t="str">
        <x:f>IF($A282="","",IF(AND($C282="",$E282=""),"",IF($E282="","brak danych",IF($E282=0,0,IF(COUNTIFS($A$10:$A$89,$C282)&lt;&gt;1,"brak danych",IF(COUNTIFS($A$10:$A$89,$C282,$F$10:$F$89,"&lt;&gt;")=0,"brak danych",VLOOKUP($C282,$A$10:$J$89,6,FALSE)*$E282))))))</x:f>
      </x:c>
      <x:c r="H282" s="25" t="str">
        <x:f>IF($A282="","",IF(AND($C282="",$E282=""),"",IF($E282="","brak danych",IF($E282=0,0,IF(COUNTIFS($A$10:$A$89,$C282)&lt;&gt;1,"brak danych",IF(COUNTIFS($A$10:$A$89,$C282,$G$10:$G$89,"&lt;&gt;")=0,"brak danych",VLOOKUP($C282,$A$10:$J$89,7,FALSE)*$E282))))))</x:f>
      </x:c>
      <x:c r="I282" s="25" t="str">
        <x:f>IF($A282="","",IF(AND($C282="",$E282=""),"",IF($E282="","brak danych",IF($E282=0,0,IF(COUNTIFS($A$10:$A$89,$C282)&lt;&gt;1,"brak danych",IF(COUNTIFS($A$10:$A$89,$C282,$H$10:$H$89,"&lt;&gt;")=0,"brak danych",VLOOKUP($C282,$A$10:$J$89,8,FALSE)*$E282))))))</x:f>
      </x:c>
      <x:c r="J282" s="25" t="str">
        <x:f>IF($A282="","",IF(AND($C282="",$E282=""),"",IF($E282="","brak danych",IF($E282=0,0,IF(COUNTIFS($A$10:$A$89,$C282)&lt;&gt;1,"brak danych",IF(COUNTIFS($A$10:$A$89,$C282,$I$10:$I$89,"&lt;&gt;")=0,"brak danych",VLOOKUP($C282,$A$10:$J$89,9,FALSE)*$E282))))))</x:f>
      </x:c>
      <x:c r="K282" s="25" t="str">
        <x:f>IF($A282="","",IF(AND($C282="",$E282=""),"",IF($E282="","brak danych",IF($E282=0,0,IF(COUNTIFS($A$10:$A$89,$C282)&lt;&gt;1,"brak danych",IF(COUNTIFS($A$10:$A$89,$C282,$J$10:$J$89,"&lt;&gt;")=0,"brak danych",VLOOKUP($C282,$A$10:$J$89,10,FALSE)*$E282))))))</x:f>
      </x:c>
      <x:c r="L282" s="24" t="str">
        <x:f>IF($A282="","",IF($F282="","",IF($F282=0,0,IF(COUNTIFS($A$10:$A$89,$C282)&lt;&gt;1,"brak danych",IF(COUNTIFS($A$10:$A$89,$C282,$F$10:$F$89,"&lt;&gt;")=0,"brak danych",VLOOKUP($C282,$A$10:$J$89,6,FALSE)*$F282)))))</x:f>
      </x:c>
      <x:c r="M282" s="25" t="str">
        <x:f>IF($A282="","",IF($F282="","",IF($F282=0,0,IF(COUNTIFS($A$10:$A$89,$C282)&lt;&gt;1,"brak danych",IF(COUNTIFS($A$10:$A$89,$C282,$G$10:$G$89,"&lt;&gt;")=0,"brak danych",VLOOKUP($C282,$A$10:$J$89,7,FALSE)*$F282)))))</x:f>
      </x:c>
      <x:c r="N282" s="25" t="str">
        <x:f>IF($A282="","",IF($F282="","",IF($F282=0,0,IF(COUNTIFS($A$10:$A$89,$C282)&lt;&gt;1,"brak danych",IF(COUNTIFS($A$10:$A$89,$C282,$H$10:$H$89,"&lt;&gt;")=0,"brak danych",VLOOKUP($C282,$A$10:$J$89,8,FALSE)*$F282)))))</x:f>
      </x:c>
      <x:c r="O282" s="25" t="str">
        <x:f>IF($A282="","",IF($F282="","",IF($F282=0,0,IF(COUNTIFS($A$10:$A$89,$C282)&lt;&gt;1,"brak danych",IF(COUNTIFS($A$10:$A$89,$C282,$I$10:$I$89,"&lt;&gt;")=0,"brak danych",VLOOKUP($C282,$A$10:$J$89,9,FALSE)*$F282)))))</x:f>
      </x:c>
      <x:c r="P282" s="25" t="str">
        <x:f>IF($A282="","",IF($F282="","",IF($F282=0,0,IF(COUNTIFS($A$10:$A$89,$C282)&lt;&gt;1,"brak danych",IF(COUNTIFS($A$10:$A$89,$C282,$J$10:$J$89,"&lt;&gt;")=0,"brak danych",VLOOKUP($C282,$A$10:$J$89,10,FALSE)*$F282)))))</x:f>
      </x:c>
      <x:c r="Q282" s="18"/>
    </x:row>
    <x:row r="283" ht="25" customHeight="1">
      <x:c r="A283" s="6"/>
      <x:c r="B283" s="30"/>
      <x:c r="C283" s="5"/>
      <x:c r="D283" s="5"/>
      <x:c r="E283" s="32"/>
      <x:c r="F283" s="32"/>
      <x:c r="G283" s="24" t="str">
        <x:f>IF($A283="","",IF(AND($C283="",$E283=""),"",IF($E283="","brak danych",IF($E283=0,0,IF(COUNTIFS($A$10:$A$89,$C283)&lt;&gt;1,"brak danych",IF(COUNTIFS($A$10:$A$89,$C283,$F$10:$F$89,"&lt;&gt;")=0,"brak danych",VLOOKUP($C283,$A$10:$J$89,6,FALSE)*$E283))))))</x:f>
      </x:c>
      <x:c r="H283" s="25" t="str">
        <x:f>IF($A283="","",IF(AND($C283="",$E283=""),"",IF($E283="","brak danych",IF($E283=0,0,IF(COUNTIFS($A$10:$A$89,$C283)&lt;&gt;1,"brak danych",IF(COUNTIFS($A$10:$A$89,$C283,$G$10:$G$89,"&lt;&gt;")=0,"brak danych",VLOOKUP($C283,$A$10:$J$89,7,FALSE)*$E283))))))</x:f>
      </x:c>
      <x:c r="I283" s="25" t="str">
        <x:f>IF($A283="","",IF(AND($C283="",$E283=""),"",IF($E283="","brak danych",IF($E283=0,0,IF(COUNTIFS($A$10:$A$89,$C283)&lt;&gt;1,"brak danych",IF(COUNTIFS($A$10:$A$89,$C283,$H$10:$H$89,"&lt;&gt;")=0,"brak danych",VLOOKUP($C283,$A$10:$J$89,8,FALSE)*$E283))))))</x:f>
      </x:c>
      <x:c r="J283" s="25" t="str">
        <x:f>IF($A283="","",IF(AND($C283="",$E283=""),"",IF($E283="","brak danych",IF($E283=0,0,IF(COUNTIFS($A$10:$A$89,$C283)&lt;&gt;1,"brak danych",IF(COUNTIFS($A$10:$A$89,$C283,$I$10:$I$89,"&lt;&gt;")=0,"brak danych",VLOOKUP($C283,$A$10:$J$89,9,FALSE)*$E283))))))</x:f>
      </x:c>
      <x:c r="K283" s="25" t="str">
        <x:f>IF($A283="","",IF(AND($C283="",$E283=""),"",IF($E283="","brak danych",IF($E283=0,0,IF(COUNTIFS($A$10:$A$89,$C283)&lt;&gt;1,"brak danych",IF(COUNTIFS($A$10:$A$89,$C283,$J$10:$J$89,"&lt;&gt;")=0,"brak danych",VLOOKUP($C283,$A$10:$J$89,10,FALSE)*$E283))))))</x:f>
      </x:c>
      <x:c r="L283" s="24" t="str">
        <x:f>IF($A283="","",IF($F283="","",IF($F283=0,0,IF(COUNTIFS($A$10:$A$89,$C283)&lt;&gt;1,"brak danych",IF(COUNTIFS($A$10:$A$89,$C283,$F$10:$F$89,"&lt;&gt;")=0,"brak danych",VLOOKUP($C283,$A$10:$J$89,6,FALSE)*$F283)))))</x:f>
      </x:c>
      <x:c r="M283" s="25" t="str">
        <x:f>IF($A283="","",IF($F283="","",IF($F283=0,0,IF(COUNTIFS($A$10:$A$89,$C283)&lt;&gt;1,"brak danych",IF(COUNTIFS($A$10:$A$89,$C283,$G$10:$G$89,"&lt;&gt;")=0,"brak danych",VLOOKUP($C283,$A$10:$J$89,7,FALSE)*$F283)))))</x:f>
      </x:c>
      <x:c r="N283" s="25" t="str">
        <x:f>IF($A283="","",IF($F283="","",IF($F283=0,0,IF(COUNTIFS($A$10:$A$89,$C283)&lt;&gt;1,"brak danych",IF(COUNTIFS($A$10:$A$89,$C283,$H$10:$H$89,"&lt;&gt;")=0,"brak danych",VLOOKUP($C283,$A$10:$J$89,8,FALSE)*$F283)))))</x:f>
      </x:c>
      <x:c r="O283" s="25" t="str">
        <x:f>IF($A283="","",IF($F283="","",IF($F283=0,0,IF(COUNTIFS($A$10:$A$89,$C283)&lt;&gt;1,"brak danych",IF(COUNTIFS($A$10:$A$89,$C283,$I$10:$I$89,"&lt;&gt;")=0,"brak danych",VLOOKUP($C283,$A$10:$J$89,9,FALSE)*$F283)))))</x:f>
      </x:c>
      <x:c r="P283" s="25" t="str">
        <x:f>IF($A283="","",IF($F283="","",IF($F283=0,0,IF(COUNTIFS($A$10:$A$89,$C283)&lt;&gt;1,"brak danych",IF(COUNTIFS($A$10:$A$89,$C283,$J$10:$J$89,"&lt;&gt;")=0,"brak danych",VLOOKUP($C283,$A$10:$J$89,10,FALSE)*$F283)))))</x:f>
      </x:c>
      <x:c r="Q283" s="18"/>
    </x:row>
    <x:row r="284" ht="25" customHeight="1">
      <x:c r="A284" s="6"/>
      <x:c r="B284" s="30"/>
      <x:c r="C284" s="5"/>
      <x:c r="D284" s="5"/>
      <x:c r="E284" s="32"/>
      <x:c r="F284" s="32"/>
      <x:c r="G284" s="24" t="str">
        <x:f>IF($A284="","",IF(AND($C284="",$E284=""),"",IF($E284="","brak danych",IF($E284=0,0,IF(COUNTIFS($A$10:$A$89,$C284)&lt;&gt;1,"brak danych",IF(COUNTIFS($A$10:$A$89,$C284,$F$10:$F$89,"&lt;&gt;")=0,"brak danych",VLOOKUP($C284,$A$10:$J$89,6,FALSE)*$E284))))))</x:f>
      </x:c>
      <x:c r="H284" s="25" t="str">
        <x:f>IF($A284="","",IF(AND($C284="",$E284=""),"",IF($E284="","brak danych",IF($E284=0,0,IF(COUNTIFS($A$10:$A$89,$C284)&lt;&gt;1,"brak danych",IF(COUNTIFS($A$10:$A$89,$C284,$G$10:$G$89,"&lt;&gt;")=0,"brak danych",VLOOKUP($C284,$A$10:$J$89,7,FALSE)*$E284))))))</x:f>
      </x:c>
      <x:c r="I284" s="25" t="str">
        <x:f>IF($A284="","",IF(AND($C284="",$E284=""),"",IF($E284="","brak danych",IF($E284=0,0,IF(COUNTIFS($A$10:$A$89,$C284)&lt;&gt;1,"brak danych",IF(COUNTIFS($A$10:$A$89,$C284,$H$10:$H$89,"&lt;&gt;")=0,"brak danych",VLOOKUP($C284,$A$10:$J$89,8,FALSE)*$E284))))))</x:f>
      </x:c>
      <x:c r="J284" s="25" t="str">
        <x:f>IF($A284="","",IF(AND($C284="",$E284=""),"",IF($E284="","brak danych",IF($E284=0,0,IF(COUNTIFS($A$10:$A$89,$C284)&lt;&gt;1,"brak danych",IF(COUNTIFS($A$10:$A$89,$C284,$I$10:$I$89,"&lt;&gt;")=0,"brak danych",VLOOKUP($C284,$A$10:$J$89,9,FALSE)*$E284))))))</x:f>
      </x:c>
      <x:c r="K284" s="25" t="str">
        <x:f>IF($A284="","",IF(AND($C284="",$E284=""),"",IF($E284="","brak danych",IF($E284=0,0,IF(COUNTIFS($A$10:$A$89,$C284)&lt;&gt;1,"brak danych",IF(COUNTIFS($A$10:$A$89,$C284,$J$10:$J$89,"&lt;&gt;")=0,"brak danych",VLOOKUP($C284,$A$10:$J$89,10,FALSE)*$E284))))))</x:f>
      </x:c>
      <x:c r="L284" s="24" t="str">
        <x:f>IF($A284="","",IF($F284="","",IF($F284=0,0,IF(COUNTIFS($A$10:$A$89,$C284)&lt;&gt;1,"brak danych",IF(COUNTIFS($A$10:$A$89,$C284,$F$10:$F$89,"&lt;&gt;")=0,"brak danych",VLOOKUP($C284,$A$10:$J$89,6,FALSE)*$F284)))))</x:f>
      </x:c>
      <x:c r="M284" s="25" t="str">
        <x:f>IF($A284="","",IF($F284="","",IF($F284=0,0,IF(COUNTIFS($A$10:$A$89,$C284)&lt;&gt;1,"brak danych",IF(COUNTIFS($A$10:$A$89,$C284,$G$10:$G$89,"&lt;&gt;")=0,"brak danych",VLOOKUP($C284,$A$10:$J$89,7,FALSE)*$F284)))))</x:f>
      </x:c>
      <x:c r="N284" s="25" t="str">
        <x:f>IF($A284="","",IF($F284="","",IF($F284=0,0,IF(COUNTIFS($A$10:$A$89,$C284)&lt;&gt;1,"brak danych",IF(COUNTIFS($A$10:$A$89,$C284,$H$10:$H$89,"&lt;&gt;")=0,"brak danych",VLOOKUP($C284,$A$10:$J$89,8,FALSE)*$F284)))))</x:f>
      </x:c>
      <x:c r="O284" s="25" t="str">
        <x:f>IF($A284="","",IF($F284="","",IF($F284=0,0,IF(COUNTIFS($A$10:$A$89,$C284)&lt;&gt;1,"brak danych",IF(COUNTIFS($A$10:$A$89,$C284,$I$10:$I$89,"&lt;&gt;")=0,"brak danych",VLOOKUP($C284,$A$10:$J$89,9,FALSE)*$F284)))))</x:f>
      </x:c>
      <x:c r="P284" s="25" t="str">
        <x:f>IF($A284="","",IF($F284="","",IF($F284=0,0,IF(COUNTIFS($A$10:$A$89,$C284)&lt;&gt;1,"brak danych",IF(COUNTIFS($A$10:$A$89,$C284,$J$10:$J$89,"&lt;&gt;")=0,"brak danych",VLOOKUP($C284,$A$10:$J$89,10,FALSE)*$F284)))))</x:f>
      </x:c>
      <x:c r="Q284" s="18"/>
    </x:row>
    <x:row r="285" ht="25" customHeight="1">
      <x:c r="A285" s="6"/>
      <x:c r="B285" s="30"/>
      <x:c r="C285" s="5"/>
      <x:c r="D285" s="5"/>
      <x:c r="E285" s="32"/>
      <x:c r="F285" s="32"/>
      <x:c r="G285" s="24" t="str">
        <x:f>IF($A285="","",IF(AND($C285="",$E285=""),"",IF($E285="","brak danych",IF($E285=0,0,IF(COUNTIFS($A$10:$A$89,$C285)&lt;&gt;1,"brak danych",IF(COUNTIFS($A$10:$A$89,$C285,$F$10:$F$89,"&lt;&gt;")=0,"brak danych",VLOOKUP($C285,$A$10:$J$89,6,FALSE)*$E285))))))</x:f>
      </x:c>
      <x:c r="H285" s="25" t="str">
        <x:f>IF($A285="","",IF(AND($C285="",$E285=""),"",IF($E285="","brak danych",IF($E285=0,0,IF(COUNTIFS($A$10:$A$89,$C285)&lt;&gt;1,"brak danych",IF(COUNTIFS($A$10:$A$89,$C285,$G$10:$G$89,"&lt;&gt;")=0,"brak danych",VLOOKUP($C285,$A$10:$J$89,7,FALSE)*$E285))))))</x:f>
      </x:c>
      <x:c r="I285" s="25" t="str">
        <x:f>IF($A285="","",IF(AND($C285="",$E285=""),"",IF($E285="","brak danych",IF($E285=0,0,IF(COUNTIFS($A$10:$A$89,$C285)&lt;&gt;1,"brak danych",IF(COUNTIFS($A$10:$A$89,$C285,$H$10:$H$89,"&lt;&gt;")=0,"brak danych",VLOOKUP($C285,$A$10:$J$89,8,FALSE)*$E285))))))</x:f>
      </x:c>
      <x:c r="J285" s="25" t="str">
        <x:f>IF($A285="","",IF(AND($C285="",$E285=""),"",IF($E285="","brak danych",IF($E285=0,0,IF(COUNTIFS($A$10:$A$89,$C285)&lt;&gt;1,"brak danych",IF(COUNTIFS($A$10:$A$89,$C285,$I$10:$I$89,"&lt;&gt;")=0,"brak danych",VLOOKUP($C285,$A$10:$J$89,9,FALSE)*$E285))))))</x:f>
      </x:c>
      <x:c r="K285" s="25" t="str">
        <x:f>IF($A285="","",IF(AND($C285="",$E285=""),"",IF($E285="","brak danych",IF($E285=0,0,IF(COUNTIFS($A$10:$A$89,$C285)&lt;&gt;1,"brak danych",IF(COUNTIFS($A$10:$A$89,$C285,$J$10:$J$89,"&lt;&gt;")=0,"brak danych",VLOOKUP($C285,$A$10:$J$89,10,FALSE)*$E285))))))</x:f>
      </x:c>
      <x:c r="L285" s="24" t="str">
        <x:f>IF($A285="","",IF($F285="","",IF($F285=0,0,IF(COUNTIFS($A$10:$A$89,$C285)&lt;&gt;1,"brak danych",IF(COUNTIFS($A$10:$A$89,$C285,$F$10:$F$89,"&lt;&gt;")=0,"brak danych",VLOOKUP($C285,$A$10:$J$89,6,FALSE)*$F285)))))</x:f>
      </x:c>
      <x:c r="M285" s="25" t="str">
        <x:f>IF($A285="","",IF($F285="","",IF($F285=0,0,IF(COUNTIFS($A$10:$A$89,$C285)&lt;&gt;1,"brak danych",IF(COUNTIFS($A$10:$A$89,$C285,$G$10:$G$89,"&lt;&gt;")=0,"brak danych",VLOOKUP($C285,$A$10:$J$89,7,FALSE)*$F285)))))</x:f>
      </x:c>
      <x:c r="N285" s="25" t="str">
        <x:f>IF($A285="","",IF($F285="","",IF($F285=0,0,IF(COUNTIFS($A$10:$A$89,$C285)&lt;&gt;1,"brak danych",IF(COUNTIFS($A$10:$A$89,$C285,$H$10:$H$89,"&lt;&gt;")=0,"brak danych",VLOOKUP($C285,$A$10:$J$89,8,FALSE)*$F285)))))</x:f>
      </x:c>
      <x:c r="O285" s="25" t="str">
        <x:f>IF($A285="","",IF($F285="","",IF($F285=0,0,IF(COUNTIFS($A$10:$A$89,$C285)&lt;&gt;1,"brak danych",IF(COUNTIFS($A$10:$A$89,$C285,$I$10:$I$89,"&lt;&gt;")=0,"brak danych",VLOOKUP($C285,$A$10:$J$89,9,FALSE)*$F285)))))</x:f>
      </x:c>
      <x:c r="P285" s="25" t="str">
        <x:f>IF($A285="","",IF($F285="","",IF($F285=0,0,IF(COUNTIFS($A$10:$A$89,$C285)&lt;&gt;1,"brak danych",IF(COUNTIFS($A$10:$A$89,$C285,$J$10:$J$89,"&lt;&gt;")=0,"brak danych",VLOOKUP($C285,$A$10:$J$89,10,FALSE)*$F285)))))</x:f>
      </x:c>
      <x:c r="Q285" s="18"/>
    </x:row>
    <x:row r="286" ht="25" customHeight="1">
      <x:c r="A286" s="6"/>
      <x:c r="B286" s="30"/>
      <x:c r="C286" s="5"/>
      <x:c r="D286" s="5"/>
      <x:c r="E286" s="32"/>
      <x:c r="F286" s="32"/>
      <x:c r="G286" s="24" t="str">
        <x:f>IF($A286="","",IF(AND($C286="",$E286=""),"",IF($E286="","brak danych",IF($E286=0,0,IF(COUNTIFS($A$10:$A$89,$C286)&lt;&gt;1,"brak danych",IF(COUNTIFS($A$10:$A$89,$C286,$F$10:$F$89,"&lt;&gt;")=0,"brak danych",VLOOKUP($C286,$A$10:$J$89,6,FALSE)*$E286))))))</x:f>
      </x:c>
      <x:c r="H286" s="25" t="str">
        <x:f>IF($A286="","",IF(AND($C286="",$E286=""),"",IF($E286="","brak danych",IF($E286=0,0,IF(COUNTIFS($A$10:$A$89,$C286)&lt;&gt;1,"brak danych",IF(COUNTIFS($A$10:$A$89,$C286,$G$10:$G$89,"&lt;&gt;")=0,"brak danych",VLOOKUP($C286,$A$10:$J$89,7,FALSE)*$E286))))))</x:f>
      </x:c>
      <x:c r="I286" s="25" t="str">
        <x:f>IF($A286="","",IF(AND($C286="",$E286=""),"",IF($E286="","brak danych",IF($E286=0,0,IF(COUNTIFS($A$10:$A$89,$C286)&lt;&gt;1,"brak danych",IF(COUNTIFS($A$10:$A$89,$C286,$H$10:$H$89,"&lt;&gt;")=0,"brak danych",VLOOKUP($C286,$A$10:$J$89,8,FALSE)*$E286))))))</x:f>
      </x:c>
      <x:c r="J286" s="25" t="str">
        <x:f>IF($A286="","",IF(AND($C286="",$E286=""),"",IF($E286="","brak danych",IF($E286=0,0,IF(COUNTIFS($A$10:$A$89,$C286)&lt;&gt;1,"brak danych",IF(COUNTIFS($A$10:$A$89,$C286,$I$10:$I$89,"&lt;&gt;")=0,"brak danych",VLOOKUP($C286,$A$10:$J$89,9,FALSE)*$E286))))))</x:f>
      </x:c>
      <x:c r="K286" s="25" t="str">
        <x:f>IF($A286="","",IF(AND($C286="",$E286=""),"",IF($E286="","brak danych",IF($E286=0,0,IF(COUNTIFS($A$10:$A$89,$C286)&lt;&gt;1,"brak danych",IF(COUNTIFS($A$10:$A$89,$C286,$J$10:$J$89,"&lt;&gt;")=0,"brak danych",VLOOKUP($C286,$A$10:$J$89,10,FALSE)*$E286))))))</x:f>
      </x:c>
      <x:c r="L286" s="24" t="str">
        <x:f>IF($A286="","",IF($F286="","",IF($F286=0,0,IF(COUNTIFS($A$10:$A$89,$C286)&lt;&gt;1,"brak danych",IF(COUNTIFS($A$10:$A$89,$C286,$F$10:$F$89,"&lt;&gt;")=0,"brak danych",VLOOKUP($C286,$A$10:$J$89,6,FALSE)*$F286)))))</x:f>
      </x:c>
      <x:c r="M286" s="25" t="str">
        <x:f>IF($A286="","",IF($F286="","",IF($F286=0,0,IF(COUNTIFS($A$10:$A$89,$C286)&lt;&gt;1,"brak danych",IF(COUNTIFS($A$10:$A$89,$C286,$G$10:$G$89,"&lt;&gt;")=0,"brak danych",VLOOKUP($C286,$A$10:$J$89,7,FALSE)*$F286)))))</x:f>
      </x:c>
      <x:c r="N286" s="25" t="str">
        <x:f>IF($A286="","",IF($F286="","",IF($F286=0,0,IF(COUNTIFS($A$10:$A$89,$C286)&lt;&gt;1,"brak danych",IF(COUNTIFS($A$10:$A$89,$C286,$H$10:$H$89,"&lt;&gt;")=0,"brak danych",VLOOKUP($C286,$A$10:$J$89,8,FALSE)*$F286)))))</x:f>
      </x:c>
      <x:c r="O286" s="25" t="str">
        <x:f>IF($A286="","",IF($F286="","",IF($F286=0,0,IF(COUNTIFS($A$10:$A$89,$C286)&lt;&gt;1,"brak danych",IF(COUNTIFS($A$10:$A$89,$C286,$I$10:$I$89,"&lt;&gt;")=0,"brak danych",VLOOKUP($C286,$A$10:$J$89,9,FALSE)*$F286)))))</x:f>
      </x:c>
      <x:c r="P286" s="25" t="str">
        <x:f>IF($A286="","",IF($F286="","",IF($F286=0,0,IF(COUNTIFS($A$10:$A$89,$C286)&lt;&gt;1,"brak danych",IF(COUNTIFS($A$10:$A$89,$C286,$J$10:$J$89,"&lt;&gt;")=0,"brak danych",VLOOKUP($C286,$A$10:$J$89,10,FALSE)*$F286)))))</x:f>
      </x:c>
      <x:c r="Q286" s="18"/>
    </x:row>
    <x:row r="287" ht="25" customHeight="1">
      <x:c r="A287" s="6"/>
      <x:c r="B287" s="30"/>
      <x:c r="C287" s="5"/>
      <x:c r="D287" s="5"/>
      <x:c r="E287" s="32"/>
      <x:c r="F287" s="32"/>
      <x:c r="G287" s="24" t="str">
        <x:f>IF($A287="","",IF(AND($C287="",$E287=""),"",IF($E287="","brak danych",IF($E287=0,0,IF(COUNTIFS($A$10:$A$89,$C287)&lt;&gt;1,"brak danych",IF(COUNTIFS($A$10:$A$89,$C287,$F$10:$F$89,"&lt;&gt;")=0,"brak danych",VLOOKUP($C287,$A$10:$J$89,6,FALSE)*$E287))))))</x:f>
      </x:c>
      <x:c r="H287" s="25" t="str">
        <x:f>IF($A287="","",IF(AND($C287="",$E287=""),"",IF($E287="","brak danych",IF($E287=0,0,IF(COUNTIFS($A$10:$A$89,$C287)&lt;&gt;1,"brak danych",IF(COUNTIFS($A$10:$A$89,$C287,$G$10:$G$89,"&lt;&gt;")=0,"brak danych",VLOOKUP($C287,$A$10:$J$89,7,FALSE)*$E287))))))</x:f>
      </x:c>
      <x:c r="I287" s="25" t="str">
        <x:f>IF($A287="","",IF(AND($C287="",$E287=""),"",IF($E287="","brak danych",IF($E287=0,0,IF(COUNTIFS($A$10:$A$89,$C287)&lt;&gt;1,"brak danych",IF(COUNTIFS($A$10:$A$89,$C287,$H$10:$H$89,"&lt;&gt;")=0,"brak danych",VLOOKUP($C287,$A$10:$J$89,8,FALSE)*$E287))))))</x:f>
      </x:c>
      <x:c r="J287" s="25" t="str">
        <x:f>IF($A287="","",IF(AND($C287="",$E287=""),"",IF($E287="","brak danych",IF($E287=0,0,IF(COUNTIFS($A$10:$A$89,$C287)&lt;&gt;1,"brak danych",IF(COUNTIFS($A$10:$A$89,$C287,$I$10:$I$89,"&lt;&gt;")=0,"brak danych",VLOOKUP($C287,$A$10:$J$89,9,FALSE)*$E287))))))</x:f>
      </x:c>
      <x:c r="K287" s="25" t="str">
        <x:f>IF($A287="","",IF(AND($C287="",$E287=""),"",IF($E287="","brak danych",IF($E287=0,0,IF(COUNTIFS($A$10:$A$89,$C287)&lt;&gt;1,"brak danych",IF(COUNTIFS($A$10:$A$89,$C287,$J$10:$J$89,"&lt;&gt;")=0,"brak danych",VLOOKUP($C287,$A$10:$J$89,10,FALSE)*$E287))))))</x:f>
      </x:c>
      <x:c r="L287" s="24" t="str">
        <x:f>IF($A287="","",IF($F287="","",IF($F287=0,0,IF(COUNTIFS($A$10:$A$89,$C287)&lt;&gt;1,"brak danych",IF(COUNTIFS($A$10:$A$89,$C287,$F$10:$F$89,"&lt;&gt;")=0,"brak danych",VLOOKUP($C287,$A$10:$J$89,6,FALSE)*$F287)))))</x:f>
      </x:c>
      <x:c r="M287" s="25" t="str">
        <x:f>IF($A287="","",IF($F287="","",IF($F287=0,0,IF(COUNTIFS($A$10:$A$89,$C287)&lt;&gt;1,"brak danych",IF(COUNTIFS($A$10:$A$89,$C287,$G$10:$G$89,"&lt;&gt;")=0,"brak danych",VLOOKUP($C287,$A$10:$J$89,7,FALSE)*$F287)))))</x:f>
      </x:c>
      <x:c r="N287" s="25" t="str">
        <x:f>IF($A287="","",IF($F287="","",IF($F287=0,0,IF(COUNTIFS($A$10:$A$89,$C287)&lt;&gt;1,"brak danych",IF(COUNTIFS($A$10:$A$89,$C287,$H$10:$H$89,"&lt;&gt;")=0,"brak danych",VLOOKUP($C287,$A$10:$J$89,8,FALSE)*$F287)))))</x:f>
      </x:c>
      <x:c r="O287" s="25" t="str">
        <x:f>IF($A287="","",IF($F287="","",IF($F287=0,0,IF(COUNTIFS($A$10:$A$89,$C287)&lt;&gt;1,"brak danych",IF(COUNTIFS($A$10:$A$89,$C287,$I$10:$I$89,"&lt;&gt;")=0,"brak danych",VLOOKUP($C287,$A$10:$J$89,9,FALSE)*$F287)))))</x:f>
      </x:c>
      <x:c r="P287" s="25" t="str">
        <x:f>IF($A287="","",IF($F287="","",IF($F287=0,0,IF(COUNTIFS($A$10:$A$89,$C287)&lt;&gt;1,"brak danych",IF(COUNTIFS($A$10:$A$89,$C287,$J$10:$J$89,"&lt;&gt;")=0,"brak danych",VLOOKUP($C287,$A$10:$J$89,10,FALSE)*$F287)))))</x:f>
      </x:c>
      <x:c r="Q287" s="18"/>
    </x:row>
    <x:row r="288" ht="25" customHeight="1">
      <x:c r="A288" s="6"/>
      <x:c r="B288" s="30"/>
      <x:c r="C288" s="5"/>
      <x:c r="D288" s="5"/>
      <x:c r="E288" s="32"/>
      <x:c r="F288" s="32"/>
      <x:c r="G288" s="24" t="str">
        <x:f>IF($A288="","",IF(AND($C288="",$E288=""),"",IF($E288="","brak danych",IF($E288=0,0,IF(COUNTIFS($A$10:$A$89,$C288)&lt;&gt;1,"brak danych",IF(COUNTIFS($A$10:$A$89,$C288,$F$10:$F$89,"&lt;&gt;")=0,"brak danych",VLOOKUP($C288,$A$10:$J$89,6,FALSE)*$E288))))))</x:f>
      </x:c>
      <x:c r="H288" s="25" t="str">
        <x:f>IF($A288="","",IF(AND($C288="",$E288=""),"",IF($E288="","brak danych",IF($E288=0,0,IF(COUNTIFS($A$10:$A$89,$C288)&lt;&gt;1,"brak danych",IF(COUNTIFS($A$10:$A$89,$C288,$G$10:$G$89,"&lt;&gt;")=0,"brak danych",VLOOKUP($C288,$A$10:$J$89,7,FALSE)*$E288))))))</x:f>
      </x:c>
      <x:c r="I288" s="25" t="str">
        <x:f>IF($A288="","",IF(AND($C288="",$E288=""),"",IF($E288="","brak danych",IF($E288=0,0,IF(COUNTIFS($A$10:$A$89,$C288)&lt;&gt;1,"brak danych",IF(COUNTIFS($A$10:$A$89,$C288,$H$10:$H$89,"&lt;&gt;")=0,"brak danych",VLOOKUP($C288,$A$10:$J$89,8,FALSE)*$E288))))))</x:f>
      </x:c>
      <x:c r="J288" s="25" t="str">
        <x:f>IF($A288="","",IF(AND($C288="",$E288=""),"",IF($E288="","brak danych",IF($E288=0,0,IF(COUNTIFS($A$10:$A$89,$C288)&lt;&gt;1,"brak danych",IF(COUNTIFS($A$10:$A$89,$C288,$I$10:$I$89,"&lt;&gt;")=0,"brak danych",VLOOKUP($C288,$A$10:$J$89,9,FALSE)*$E288))))))</x:f>
      </x:c>
      <x:c r="K288" s="25" t="str">
        <x:f>IF($A288="","",IF(AND($C288="",$E288=""),"",IF($E288="","brak danych",IF($E288=0,0,IF(COUNTIFS($A$10:$A$89,$C288)&lt;&gt;1,"brak danych",IF(COUNTIFS($A$10:$A$89,$C288,$J$10:$J$89,"&lt;&gt;")=0,"brak danych",VLOOKUP($C288,$A$10:$J$89,10,FALSE)*$E288))))))</x:f>
      </x:c>
      <x:c r="L288" s="24" t="str">
        <x:f>IF($A288="","",IF($F288="","",IF($F288=0,0,IF(COUNTIFS($A$10:$A$89,$C288)&lt;&gt;1,"brak danych",IF(COUNTIFS($A$10:$A$89,$C288,$F$10:$F$89,"&lt;&gt;")=0,"brak danych",VLOOKUP($C288,$A$10:$J$89,6,FALSE)*$F288)))))</x:f>
      </x:c>
      <x:c r="M288" s="25" t="str">
        <x:f>IF($A288="","",IF($F288="","",IF($F288=0,0,IF(COUNTIFS($A$10:$A$89,$C288)&lt;&gt;1,"brak danych",IF(COUNTIFS($A$10:$A$89,$C288,$G$10:$G$89,"&lt;&gt;")=0,"brak danych",VLOOKUP($C288,$A$10:$J$89,7,FALSE)*$F288)))))</x:f>
      </x:c>
      <x:c r="N288" s="25" t="str">
        <x:f>IF($A288="","",IF($F288="","",IF($F288=0,0,IF(COUNTIFS($A$10:$A$89,$C288)&lt;&gt;1,"brak danych",IF(COUNTIFS($A$10:$A$89,$C288,$H$10:$H$89,"&lt;&gt;")=0,"brak danych",VLOOKUP($C288,$A$10:$J$89,8,FALSE)*$F288)))))</x:f>
      </x:c>
      <x:c r="O288" s="25" t="str">
        <x:f>IF($A288="","",IF($F288="","",IF($F288=0,0,IF(COUNTIFS($A$10:$A$89,$C288)&lt;&gt;1,"brak danych",IF(COUNTIFS($A$10:$A$89,$C288,$I$10:$I$89,"&lt;&gt;")=0,"brak danych",VLOOKUP($C288,$A$10:$J$89,9,FALSE)*$F288)))))</x:f>
      </x:c>
      <x:c r="P288" s="25" t="str">
        <x:f>IF($A288="","",IF($F288="","",IF($F288=0,0,IF(COUNTIFS($A$10:$A$89,$C288)&lt;&gt;1,"brak danych",IF(COUNTIFS($A$10:$A$89,$C288,$J$10:$J$89,"&lt;&gt;")=0,"brak danych",VLOOKUP($C288,$A$10:$J$89,10,FALSE)*$F288)))))</x:f>
      </x:c>
      <x:c r="Q288" s="18"/>
    </x:row>
    <x:row r="289" ht="25" customHeight="1">
      <x:c r="A289" s="6"/>
      <x:c r="B289" s="30"/>
      <x:c r="C289" s="5"/>
      <x:c r="D289" s="5"/>
      <x:c r="E289" s="32"/>
      <x:c r="F289" s="32"/>
      <x:c r="G289" s="24" t="str">
        <x:f>IF($A289="","",IF(AND($C289="",$E289=""),"",IF($E289="","brak danych",IF($E289=0,0,IF(COUNTIFS($A$10:$A$89,$C289)&lt;&gt;1,"brak danych",IF(COUNTIFS($A$10:$A$89,$C289,$F$10:$F$89,"&lt;&gt;")=0,"brak danych",VLOOKUP($C289,$A$10:$J$89,6,FALSE)*$E289))))))</x:f>
      </x:c>
      <x:c r="H289" s="25" t="str">
        <x:f>IF($A289="","",IF(AND($C289="",$E289=""),"",IF($E289="","brak danych",IF($E289=0,0,IF(COUNTIFS($A$10:$A$89,$C289)&lt;&gt;1,"brak danych",IF(COUNTIFS($A$10:$A$89,$C289,$G$10:$G$89,"&lt;&gt;")=0,"brak danych",VLOOKUP($C289,$A$10:$J$89,7,FALSE)*$E289))))))</x:f>
      </x:c>
      <x:c r="I289" s="25" t="str">
        <x:f>IF($A289="","",IF(AND($C289="",$E289=""),"",IF($E289="","brak danych",IF($E289=0,0,IF(COUNTIFS($A$10:$A$89,$C289)&lt;&gt;1,"brak danych",IF(COUNTIFS($A$10:$A$89,$C289,$H$10:$H$89,"&lt;&gt;")=0,"brak danych",VLOOKUP($C289,$A$10:$J$89,8,FALSE)*$E289))))))</x:f>
      </x:c>
      <x:c r="J289" s="25" t="str">
        <x:f>IF($A289="","",IF(AND($C289="",$E289=""),"",IF($E289="","brak danych",IF($E289=0,0,IF(COUNTIFS($A$10:$A$89,$C289)&lt;&gt;1,"brak danych",IF(COUNTIFS($A$10:$A$89,$C289,$I$10:$I$89,"&lt;&gt;")=0,"brak danych",VLOOKUP($C289,$A$10:$J$89,9,FALSE)*$E289))))))</x:f>
      </x:c>
      <x:c r="K289" s="25" t="str">
        <x:f>IF($A289="","",IF(AND($C289="",$E289=""),"",IF($E289="","brak danych",IF($E289=0,0,IF(COUNTIFS($A$10:$A$89,$C289)&lt;&gt;1,"brak danych",IF(COUNTIFS($A$10:$A$89,$C289,$J$10:$J$89,"&lt;&gt;")=0,"brak danych",VLOOKUP($C289,$A$10:$J$89,10,FALSE)*$E289))))))</x:f>
      </x:c>
      <x:c r="L289" s="24" t="str">
        <x:f>IF($A289="","",IF($F289="","",IF($F289=0,0,IF(COUNTIFS($A$10:$A$89,$C289)&lt;&gt;1,"brak danych",IF(COUNTIFS($A$10:$A$89,$C289,$F$10:$F$89,"&lt;&gt;")=0,"brak danych",VLOOKUP($C289,$A$10:$J$89,6,FALSE)*$F289)))))</x:f>
      </x:c>
      <x:c r="M289" s="25" t="str">
        <x:f>IF($A289="","",IF($F289="","",IF($F289=0,0,IF(COUNTIFS($A$10:$A$89,$C289)&lt;&gt;1,"brak danych",IF(COUNTIFS($A$10:$A$89,$C289,$G$10:$G$89,"&lt;&gt;")=0,"brak danych",VLOOKUP($C289,$A$10:$J$89,7,FALSE)*$F289)))))</x:f>
      </x:c>
      <x:c r="N289" s="25" t="str">
        <x:f>IF($A289="","",IF($F289="","",IF($F289=0,0,IF(COUNTIFS($A$10:$A$89,$C289)&lt;&gt;1,"brak danych",IF(COUNTIFS($A$10:$A$89,$C289,$H$10:$H$89,"&lt;&gt;")=0,"brak danych",VLOOKUP($C289,$A$10:$J$89,8,FALSE)*$F289)))))</x:f>
      </x:c>
      <x:c r="O289" s="25" t="str">
        <x:f>IF($A289="","",IF($F289="","",IF($F289=0,0,IF(COUNTIFS($A$10:$A$89,$C289)&lt;&gt;1,"brak danych",IF(COUNTIFS($A$10:$A$89,$C289,$I$10:$I$89,"&lt;&gt;")=0,"brak danych",VLOOKUP($C289,$A$10:$J$89,9,FALSE)*$F289)))))</x:f>
      </x:c>
      <x:c r="P289" s="25" t="str">
        <x:f>IF($A289="","",IF($F289="","",IF($F289=0,0,IF(COUNTIFS($A$10:$A$89,$C289)&lt;&gt;1,"brak danych",IF(COUNTIFS($A$10:$A$89,$C289,$J$10:$J$89,"&lt;&gt;")=0,"brak danych",VLOOKUP($C289,$A$10:$J$89,10,FALSE)*$F289)))))</x:f>
      </x:c>
      <x:c r="Q289" s="18"/>
    </x:row>
    <x:row r="290" ht="25" customHeight="1">
      <x:c r="A290" s="6"/>
      <x:c r="B290" s="30"/>
      <x:c r="C290" s="5"/>
      <x:c r="D290" s="5"/>
      <x:c r="E290" s="32"/>
      <x:c r="F290" s="32"/>
      <x:c r="G290" s="24" t="str">
        <x:f>IF($A290="","",IF(AND($C290="",$E290=""),"",IF($E290="","brak danych",IF($E290=0,0,IF(COUNTIFS($A$10:$A$89,$C290)&lt;&gt;1,"brak danych",IF(COUNTIFS($A$10:$A$89,$C290,$F$10:$F$89,"&lt;&gt;")=0,"brak danych",VLOOKUP($C290,$A$10:$J$89,6,FALSE)*$E290))))))</x:f>
      </x:c>
      <x:c r="H290" s="25" t="str">
        <x:f>IF($A290="","",IF(AND($C290="",$E290=""),"",IF($E290="","brak danych",IF($E290=0,0,IF(COUNTIFS($A$10:$A$89,$C290)&lt;&gt;1,"brak danych",IF(COUNTIFS($A$10:$A$89,$C290,$G$10:$G$89,"&lt;&gt;")=0,"brak danych",VLOOKUP($C290,$A$10:$J$89,7,FALSE)*$E290))))))</x:f>
      </x:c>
      <x:c r="I290" s="25" t="str">
        <x:f>IF($A290="","",IF(AND($C290="",$E290=""),"",IF($E290="","brak danych",IF($E290=0,0,IF(COUNTIFS($A$10:$A$89,$C290)&lt;&gt;1,"brak danych",IF(COUNTIFS($A$10:$A$89,$C290,$H$10:$H$89,"&lt;&gt;")=0,"brak danych",VLOOKUP($C290,$A$10:$J$89,8,FALSE)*$E290))))))</x:f>
      </x:c>
      <x:c r="J290" s="25" t="str">
        <x:f>IF($A290="","",IF(AND($C290="",$E290=""),"",IF($E290="","brak danych",IF($E290=0,0,IF(COUNTIFS($A$10:$A$89,$C290)&lt;&gt;1,"brak danych",IF(COUNTIFS($A$10:$A$89,$C290,$I$10:$I$89,"&lt;&gt;")=0,"brak danych",VLOOKUP($C290,$A$10:$J$89,9,FALSE)*$E290))))))</x:f>
      </x:c>
      <x:c r="K290" s="25" t="str">
        <x:f>IF($A290="","",IF(AND($C290="",$E290=""),"",IF($E290="","brak danych",IF($E290=0,0,IF(COUNTIFS($A$10:$A$89,$C290)&lt;&gt;1,"brak danych",IF(COUNTIFS($A$10:$A$89,$C290,$J$10:$J$89,"&lt;&gt;")=0,"brak danych",VLOOKUP($C290,$A$10:$J$89,10,FALSE)*$E290))))))</x:f>
      </x:c>
      <x:c r="L290" s="24" t="str">
        <x:f>IF($A290="","",IF($F290="","",IF($F290=0,0,IF(COUNTIFS($A$10:$A$89,$C290)&lt;&gt;1,"brak danych",IF(COUNTIFS($A$10:$A$89,$C290,$F$10:$F$89,"&lt;&gt;")=0,"brak danych",VLOOKUP($C290,$A$10:$J$89,6,FALSE)*$F290)))))</x:f>
      </x:c>
      <x:c r="M290" s="25" t="str">
        <x:f>IF($A290="","",IF($F290="","",IF($F290=0,0,IF(COUNTIFS($A$10:$A$89,$C290)&lt;&gt;1,"brak danych",IF(COUNTIFS($A$10:$A$89,$C290,$G$10:$G$89,"&lt;&gt;")=0,"brak danych",VLOOKUP($C290,$A$10:$J$89,7,FALSE)*$F290)))))</x:f>
      </x:c>
      <x:c r="N290" s="25" t="str">
        <x:f>IF($A290="","",IF($F290="","",IF($F290=0,0,IF(COUNTIFS($A$10:$A$89,$C290)&lt;&gt;1,"brak danych",IF(COUNTIFS($A$10:$A$89,$C290,$H$10:$H$89,"&lt;&gt;")=0,"brak danych",VLOOKUP($C290,$A$10:$J$89,8,FALSE)*$F290)))))</x:f>
      </x:c>
      <x:c r="O290" s="25" t="str">
        <x:f>IF($A290="","",IF($F290="","",IF($F290=0,0,IF(COUNTIFS($A$10:$A$89,$C290)&lt;&gt;1,"brak danych",IF(COUNTIFS($A$10:$A$89,$C290,$I$10:$I$89,"&lt;&gt;")=0,"brak danych",VLOOKUP($C290,$A$10:$J$89,9,FALSE)*$F290)))))</x:f>
      </x:c>
      <x:c r="P290" s="25" t="str">
        <x:f>IF($A290="","",IF($F290="","",IF($F290=0,0,IF(COUNTIFS($A$10:$A$89,$C290)&lt;&gt;1,"brak danych",IF(COUNTIFS($A$10:$A$89,$C290,$J$10:$J$89,"&lt;&gt;")=0,"brak danych",VLOOKUP($C290,$A$10:$J$89,10,FALSE)*$F290)))))</x:f>
      </x:c>
      <x:c r="Q290" s="18"/>
    </x:row>
    <x:row r="291" ht="25" customHeight="1">
      <x:c r="A291" s="6"/>
      <x:c r="B291" s="30"/>
      <x:c r="C291" s="5"/>
      <x:c r="D291" s="5"/>
      <x:c r="E291" s="32"/>
      <x:c r="F291" s="32"/>
      <x:c r="G291" s="24" t="str">
        <x:f>IF($A291="","",IF(AND($C291="",$E291=""),"",IF($E291="","brak danych",IF($E291=0,0,IF(COUNTIFS($A$10:$A$89,$C291)&lt;&gt;1,"brak danych",IF(COUNTIFS($A$10:$A$89,$C291,$F$10:$F$89,"&lt;&gt;")=0,"brak danych",VLOOKUP($C291,$A$10:$J$89,6,FALSE)*$E291))))))</x:f>
      </x:c>
      <x:c r="H291" s="25" t="str">
        <x:f>IF($A291="","",IF(AND($C291="",$E291=""),"",IF($E291="","brak danych",IF($E291=0,0,IF(COUNTIFS($A$10:$A$89,$C291)&lt;&gt;1,"brak danych",IF(COUNTIFS($A$10:$A$89,$C291,$G$10:$G$89,"&lt;&gt;")=0,"brak danych",VLOOKUP($C291,$A$10:$J$89,7,FALSE)*$E291))))))</x:f>
      </x:c>
      <x:c r="I291" s="25" t="str">
        <x:f>IF($A291="","",IF(AND($C291="",$E291=""),"",IF($E291="","brak danych",IF($E291=0,0,IF(COUNTIFS($A$10:$A$89,$C291)&lt;&gt;1,"brak danych",IF(COUNTIFS($A$10:$A$89,$C291,$H$10:$H$89,"&lt;&gt;")=0,"brak danych",VLOOKUP($C291,$A$10:$J$89,8,FALSE)*$E291))))))</x:f>
      </x:c>
      <x:c r="J291" s="25" t="str">
        <x:f>IF($A291="","",IF(AND($C291="",$E291=""),"",IF($E291="","brak danych",IF($E291=0,0,IF(COUNTIFS($A$10:$A$89,$C291)&lt;&gt;1,"brak danych",IF(COUNTIFS($A$10:$A$89,$C291,$I$10:$I$89,"&lt;&gt;")=0,"brak danych",VLOOKUP($C291,$A$10:$J$89,9,FALSE)*$E291))))))</x:f>
      </x:c>
      <x:c r="K291" s="25" t="str">
        <x:f>IF($A291="","",IF(AND($C291="",$E291=""),"",IF($E291="","brak danych",IF($E291=0,0,IF(COUNTIFS($A$10:$A$89,$C291)&lt;&gt;1,"brak danych",IF(COUNTIFS($A$10:$A$89,$C291,$J$10:$J$89,"&lt;&gt;")=0,"brak danych",VLOOKUP($C291,$A$10:$J$89,10,FALSE)*$E291))))))</x:f>
      </x:c>
      <x:c r="L291" s="24" t="str">
        <x:f>IF($A291="","",IF($F291="","",IF($F291=0,0,IF(COUNTIFS($A$10:$A$89,$C291)&lt;&gt;1,"brak danych",IF(COUNTIFS($A$10:$A$89,$C291,$F$10:$F$89,"&lt;&gt;")=0,"brak danych",VLOOKUP($C291,$A$10:$J$89,6,FALSE)*$F291)))))</x:f>
      </x:c>
      <x:c r="M291" s="25" t="str">
        <x:f>IF($A291="","",IF($F291="","",IF($F291=0,0,IF(COUNTIFS($A$10:$A$89,$C291)&lt;&gt;1,"brak danych",IF(COUNTIFS($A$10:$A$89,$C291,$G$10:$G$89,"&lt;&gt;")=0,"brak danych",VLOOKUP($C291,$A$10:$J$89,7,FALSE)*$F291)))))</x:f>
      </x:c>
      <x:c r="N291" s="25" t="str">
        <x:f>IF($A291="","",IF($F291="","",IF($F291=0,0,IF(COUNTIFS($A$10:$A$89,$C291)&lt;&gt;1,"brak danych",IF(COUNTIFS($A$10:$A$89,$C291,$H$10:$H$89,"&lt;&gt;")=0,"brak danych",VLOOKUP($C291,$A$10:$J$89,8,FALSE)*$F291)))))</x:f>
      </x:c>
      <x:c r="O291" s="25" t="str">
        <x:f>IF($A291="","",IF($F291="","",IF($F291=0,0,IF(COUNTIFS($A$10:$A$89,$C291)&lt;&gt;1,"brak danych",IF(COUNTIFS($A$10:$A$89,$C291,$I$10:$I$89,"&lt;&gt;")=0,"brak danych",VLOOKUP($C291,$A$10:$J$89,9,FALSE)*$F291)))))</x:f>
      </x:c>
      <x:c r="P291" s="25" t="str">
        <x:f>IF($A291="","",IF($F291="","",IF($F291=0,0,IF(COUNTIFS($A$10:$A$89,$C291)&lt;&gt;1,"brak danych",IF(COUNTIFS($A$10:$A$89,$C291,$J$10:$J$89,"&lt;&gt;")=0,"brak danych",VLOOKUP($C291,$A$10:$J$89,10,FALSE)*$F291)))))</x:f>
      </x:c>
      <x:c r="Q291" s="18"/>
    </x:row>
    <x:row r="292" ht="25" customHeight="1">
      <x:c r="A292" s="6"/>
      <x:c r="B292" s="30"/>
      <x:c r="C292" s="5"/>
      <x:c r="D292" s="5"/>
      <x:c r="E292" s="32"/>
      <x:c r="F292" s="32"/>
      <x:c r="G292" s="24" t="str">
        <x:f>IF($A292="","",IF(AND($C292="",$E292=""),"",IF($E292="","brak danych",IF($E292=0,0,IF(COUNTIFS($A$10:$A$89,$C292)&lt;&gt;1,"brak danych",IF(COUNTIFS($A$10:$A$89,$C292,$F$10:$F$89,"&lt;&gt;")=0,"brak danych",VLOOKUP($C292,$A$10:$J$89,6,FALSE)*$E292))))))</x:f>
      </x:c>
      <x:c r="H292" s="25" t="str">
        <x:f>IF($A292="","",IF(AND($C292="",$E292=""),"",IF($E292="","brak danych",IF($E292=0,0,IF(COUNTIFS($A$10:$A$89,$C292)&lt;&gt;1,"brak danych",IF(COUNTIFS($A$10:$A$89,$C292,$G$10:$G$89,"&lt;&gt;")=0,"brak danych",VLOOKUP($C292,$A$10:$J$89,7,FALSE)*$E292))))))</x:f>
      </x:c>
      <x:c r="I292" s="25" t="str">
        <x:f>IF($A292="","",IF(AND($C292="",$E292=""),"",IF($E292="","brak danych",IF($E292=0,0,IF(COUNTIFS($A$10:$A$89,$C292)&lt;&gt;1,"brak danych",IF(COUNTIFS($A$10:$A$89,$C292,$H$10:$H$89,"&lt;&gt;")=0,"brak danych",VLOOKUP($C292,$A$10:$J$89,8,FALSE)*$E292))))))</x:f>
      </x:c>
      <x:c r="J292" s="25" t="str">
        <x:f>IF($A292="","",IF(AND($C292="",$E292=""),"",IF($E292="","brak danych",IF($E292=0,0,IF(COUNTIFS($A$10:$A$89,$C292)&lt;&gt;1,"brak danych",IF(COUNTIFS($A$10:$A$89,$C292,$I$10:$I$89,"&lt;&gt;")=0,"brak danych",VLOOKUP($C292,$A$10:$J$89,9,FALSE)*$E292))))))</x:f>
      </x:c>
      <x:c r="K292" s="25" t="str">
        <x:f>IF($A292="","",IF(AND($C292="",$E292=""),"",IF($E292="","brak danych",IF($E292=0,0,IF(COUNTIFS($A$10:$A$89,$C292)&lt;&gt;1,"brak danych",IF(COUNTIFS($A$10:$A$89,$C292,$J$10:$J$89,"&lt;&gt;")=0,"brak danych",VLOOKUP($C292,$A$10:$J$89,10,FALSE)*$E292))))))</x:f>
      </x:c>
      <x:c r="L292" s="24" t="str">
        <x:f>IF($A292="","",IF($F292="","",IF($F292=0,0,IF(COUNTIFS($A$10:$A$89,$C292)&lt;&gt;1,"brak danych",IF(COUNTIFS($A$10:$A$89,$C292,$F$10:$F$89,"&lt;&gt;")=0,"brak danych",VLOOKUP($C292,$A$10:$J$89,6,FALSE)*$F292)))))</x:f>
      </x:c>
      <x:c r="M292" s="25" t="str">
        <x:f>IF($A292="","",IF($F292="","",IF($F292=0,0,IF(COUNTIFS($A$10:$A$89,$C292)&lt;&gt;1,"brak danych",IF(COUNTIFS($A$10:$A$89,$C292,$G$10:$G$89,"&lt;&gt;")=0,"brak danych",VLOOKUP($C292,$A$10:$J$89,7,FALSE)*$F292)))))</x:f>
      </x:c>
      <x:c r="N292" s="25" t="str">
        <x:f>IF($A292="","",IF($F292="","",IF($F292=0,0,IF(COUNTIFS($A$10:$A$89,$C292)&lt;&gt;1,"brak danych",IF(COUNTIFS($A$10:$A$89,$C292,$H$10:$H$89,"&lt;&gt;")=0,"brak danych",VLOOKUP($C292,$A$10:$J$89,8,FALSE)*$F292)))))</x:f>
      </x:c>
      <x:c r="O292" s="25" t="str">
        <x:f>IF($A292="","",IF($F292="","",IF($F292=0,0,IF(COUNTIFS($A$10:$A$89,$C292)&lt;&gt;1,"brak danych",IF(COUNTIFS($A$10:$A$89,$C292,$I$10:$I$89,"&lt;&gt;")=0,"brak danych",VLOOKUP($C292,$A$10:$J$89,9,FALSE)*$F292)))))</x:f>
      </x:c>
      <x:c r="P292" s="25" t="str">
        <x:f>IF($A292="","",IF($F292="","",IF($F292=0,0,IF(COUNTIFS($A$10:$A$89,$C292)&lt;&gt;1,"brak danych",IF(COUNTIFS($A$10:$A$89,$C292,$J$10:$J$89,"&lt;&gt;")=0,"brak danych",VLOOKUP($C292,$A$10:$J$89,10,FALSE)*$F292)))))</x:f>
      </x:c>
      <x:c r="Q292" s="18"/>
    </x:row>
    <x:row r="293" ht="25" customHeight="1">
      <x:c r="A293" s="6"/>
      <x:c r="B293" s="30"/>
      <x:c r="C293" s="5"/>
      <x:c r="D293" s="5"/>
      <x:c r="E293" s="32"/>
      <x:c r="F293" s="32"/>
      <x:c r="G293" s="24" t="str">
        <x:f>IF($A293="","",IF(AND($C293="",$E293=""),"",IF($E293="","brak danych",IF($E293=0,0,IF(COUNTIFS($A$10:$A$89,$C293)&lt;&gt;1,"brak danych",IF(COUNTIFS($A$10:$A$89,$C293,$F$10:$F$89,"&lt;&gt;")=0,"brak danych",VLOOKUP($C293,$A$10:$J$89,6,FALSE)*$E293))))))</x:f>
      </x:c>
      <x:c r="H293" s="25" t="str">
        <x:f>IF($A293="","",IF(AND($C293="",$E293=""),"",IF($E293="","brak danych",IF($E293=0,0,IF(COUNTIFS($A$10:$A$89,$C293)&lt;&gt;1,"brak danych",IF(COUNTIFS($A$10:$A$89,$C293,$G$10:$G$89,"&lt;&gt;")=0,"brak danych",VLOOKUP($C293,$A$10:$J$89,7,FALSE)*$E293))))))</x:f>
      </x:c>
      <x:c r="I293" s="25" t="str">
        <x:f>IF($A293="","",IF(AND($C293="",$E293=""),"",IF($E293="","brak danych",IF($E293=0,0,IF(COUNTIFS($A$10:$A$89,$C293)&lt;&gt;1,"brak danych",IF(COUNTIFS($A$10:$A$89,$C293,$H$10:$H$89,"&lt;&gt;")=0,"brak danych",VLOOKUP($C293,$A$10:$J$89,8,FALSE)*$E293))))))</x:f>
      </x:c>
      <x:c r="J293" s="25" t="str">
        <x:f>IF($A293="","",IF(AND($C293="",$E293=""),"",IF($E293="","brak danych",IF($E293=0,0,IF(COUNTIFS($A$10:$A$89,$C293)&lt;&gt;1,"brak danych",IF(COUNTIFS($A$10:$A$89,$C293,$I$10:$I$89,"&lt;&gt;")=0,"brak danych",VLOOKUP($C293,$A$10:$J$89,9,FALSE)*$E293))))))</x:f>
      </x:c>
      <x:c r="K293" s="25" t="str">
        <x:f>IF($A293="","",IF(AND($C293="",$E293=""),"",IF($E293="","brak danych",IF($E293=0,0,IF(COUNTIFS($A$10:$A$89,$C293)&lt;&gt;1,"brak danych",IF(COUNTIFS($A$10:$A$89,$C293,$J$10:$J$89,"&lt;&gt;")=0,"brak danych",VLOOKUP($C293,$A$10:$J$89,10,FALSE)*$E293))))))</x:f>
      </x:c>
      <x:c r="L293" s="24" t="str">
        <x:f>IF($A293="","",IF($F293="","",IF($F293=0,0,IF(COUNTIFS($A$10:$A$89,$C293)&lt;&gt;1,"brak danych",IF(COUNTIFS($A$10:$A$89,$C293,$F$10:$F$89,"&lt;&gt;")=0,"brak danych",VLOOKUP($C293,$A$10:$J$89,6,FALSE)*$F293)))))</x:f>
      </x:c>
      <x:c r="M293" s="25" t="str">
        <x:f>IF($A293="","",IF($F293="","",IF($F293=0,0,IF(COUNTIFS($A$10:$A$89,$C293)&lt;&gt;1,"brak danych",IF(COUNTIFS($A$10:$A$89,$C293,$G$10:$G$89,"&lt;&gt;")=0,"brak danych",VLOOKUP($C293,$A$10:$J$89,7,FALSE)*$F293)))))</x:f>
      </x:c>
      <x:c r="N293" s="25" t="str">
        <x:f>IF($A293="","",IF($F293="","",IF($F293=0,0,IF(COUNTIFS($A$10:$A$89,$C293)&lt;&gt;1,"brak danych",IF(COUNTIFS($A$10:$A$89,$C293,$H$10:$H$89,"&lt;&gt;")=0,"brak danych",VLOOKUP($C293,$A$10:$J$89,8,FALSE)*$F293)))))</x:f>
      </x:c>
      <x:c r="O293" s="25" t="str">
        <x:f>IF($A293="","",IF($F293="","",IF($F293=0,0,IF(COUNTIFS($A$10:$A$89,$C293)&lt;&gt;1,"brak danych",IF(COUNTIFS($A$10:$A$89,$C293,$I$10:$I$89,"&lt;&gt;")=0,"brak danych",VLOOKUP($C293,$A$10:$J$89,9,FALSE)*$F293)))))</x:f>
      </x:c>
      <x:c r="P293" s="25" t="str">
        <x:f>IF($A293="","",IF($F293="","",IF($F293=0,0,IF(COUNTIFS($A$10:$A$89,$C293)&lt;&gt;1,"brak danych",IF(COUNTIFS($A$10:$A$89,$C293,$J$10:$J$89,"&lt;&gt;")=0,"brak danych",VLOOKUP($C293,$A$10:$J$89,10,FALSE)*$F293)))))</x:f>
      </x:c>
      <x:c r="Q293" s="18"/>
    </x:row>
    <x:row r="294" ht="25" customHeight="1">
      <x:c r="A294" s="6"/>
      <x:c r="B294" s="30"/>
      <x:c r="C294" s="5"/>
      <x:c r="D294" s="5"/>
      <x:c r="E294" s="32"/>
      <x:c r="F294" s="32"/>
      <x:c r="G294" s="24" t="str">
        <x:f>IF($A294="","",IF(AND($C294="",$E294=""),"",IF($E294="","brak danych",IF($E294=0,0,IF(COUNTIFS($A$10:$A$89,$C294)&lt;&gt;1,"brak danych",IF(COUNTIFS($A$10:$A$89,$C294,$F$10:$F$89,"&lt;&gt;")=0,"brak danych",VLOOKUP($C294,$A$10:$J$89,6,FALSE)*$E294))))))</x:f>
      </x:c>
      <x:c r="H294" s="25" t="str">
        <x:f>IF($A294="","",IF(AND($C294="",$E294=""),"",IF($E294="","brak danych",IF($E294=0,0,IF(COUNTIFS($A$10:$A$89,$C294)&lt;&gt;1,"brak danych",IF(COUNTIFS($A$10:$A$89,$C294,$G$10:$G$89,"&lt;&gt;")=0,"brak danych",VLOOKUP($C294,$A$10:$J$89,7,FALSE)*$E294))))))</x:f>
      </x:c>
      <x:c r="I294" s="25" t="str">
        <x:f>IF($A294="","",IF(AND($C294="",$E294=""),"",IF($E294="","brak danych",IF($E294=0,0,IF(COUNTIFS($A$10:$A$89,$C294)&lt;&gt;1,"brak danych",IF(COUNTIFS($A$10:$A$89,$C294,$H$10:$H$89,"&lt;&gt;")=0,"brak danych",VLOOKUP($C294,$A$10:$J$89,8,FALSE)*$E294))))))</x:f>
      </x:c>
      <x:c r="J294" s="25" t="str">
        <x:f>IF($A294="","",IF(AND($C294="",$E294=""),"",IF($E294="","brak danych",IF($E294=0,0,IF(COUNTIFS($A$10:$A$89,$C294)&lt;&gt;1,"brak danych",IF(COUNTIFS($A$10:$A$89,$C294,$I$10:$I$89,"&lt;&gt;")=0,"brak danych",VLOOKUP($C294,$A$10:$J$89,9,FALSE)*$E294))))))</x:f>
      </x:c>
      <x:c r="K294" s="25" t="str">
        <x:f>IF($A294="","",IF(AND($C294="",$E294=""),"",IF($E294="","brak danych",IF($E294=0,0,IF(COUNTIFS($A$10:$A$89,$C294)&lt;&gt;1,"brak danych",IF(COUNTIFS($A$10:$A$89,$C294,$J$10:$J$89,"&lt;&gt;")=0,"brak danych",VLOOKUP($C294,$A$10:$J$89,10,FALSE)*$E294))))))</x:f>
      </x:c>
      <x:c r="L294" s="24" t="str">
        <x:f>IF($A294="","",IF($F294="","",IF($F294=0,0,IF(COUNTIFS($A$10:$A$89,$C294)&lt;&gt;1,"brak danych",IF(COUNTIFS($A$10:$A$89,$C294,$F$10:$F$89,"&lt;&gt;")=0,"brak danych",VLOOKUP($C294,$A$10:$J$89,6,FALSE)*$F294)))))</x:f>
      </x:c>
      <x:c r="M294" s="25" t="str">
        <x:f>IF($A294="","",IF($F294="","",IF($F294=0,0,IF(COUNTIFS($A$10:$A$89,$C294)&lt;&gt;1,"brak danych",IF(COUNTIFS($A$10:$A$89,$C294,$G$10:$G$89,"&lt;&gt;")=0,"brak danych",VLOOKUP($C294,$A$10:$J$89,7,FALSE)*$F294)))))</x:f>
      </x:c>
      <x:c r="N294" s="25" t="str">
        <x:f>IF($A294="","",IF($F294="","",IF($F294=0,0,IF(COUNTIFS($A$10:$A$89,$C294)&lt;&gt;1,"brak danych",IF(COUNTIFS($A$10:$A$89,$C294,$H$10:$H$89,"&lt;&gt;")=0,"brak danych",VLOOKUP($C294,$A$10:$J$89,8,FALSE)*$F294)))))</x:f>
      </x:c>
      <x:c r="O294" s="25" t="str">
        <x:f>IF($A294="","",IF($F294="","",IF($F294=0,0,IF(COUNTIFS($A$10:$A$89,$C294)&lt;&gt;1,"brak danych",IF(COUNTIFS($A$10:$A$89,$C294,$I$10:$I$89,"&lt;&gt;")=0,"brak danych",VLOOKUP($C294,$A$10:$J$89,9,FALSE)*$F294)))))</x:f>
      </x:c>
      <x:c r="P294" s="25" t="str">
        <x:f>IF($A294="","",IF($F294="","",IF($F294=0,0,IF(COUNTIFS($A$10:$A$89,$C294)&lt;&gt;1,"brak danych",IF(COUNTIFS($A$10:$A$89,$C294,$J$10:$J$89,"&lt;&gt;")=0,"brak danych",VLOOKUP($C294,$A$10:$J$89,10,FALSE)*$F294)))))</x:f>
      </x:c>
      <x:c r="Q294" s="18"/>
    </x:row>
    <x:row r="295" ht="25" customHeight="1">
      <x:c r="A295" s="6"/>
      <x:c r="B295" s="30"/>
      <x:c r="C295" s="5"/>
      <x:c r="D295" s="5"/>
      <x:c r="E295" s="32"/>
      <x:c r="F295" s="32"/>
      <x:c r="G295" s="24" t="str">
        <x:f>IF($A295="","",IF(AND($C295="",$E295=""),"",IF($E295="","brak danych",IF($E295=0,0,IF(COUNTIFS($A$10:$A$89,$C295)&lt;&gt;1,"brak danych",IF(COUNTIFS($A$10:$A$89,$C295,$F$10:$F$89,"&lt;&gt;")=0,"brak danych",VLOOKUP($C295,$A$10:$J$89,6,FALSE)*$E295))))))</x:f>
      </x:c>
      <x:c r="H295" s="25" t="str">
        <x:f>IF($A295="","",IF(AND($C295="",$E295=""),"",IF($E295="","brak danych",IF($E295=0,0,IF(COUNTIFS($A$10:$A$89,$C295)&lt;&gt;1,"brak danych",IF(COUNTIFS($A$10:$A$89,$C295,$G$10:$G$89,"&lt;&gt;")=0,"brak danych",VLOOKUP($C295,$A$10:$J$89,7,FALSE)*$E295))))))</x:f>
      </x:c>
      <x:c r="I295" s="25" t="str">
        <x:f>IF($A295="","",IF(AND($C295="",$E295=""),"",IF($E295="","brak danych",IF($E295=0,0,IF(COUNTIFS($A$10:$A$89,$C295)&lt;&gt;1,"brak danych",IF(COUNTIFS($A$10:$A$89,$C295,$H$10:$H$89,"&lt;&gt;")=0,"brak danych",VLOOKUP($C295,$A$10:$J$89,8,FALSE)*$E295))))))</x:f>
      </x:c>
      <x:c r="J295" s="25" t="str">
        <x:f>IF($A295="","",IF(AND($C295="",$E295=""),"",IF($E295="","brak danych",IF($E295=0,0,IF(COUNTIFS($A$10:$A$89,$C295)&lt;&gt;1,"brak danych",IF(COUNTIFS($A$10:$A$89,$C295,$I$10:$I$89,"&lt;&gt;")=0,"brak danych",VLOOKUP($C295,$A$10:$J$89,9,FALSE)*$E295))))))</x:f>
      </x:c>
      <x:c r="K295" s="25" t="str">
        <x:f>IF($A295="","",IF(AND($C295="",$E295=""),"",IF($E295="","brak danych",IF($E295=0,0,IF(COUNTIFS($A$10:$A$89,$C295)&lt;&gt;1,"brak danych",IF(COUNTIFS($A$10:$A$89,$C295,$J$10:$J$89,"&lt;&gt;")=0,"brak danych",VLOOKUP($C295,$A$10:$J$89,10,FALSE)*$E295))))))</x:f>
      </x:c>
      <x:c r="L295" s="24" t="str">
        <x:f>IF($A295="","",IF($F295="","",IF($F295=0,0,IF(COUNTIFS($A$10:$A$89,$C295)&lt;&gt;1,"brak danych",IF(COUNTIFS($A$10:$A$89,$C295,$F$10:$F$89,"&lt;&gt;")=0,"brak danych",VLOOKUP($C295,$A$10:$J$89,6,FALSE)*$F295)))))</x:f>
      </x:c>
      <x:c r="M295" s="25" t="str">
        <x:f>IF($A295="","",IF($F295="","",IF($F295=0,0,IF(COUNTIFS($A$10:$A$89,$C295)&lt;&gt;1,"brak danych",IF(COUNTIFS($A$10:$A$89,$C295,$G$10:$G$89,"&lt;&gt;")=0,"brak danych",VLOOKUP($C295,$A$10:$J$89,7,FALSE)*$F295)))))</x:f>
      </x:c>
      <x:c r="N295" s="25" t="str">
        <x:f>IF($A295="","",IF($F295="","",IF($F295=0,0,IF(COUNTIFS($A$10:$A$89,$C295)&lt;&gt;1,"brak danych",IF(COUNTIFS($A$10:$A$89,$C295,$H$10:$H$89,"&lt;&gt;")=0,"brak danych",VLOOKUP($C295,$A$10:$J$89,8,FALSE)*$F295)))))</x:f>
      </x:c>
      <x:c r="O295" s="25" t="str">
        <x:f>IF($A295="","",IF($F295="","",IF($F295=0,0,IF(COUNTIFS($A$10:$A$89,$C295)&lt;&gt;1,"brak danych",IF(COUNTIFS($A$10:$A$89,$C295,$I$10:$I$89,"&lt;&gt;")=0,"brak danych",VLOOKUP($C295,$A$10:$J$89,9,FALSE)*$F295)))))</x:f>
      </x:c>
      <x:c r="P295" s="25" t="str">
        <x:f>IF($A295="","",IF($F295="","",IF($F295=0,0,IF(COUNTIFS($A$10:$A$89,$C295)&lt;&gt;1,"brak danych",IF(COUNTIFS($A$10:$A$89,$C295,$J$10:$J$89,"&lt;&gt;")=0,"brak danych",VLOOKUP($C295,$A$10:$J$89,10,FALSE)*$F295)))))</x:f>
      </x:c>
      <x:c r="Q295" s="18"/>
    </x:row>
    <x:row r="296" ht="25" customHeight="1">
      <x:c r="A296" s="6"/>
      <x:c r="B296" s="30"/>
      <x:c r="C296" s="5"/>
      <x:c r="D296" s="5"/>
      <x:c r="E296" s="32"/>
      <x:c r="F296" s="32"/>
      <x:c r="G296" s="24" t="str">
        <x:f>IF($A296="","",IF(AND($C296="",$E296=""),"",IF($E296="","brak danych",IF($E296=0,0,IF(COUNTIFS($A$10:$A$89,$C296)&lt;&gt;1,"brak danych",IF(COUNTIFS($A$10:$A$89,$C296,$F$10:$F$89,"&lt;&gt;")=0,"brak danych",VLOOKUP($C296,$A$10:$J$89,6,FALSE)*$E296))))))</x:f>
      </x:c>
      <x:c r="H296" s="25" t="str">
        <x:f>IF($A296="","",IF(AND($C296="",$E296=""),"",IF($E296="","brak danych",IF($E296=0,0,IF(COUNTIFS($A$10:$A$89,$C296)&lt;&gt;1,"brak danych",IF(COUNTIFS($A$10:$A$89,$C296,$G$10:$G$89,"&lt;&gt;")=0,"brak danych",VLOOKUP($C296,$A$10:$J$89,7,FALSE)*$E296))))))</x:f>
      </x:c>
      <x:c r="I296" s="25" t="str">
        <x:f>IF($A296="","",IF(AND($C296="",$E296=""),"",IF($E296="","brak danych",IF($E296=0,0,IF(COUNTIFS($A$10:$A$89,$C296)&lt;&gt;1,"brak danych",IF(COUNTIFS($A$10:$A$89,$C296,$H$10:$H$89,"&lt;&gt;")=0,"brak danych",VLOOKUP($C296,$A$10:$J$89,8,FALSE)*$E296))))))</x:f>
      </x:c>
      <x:c r="J296" s="25" t="str">
        <x:f>IF($A296="","",IF(AND($C296="",$E296=""),"",IF($E296="","brak danych",IF($E296=0,0,IF(COUNTIFS($A$10:$A$89,$C296)&lt;&gt;1,"brak danych",IF(COUNTIFS($A$10:$A$89,$C296,$I$10:$I$89,"&lt;&gt;")=0,"brak danych",VLOOKUP($C296,$A$10:$J$89,9,FALSE)*$E296))))))</x:f>
      </x:c>
      <x:c r="K296" s="25" t="str">
        <x:f>IF($A296="","",IF(AND($C296="",$E296=""),"",IF($E296="","brak danych",IF($E296=0,0,IF(COUNTIFS($A$10:$A$89,$C296)&lt;&gt;1,"brak danych",IF(COUNTIFS($A$10:$A$89,$C296,$J$10:$J$89,"&lt;&gt;")=0,"brak danych",VLOOKUP($C296,$A$10:$J$89,10,FALSE)*$E296))))))</x:f>
      </x:c>
      <x:c r="L296" s="24" t="str">
        <x:f>IF($A296="","",IF($F296="","",IF($F296=0,0,IF(COUNTIFS($A$10:$A$89,$C296)&lt;&gt;1,"brak danych",IF(COUNTIFS($A$10:$A$89,$C296,$F$10:$F$89,"&lt;&gt;")=0,"brak danych",VLOOKUP($C296,$A$10:$J$89,6,FALSE)*$F296)))))</x:f>
      </x:c>
      <x:c r="M296" s="25" t="str">
        <x:f>IF($A296="","",IF($F296="","",IF($F296=0,0,IF(COUNTIFS($A$10:$A$89,$C296)&lt;&gt;1,"brak danych",IF(COUNTIFS($A$10:$A$89,$C296,$G$10:$G$89,"&lt;&gt;")=0,"brak danych",VLOOKUP($C296,$A$10:$J$89,7,FALSE)*$F296)))))</x:f>
      </x:c>
      <x:c r="N296" s="25" t="str">
        <x:f>IF($A296="","",IF($F296="","",IF($F296=0,0,IF(COUNTIFS($A$10:$A$89,$C296)&lt;&gt;1,"brak danych",IF(COUNTIFS($A$10:$A$89,$C296,$H$10:$H$89,"&lt;&gt;")=0,"brak danych",VLOOKUP($C296,$A$10:$J$89,8,FALSE)*$F296)))))</x:f>
      </x:c>
      <x:c r="O296" s="25" t="str">
        <x:f>IF($A296="","",IF($F296="","",IF($F296=0,0,IF(COUNTIFS($A$10:$A$89,$C296)&lt;&gt;1,"brak danych",IF(COUNTIFS($A$10:$A$89,$C296,$I$10:$I$89,"&lt;&gt;")=0,"brak danych",VLOOKUP($C296,$A$10:$J$89,9,FALSE)*$F296)))))</x:f>
      </x:c>
      <x:c r="P296" s="25" t="str">
        <x:f>IF($A296="","",IF($F296="","",IF($F296=0,0,IF(COUNTIFS($A$10:$A$89,$C296)&lt;&gt;1,"brak danych",IF(COUNTIFS($A$10:$A$89,$C296,$J$10:$J$89,"&lt;&gt;")=0,"brak danych",VLOOKUP($C296,$A$10:$J$89,10,FALSE)*$F296)))))</x:f>
      </x:c>
      <x:c r="Q296" s="18"/>
    </x:row>
    <x:row r="297" ht="25" customHeight="1">
      <x:c r="A297" s="6"/>
      <x:c r="B297" s="30"/>
      <x:c r="C297" s="5"/>
      <x:c r="D297" s="5"/>
      <x:c r="E297" s="32"/>
      <x:c r="F297" s="32"/>
      <x:c r="G297" s="24" t="str">
        <x:f>IF($A297="","",IF(AND($C297="",$E297=""),"",IF($E297="","brak danych",IF($E297=0,0,IF(COUNTIFS($A$10:$A$89,$C297)&lt;&gt;1,"brak danych",IF(COUNTIFS($A$10:$A$89,$C297,$F$10:$F$89,"&lt;&gt;")=0,"brak danych",VLOOKUP($C297,$A$10:$J$89,6,FALSE)*$E297))))))</x:f>
      </x:c>
      <x:c r="H297" s="25" t="str">
        <x:f>IF($A297="","",IF(AND($C297="",$E297=""),"",IF($E297="","brak danych",IF($E297=0,0,IF(COUNTIFS($A$10:$A$89,$C297)&lt;&gt;1,"brak danych",IF(COUNTIFS($A$10:$A$89,$C297,$G$10:$G$89,"&lt;&gt;")=0,"brak danych",VLOOKUP($C297,$A$10:$J$89,7,FALSE)*$E297))))))</x:f>
      </x:c>
      <x:c r="I297" s="25" t="str">
        <x:f>IF($A297="","",IF(AND($C297="",$E297=""),"",IF($E297="","brak danych",IF($E297=0,0,IF(COUNTIFS($A$10:$A$89,$C297)&lt;&gt;1,"brak danych",IF(COUNTIFS($A$10:$A$89,$C297,$H$10:$H$89,"&lt;&gt;")=0,"brak danych",VLOOKUP($C297,$A$10:$J$89,8,FALSE)*$E297))))))</x:f>
      </x:c>
      <x:c r="J297" s="25" t="str">
        <x:f>IF($A297="","",IF(AND($C297="",$E297=""),"",IF($E297="","brak danych",IF($E297=0,0,IF(COUNTIFS($A$10:$A$89,$C297)&lt;&gt;1,"brak danych",IF(COUNTIFS($A$10:$A$89,$C297,$I$10:$I$89,"&lt;&gt;")=0,"brak danych",VLOOKUP($C297,$A$10:$J$89,9,FALSE)*$E297))))))</x:f>
      </x:c>
      <x:c r="K297" s="25" t="str">
        <x:f>IF($A297="","",IF(AND($C297="",$E297=""),"",IF($E297="","brak danych",IF($E297=0,0,IF(COUNTIFS($A$10:$A$89,$C297)&lt;&gt;1,"brak danych",IF(COUNTIFS($A$10:$A$89,$C297,$J$10:$J$89,"&lt;&gt;")=0,"brak danych",VLOOKUP($C297,$A$10:$J$89,10,FALSE)*$E297))))))</x:f>
      </x:c>
      <x:c r="L297" s="24" t="str">
        <x:f>IF($A297="","",IF($F297="","",IF($F297=0,0,IF(COUNTIFS($A$10:$A$89,$C297)&lt;&gt;1,"brak danych",IF(COUNTIFS($A$10:$A$89,$C297,$F$10:$F$89,"&lt;&gt;")=0,"brak danych",VLOOKUP($C297,$A$10:$J$89,6,FALSE)*$F297)))))</x:f>
      </x:c>
      <x:c r="M297" s="25" t="str">
        <x:f>IF($A297="","",IF($F297="","",IF($F297=0,0,IF(COUNTIFS($A$10:$A$89,$C297)&lt;&gt;1,"brak danych",IF(COUNTIFS($A$10:$A$89,$C297,$G$10:$G$89,"&lt;&gt;")=0,"brak danych",VLOOKUP($C297,$A$10:$J$89,7,FALSE)*$F297)))))</x:f>
      </x:c>
      <x:c r="N297" s="25" t="str">
        <x:f>IF($A297="","",IF($F297="","",IF($F297=0,0,IF(COUNTIFS($A$10:$A$89,$C297)&lt;&gt;1,"brak danych",IF(COUNTIFS($A$10:$A$89,$C297,$H$10:$H$89,"&lt;&gt;")=0,"brak danych",VLOOKUP($C297,$A$10:$J$89,8,FALSE)*$F297)))))</x:f>
      </x:c>
      <x:c r="O297" s="25" t="str">
        <x:f>IF($A297="","",IF($F297="","",IF($F297=0,0,IF(COUNTIFS($A$10:$A$89,$C297)&lt;&gt;1,"brak danych",IF(COUNTIFS($A$10:$A$89,$C297,$I$10:$I$89,"&lt;&gt;")=0,"brak danych",VLOOKUP($C297,$A$10:$J$89,9,FALSE)*$F297)))))</x:f>
      </x:c>
      <x:c r="P297" s="25" t="str">
        <x:f>IF($A297="","",IF($F297="","",IF($F297=0,0,IF(COUNTIFS($A$10:$A$89,$C297)&lt;&gt;1,"brak danych",IF(COUNTIFS($A$10:$A$89,$C297,$J$10:$J$89,"&lt;&gt;")=0,"brak danych",VLOOKUP($C297,$A$10:$J$89,10,FALSE)*$F297)))))</x:f>
      </x:c>
      <x:c r="Q297" s="18"/>
    </x:row>
    <x:row r="298" ht="25" customHeight="1">
      <x:c r="A298" s="6"/>
      <x:c r="B298" s="30"/>
      <x:c r="C298" s="5"/>
      <x:c r="D298" s="5"/>
      <x:c r="E298" s="32"/>
      <x:c r="F298" s="32"/>
      <x:c r="G298" s="24" t="str">
        <x:f>IF($A298="","",IF(AND($C298="",$E298=""),"",IF($E298="","brak danych",IF($E298=0,0,IF(COUNTIFS($A$10:$A$89,$C298)&lt;&gt;1,"brak danych",IF(COUNTIFS($A$10:$A$89,$C298,$F$10:$F$89,"&lt;&gt;")=0,"brak danych",VLOOKUP($C298,$A$10:$J$89,6,FALSE)*$E298))))))</x:f>
      </x:c>
      <x:c r="H298" s="25" t="str">
        <x:f>IF($A298="","",IF(AND($C298="",$E298=""),"",IF($E298="","brak danych",IF($E298=0,0,IF(COUNTIFS($A$10:$A$89,$C298)&lt;&gt;1,"brak danych",IF(COUNTIFS($A$10:$A$89,$C298,$G$10:$G$89,"&lt;&gt;")=0,"brak danych",VLOOKUP($C298,$A$10:$J$89,7,FALSE)*$E298))))))</x:f>
      </x:c>
      <x:c r="I298" s="25" t="str">
        <x:f>IF($A298="","",IF(AND($C298="",$E298=""),"",IF($E298="","brak danych",IF($E298=0,0,IF(COUNTIFS($A$10:$A$89,$C298)&lt;&gt;1,"brak danych",IF(COUNTIFS($A$10:$A$89,$C298,$H$10:$H$89,"&lt;&gt;")=0,"brak danych",VLOOKUP($C298,$A$10:$J$89,8,FALSE)*$E298))))))</x:f>
      </x:c>
      <x:c r="J298" s="25" t="str">
        <x:f>IF($A298="","",IF(AND($C298="",$E298=""),"",IF($E298="","brak danych",IF($E298=0,0,IF(COUNTIFS($A$10:$A$89,$C298)&lt;&gt;1,"brak danych",IF(COUNTIFS($A$10:$A$89,$C298,$I$10:$I$89,"&lt;&gt;")=0,"brak danych",VLOOKUP($C298,$A$10:$J$89,9,FALSE)*$E298))))))</x:f>
      </x:c>
      <x:c r="K298" s="25" t="str">
        <x:f>IF($A298="","",IF(AND($C298="",$E298=""),"",IF($E298="","brak danych",IF($E298=0,0,IF(COUNTIFS($A$10:$A$89,$C298)&lt;&gt;1,"brak danych",IF(COUNTIFS($A$10:$A$89,$C298,$J$10:$J$89,"&lt;&gt;")=0,"brak danych",VLOOKUP($C298,$A$10:$J$89,10,FALSE)*$E298))))))</x:f>
      </x:c>
      <x:c r="L298" s="24" t="str">
        <x:f>IF($A298="","",IF($F298="","",IF($F298=0,0,IF(COUNTIFS($A$10:$A$89,$C298)&lt;&gt;1,"brak danych",IF(COUNTIFS($A$10:$A$89,$C298,$F$10:$F$89,"&lt;&gt;")=0,"brak danych",VLOOKUP($C298,$A$10:$J$89,6,FALSE)*$F298)))))</x:f>
      </x:c>
      <x:c r="M298" s="25" t="str">
        <x:f>IF($A298="","",IF($F298="","",IF($F298=0,0,IF(COUNTIFS($A$10:$A$89,$C298)&lt;&gt;1,"brak danych",IF(COUNTIFS($A$10:$A$89,$C298,$G$10:$G$89,"&lt;&gt;")=0,"brak danych",VLOOKUP($C298,$A$10:$J$89,7,FALSE)*$F298)))))</x:f>
      </x:c>
      <x:c r="N298" s="25" t="str">
        <x:f>IF($A298="","",IF($F298="","",IF($F298=0,0,IF(COUNTIFS($A$10:$A$89,$C298)&lt;&gt;1,"brak danych",IF(COUNTIFS($A$10:$A$89,$C298,$H$10:$H$89,"&lt;&gt;")=0,"brak danych",VLOOKUP($C298,$A$10:$J$89,8,FALSE)*$F298)))))</x:f>
      </x:c>
      <x:c r="O298" s="25" t="str">
        <x:f>IF($A298="","",IF($F298="","",IF($F298=0,0,IF(COUNTIFS($A$10:$A$89,$C298)&lt;&gt;1,"brak danych",IF(COUNTIFS($A$10:$A$89,$C298,$I$10:$I$89,"&lt;&gt;")=0,"brak danych",VLOOKUP($C298,$A$10:$J$89,9,FALSE)*$F298)))))</x:f>
      </x:c>
      <x:c r="P298" s="25" t="str">
        <x:f>IF($A298="","",IF($F298="","",IF($F298=0,0,IF(COUNTIFS($A$10:$A$89,$C298)&lt;&gt;1,"brak danych",IF(COUNTIFS($A$10:$A$89,$C298,$J$10:$J$89,"&lt;&gt;")=0,"brak danych",VLOOKUP($C298,$A$10:$J$89,10,FALSE)*$F298)))))</x:f>
      </x:c>
      <x:c r="Q298" s="18"/>
    </x:row>
    <x:row r="299" ht="25" customHeight="1">
      <x:c r="A299" s="6"/>
      <x:c r="B299" s="30"/>
      <x:c r="C299" s="5"/>
      <x:c r="D299" s="5"/>
      <x:c r="E299" s="32"/>
      <x:c r="F299" s="32"/>
      <x:c r="G299" s="24" t="str">
        <x:f>IF($A299="","",IF(AND($C299="",$E299=""),"",IF($E299="","brak danych",IF($E299=0,0,IF(COUNTIFS($A$10:$A$89,$C299)&lt;&gt;1,"brak danych",IF(COUNTIFS($A$10:$A$89,$C299,$F$10:$F$89,"&lt;&gt;")=0,"brak danych",VLOOKUP($C299,$A$10:$J$89,6,FALSE)*$E299))))))</x:f>
      </x:c>
      <x:c r="H299" s="25" t="str">
        <x:f>IF($A299="","",IF(AND($C299="",$E299=""),"",IF($E299="","brak danych",IF($E299=0,0,IF(COUNTIFS($A$10:$A$89,$C299)&lt;&gt;1,"brak danych",IF(COUNTIFS($A$10:$A$89,$C299,$G$10:$G$89,"&lt;&gt;")=0,"brak danych",VLOOKUP($C299,$A$10:$J$89,7,FALSE)*$E299))))))</x:f>
      </x:c>
      <x:c r="I299" s="25" t="str">
        <x:f>IF($A299="","",IF(AND($C299="",$E299=""),"",IF($E299="","brak danych",IF($E299=0,0,IF(COUNTIFS($A$10:$A$89,$C299)&lt;&gt;1,"brak danych",IF(COUNTIFS($A$10:$A$89,$C299,$H$10:$H$89,"&lt;&gt;")=0,"brak danych",VLOOKUP($C299,$A$10:$J$89,8,FALSE)*$E299))))))</x:f>
      </x:c>
      <x:c r="J299" s="25" t="str">
        <x:f>IF($A299="","",IF(AND($C299="",$E299=""),"",IF($E299="","brak danych",IF($E299=0,0,IF(COUNTIFS($A$10:$A$89,$C299)&lt;&gt;1,"brak danych",IF(COUNTIFS($A$10:$A$89,$C299,$I$10:$I$89,"&lt;&gt;")=0,"brak danych",VLOOKUP($C299,$A$10:$J$89,9,FALSE)*$E299))))))</x:f>
      </x:c>
      <x:c r="K299" s="25" t="str">
        <x:f>IF($A299="","",IF(AND($C299="",$E299=""),"",IF($E299="","brak danych",IF($E299=0,0,IF(COUNTIFS($A$10:$A$89,$C299)&lt;&gt;1,"brak danych",IF(COUNTIFS($A$10:$A$89,$C299,$J$10:$J$89,"&lt;&gt;")=0,"brak danych",VLOOKUP($C299,$A$10:$J$89,10,FALSE)*$E299))))))</x:f>
      </x:c>
      <x:c r="L299" s="24" t="str">
        <x:f>IF($A299="","",IF($F299="","",IF($F299=0,0,IF(COUNTIFS($A$10:$A$89,$C299)&lt;&gt;1,"brak danych",IF(COUNTIFS($A$10:$A$89,$C299,$F$10:$F$89,"&lt;&gt;")=0,"brak danych",VLOOKUP($C299,$A$10:$J$89,6,FALSE)*$F299)))))</x:f>
      </x:c>
      <x:c r="M299" s="25" t="str">
        <x:f>IF($A299="","",IF($F299="","",IF($F299=0,0,IF(COUNTIFS($A$10:$A$89,$C299)&lt;&gt;1,"brak danych",IF(COUNTIFS($A$10:$A$89,$C299,$G$10:$G$89,"&lt;&gt;")=0,"brak danych",VLOOKUP($C299,$A$10:$J$89,7,FALSE)*$F299)))))</x:f>
      </x:c>
      <x:c r="N299" s="25" t="str">
        <x:f>IF($A299="","",IF($F299="","",IF($F299=0,0,IF(COUNTIFS($A$10:$A$89,$C299)&lt;&gt;1,"brak danych",IF(COUNTIFS($A$10:$A$89,$C299,$H$10:$H$89,"&lt;&gt;")=0,"brak danych",VLOOKUP($C299,$A$10:$J$89,8,FALSE)*$F299)))))</x:f>
      </x:c>
      <x:c r="O299" s="25" t="str">
        <x:f>IF($A299="","",IF($F299="","",IF($F299=0,0,IF(COUNTIFS($A$10:$A$89,$C299)&lt;&gt;1,"brak danych",IF(COUNTIFS($A$10:$A$89,$C299,$I$10:$I$89,"&lt;&gt;")=0,"brak danych",VLOOKUP($C299,$A$10:$J$89,9,FALSE)*$F299)))))</x:f>
      </x:c>
      <x:c r="P299" s="25" t="str">
        <x:f>IF($A299="","",IF($F299="","",IF($F299=0,0,IF(COUNTIFS($A$10:$A$89,$C299)&lt;&gt;1,"brak danych",IF(COUNTIFS($A$10:$A$89,$C299,$J$10:$J$89,"&lt;&gt;")=0,"brak danych",VLOOKUP($C299,$A$10:$J$89,10,FALSE)*$F299)))))</x:f>
      </x:c>
      <x:c r="Q299" s="18"/>
    </x:row>
    <x:row r="300" ht="25" customHeight="1">
      <x:c r="A300" s="6"/>
      <x:c r="B300" s="30"/>
      <x:c r="C300" s="5"/>
      <x:c r="D300" s="5"/>
      <x:c r="E300" s="32"/>
      <x:c r="F300" s="32"/>
      <x:c r="G300" s="24" t="str">
        <x:f>IF($A300="","",IF(AND($C300="",$E300=""),"",IF($E300="","brak danych",IF($E300=0,0,IF(COUNTIFS($A$10:$A$89,$C300)&lt;&gt;1,"brak danych",IF(COUNTIFS($A$10:$A$89,$C300,$F$10:$F$89,"&lt;&gt;")=0,"brak danych",VLOOKUP($C300,$A$10:$J$89,6,FALSE)*$E300))))))</x:f>
      </x:c>
      <x:c r="H300" s="25" t="str">
        <x:f>IF($A300="","",IF(AND($C300="",$E300=""),"",IF($E300="","brak danych",IF($E300=0,0,IF(COUNTIFS($A$10:$A$89,$C300)&lt;&gt;1,"brak danych",IF(COUNTIFS($A$10:$A$89,$C300,$G$10:$G$89,"&lt;&gt;")=0,"brak danych",VLOOKUP($C300,$A$10:$J$89,7,FALSE)*$E300))))))</x:f>
      </x:c>
      <x:c r="I300" s="25" t="str">
        <x:f>IF($A300="","",IF(AND($C300="",$E300=""),"",IF($E300="","brak danych",IF($E300=0,0,IF(COUNTIFS($A$10:$A$89,$C300)&lt;&gt;1,"brak danych",IF(COUNTIFS($A$10:$A$89,$C300,$H$10:$H$89,"&lt;&gt;")=0,"brak danych",VLOOKUP($C300,$A$10:$J$89,8,FALSE)*$E300))))))</x:f>
      </x:c>
      <x:c r="J300" s="25" t="str">
        <x:f>IF($A300="","",IF(AND($C300="",$E300=""),"",IF($E300="","brak danych",IF($E300=0,0,IF(COUNTIFS($A$10:$A$89,$C300)&lt;&gt;1,"brak danych",IF(COUNTIFS($A$10:$A$89,$C300,$I$10:$I$89,"&lt;&gt;")=0,"brak danych",VLOOKUP($C300,$A$10:$J$89,9,FALSE)*$E300))))))</x:f>
      </x:c>
      <x:c r="K300" s="25" t="str">
        <x:f>IF($A300="","",IF(AND($C300="",$E300=""),"",IF($E300="","brak danych",IF($E300=0,0,IF(COUNTIFS($A$10:$A$89,$C300)&lt;&gt;1,"brak danych",IF(COUNTIFS($A$10:$A$89,$C300,$J$10:$J$89,"&lt;&gt;")=0,"brak danych",VLOOKUP($C300,$A$10:$J$89,10,FALSE)*$E300))))))</x:f>
      </x:c>
      <x:c r="L300" s="24" t="str">
        <x:f>IF($A300="","",IF($F300="","",IF($F300=0,0,IF(COUNTIFS($A$10:$A$89,$C300)&lt;&gt;1,"brak danych",IF(COUNTIFS($A$10:$A$89,$C300,$F$10:$F$89,"&lt;&gt;")=0,"brak danych",VLOOKUP($C300,$A$10:$J$89,6,FALSE)*$F300)))))</x:f>
      </x:c>
      <x:c r="M300" s="25" t="str">
        <x:f>IF($A300="","",IF($F300="","",IF($F300=0,0,IF(COUNTIFS($A$10:$A$89,$C300)&lt;&gt;1,"brak danych",IF(COUNTIFS($A$10:$A$89,$C300,$G$10:$G$89,"&lt;&gt;")=0,"brak danych",VLOOKUP($C300,$A$10:$J$89,7,FALSE)*$F300)))))</x:f>
      </x:c>
      <x:c r="N300" s="25" t="str">
        <x:f>IF($A300="","",IF($F300="","",IF($F300=0,0,IF(COUNTIFS($A$10:$A$89,$C300)&lt;&gt;1,"brak danych",IF(COUNTIFS($A$10:$A$89,$C300,$H$10:$H$89,"&lt;&gt;")=0,"brak danych",VLOOKUP($C300,$A$10:$J$89,8,FALSE)*$F300)))))</x:f>
      </x:c>
      <x:c r="O300" s="25" t="str">
        <x:f>IF($A300="","",IF($F300="","",IF($F300=0,0,IF(COUNTIFS($A$10:$A$89,$C300)&lt;&gt;1,"brak danych",IF(COUNTIFS($A$10:$A$89,$C300,$I$10:$I$89,"&lt;&gt;")=0,"brak danych",VLOOKUP($C300,$A$10:$J$89,9,FALSE)*$F300)))))</x:f>
      </x:c>
      <x:c r="P300" s="25" t="str">
        <x:f>IF($A300="","",IF($F300="","",IF($F300=0,0,IF(COUNTIFS($A$10:$A$89,$C300)&lt;&gt;1,"brak danych",IF(COUNTIFS($A$10:$A$89,$C300,$J$10:$J$89,"&lt;&gt;")=0,"brak danych",VLOOKUP($C300,$A$10:$J$89,10,FALSE)*$F300)))))</x:f>
      </x:c>
      <x:c r="Q300" s="18"/>
    </x:row>
    <x:row r="301" ht="25" customHeight="1">
      <x:c r="A301" s="6"/>
      <x:c r="B301" s="30"/>
      <x:c r="C301" s="5"/>
      <x:c r="D301" s="5"/>
      <x:c r="E301" s="32"/>
      <x:c r="F301" s="32"/>
      <x:c r="G301" s="24" t="str">
        <x:f>IF($A301="","",IF(AND($C301="",$E301=""),"",IF($E301="","brak danych",IF($E301=0,0,IF(COUNTIFS($A$10:$A$89,$C301)&lt;&gt;1,"brak danych",IF(COUNTIFS($A$10:$A$89,$C301,$F$10:$F$89,"&lt;&gt;")=0,"brak danych",VLOOKUP($C301,$A$10:$J$89,6,FALSE)*$E301))))))</x:f>
      </x:c>
      <x:c r="H301" s="25" t="str">
        <x:f>IF($A301="","",IF(AND($C301="",$E301=""),"",IF($E301="","brak danych",IF($E301=0,0,IF(COUNTIFS($A$10:$A$89,$C301)&lt;&gt;1,"brak danych",IF(COUNTIFS($A$10:$A$89,$C301,$G$10:$G$89,"&lt;&gt;")=0,"brak danych",VLOOKUP($C301,$A$10:$J$89,7,FALSE)*$E301))))))</x:f>
      </x:c>
      <x:c r="I301" s="25" t="str">
        <x:f>IF($A301="","",IF(AND($C301="",$E301=""),"",IF($E301="","brak danych",IF($E301=0,0,IF(COUNTIFS($A$10:$A$89,$C301)&lt;&gt;1,"brak danych",IF(COUNTIFS($A$10:$A$89,$C301,$H$10:$H$89,"&lt;&gt;")=0,"brak danych",VLOOKUP($C301,$A$10:$J$89,8,FALSE)*$E301))))))</x:f>
      </x:c>
      <x:c r="J301" s="25" t="str">
        <x:f>IF($A301="","",IF(AND($C301="",$E301=""),"",IF($E301="","brak danych",IF($E301=0,0,IF(COUNTIFS($A$10:$A$89,$C301)&lt;&gt;1,"brak danych",IF(COUNTIFS($A$10:$A$89,$C301,$I$10:$I$89,"&lt;&gt;")=0,"brak danych",VLOOKUP($C301,$A$10:$J$89,9,FALSE)*$E301))))))</x:f>
      </x:c>
      <x:c r="K301" s="25" t="str">
        <x:f>IF($A301="","",IF(AND($C301="",$E301=""),"",IF($E301="","brak danych",IF($E301=0,0,IF(COUNTIFS($A$10:$A$89,$C301)&lt;&gt;1,"brak danych",IF(COUNTIFS($A$10:$A$89,$C301,$J$10:$J$89,"&lt;&gt;")=0,"brak danych",VLOOKUP($C301,$A$10:$J$89,10,FALSE)*$E301))))))</x:f>
      </x:c>
      <x:c r="L301" s="24" t="str">
        <x:f>IF($A301="","",IF($F301="","",IF($F301=0,0,IF(COUNTIFS($A$10:$A$89,$C301)&lt;&gt;1,"brak danych",IF(COUNTIFS($A$10:$A$89,$C301,$F$10:$F$89,"&lt;&gt;")=0,"brak danych",VLOOKUP($C301,$A$10:$J$89,6,FALSE)*$F301)))))</x:f>
      </x:c>
      <x:c r="M301" s="25" t="str">
        <x:f>IF($A301="","",IF($F301="","",IF($F301=0,0,IF(COUNTIFS($A$10:$A$89,$C301)&lt;&gt;1,"brak danych",IF(COUNTIFS($A$10:$A$89,$C301,$G$10:$G$89,"&lt;&gt;")=0,"brak danych",VLOOKUP($C301,$A$10:$J$89,7,FALSE)*$F301)))))</x:f>
      </x:c>
      <x:c r="N301" s="25" t="str">
        <x:f>IF($A301="","",IF($F301="","",IF($F301=0,0,IF(COUNTIFS($A$10:$A$89,$C301)&lt;&gt;1,"brak danych",IF(COUNTIFS($A$10:$A$89,$C301,$H$10:$H$89,"&lt;&gt;")=0,"brak danych",VLOOKUP($C301,$A$10:$J$89,8,FALSE)*$F301)))))</x:f>
      </x:c>
      <x:c r="O301" s="25" t="str">
        <x:f>IF($A301="","",IF($F301="","",IF($F301=0,0,IF(COUNTIFS($A$10:$A$89,$C301)&lt;&gt;1,"brak danych",IF(COUNTIFS($A$10:$A$89,$C301,$I$10:$I$89,"&lt;&gt;")=0,"brak danych",VLOOKUP($C301,$A$10:$J$89,9,FALSE)*$F301)))))</x:f>
      </x:c>
      <x:c r="P301" s="25" t="str">
        <x:f>IF($A301="","",IF($F301="","",IF($F301=0,0,IF(COUNTIFS($A$10:$A$89,$C301)&lt;&gt;1,"brak danych",IF(COUNTIFS($A$10:$A$89,$C301,$J$10:$J$89,"&lt;&gt;")=0,"brak danych",VLOOKUP($C301,$A$10:$J$89,10,FALSE)*$F301)))))</x:f>
      </x:c>
      <x:c r="Q301" s="18"/>
    </x:row>
    <x:row r="302" ht="25" customHeight="1">
      <x:c r="A302" s="6"/>
      <x:c r="B302" s="30"/>
      <x:c r="C302" s="5"/>
      <x:c r="D302" s="5"/>
      <x:c r="E302" s="32"/>
      <x:c r="F302" s="32"/>
      <x:c r="G302" s="24" t="str">
        <x:f>IF($A302="","",IF(AND($C302="",$E302=""),"",IF($E302="","brak danych",IF($E302=0,0,IF(COUNTIFS($A$10:$A$89,$C302)&lt;&gt;1,"brak danych",IF(COUNTIFS($A$10:$A$89,$C302,$F$10:$F$89,"&lt;&gt;")=0,"brak danych",VLOOKUP($C302,$A$10:$J$89,6,FALSE)*$E302))))))</x:f>
      </x:c>
      <x:c r="H302" s="25" t="str">
        <x:f>IF($A302="","",IF(AND($C302="",$E302=""),"",IF($E302="","brak danych",IF($E302=0,0,IF(COUNTIFS($A$10:$A$89,$C302)&lt;&gt;1,"brak danych",IF(COUNTIFS($A$10:$A$89,$C302,$G$10:$G$89,"&lt;&gt;")=0,"brak danych",VLOOKUP($C302,$A$10:$J$89,7,FALSE)*$E302))))))</x:f>
      </x:c>
      <x:c r="I302" s="25" t="str">
        <x:f>IF($A302="","",IF(AND($C302="",$E302=""),"",IF($E302="","brak danych",IF($E302=0,0,IF(COUNTIFS($A$10:$A$89,$C302)&lt;&gt;1,"brak danych",IF(COUNTIFS($A$10:$A$89,$C302,$H$10:$H$89,"&lt;&gt;")=0,"brak danych",VLOOKUP($C302,$A$10:$J$89,8,FALSE)*$E302))))))</x:f>
      </x:c>
      <x:c r="J302" s="25" t="str">
        <x:f>IF($A302="","",IF(AND($C302="",$E302=""),"",IF($E302="","brak danych",IF($E302=0,0,IF(COUNTIFS($A$10:$A$89,$C302)&lt;&gt;1,"brak danych",IF(COUNTIFS($A$10:$A$89,$C302,$I$10:$I$89,"&lt;&gt;")=0,"brak danych",VLOOKUP($C302,$A$10:$J$89,9,FALSE)*$E302))))))</x:f>
      </x:c>
      <x:c r="K302" s="25" t="str">
        <x:f>IF($A302="","",IF(AND($C302="",$E302=""),"",IF($E302="","brak danych",IF($E302=0,0,IF(COUNTIFS($A$10:$A$89,$C302)&lt;&gt;1,"brak danych",IF(COUNTIFS($A$10:$A$89,$C302,$J$10:$J$89,"&lt;&gt;")=0,"brak danych",VLOOKUP($C302,$A$10:$J$89,10,FALSE)*$E302))))))</x:f>
      </x:c>
      <x:c r="L302" s="24" t="str">
        <x:f>IF($A302="","",IF($F302="","",IF($F302=0,0,IF(COUNTIFS($A$10:$A$89,$C302)&lt;&gt;1,"brak danych",IF(COUNTIFS($A$10:$A$89,$C302,$F$10:$F$89,"&lt;&gt;")=0,"brak danych",VLOOKUP($C302,$A$10:$J$89,6,FALSE)*$F302)))))</x:f>
      </x:c>
      <x:c r="M302" s="25" t="str">
        <x:f>IF($A302="","",IF($F302="","",IF($F302=0,0,IF(COUNTIFS($A$10:$A$89,$C302)&lt;&gt;1,"brak danych",IF(COUNTIFS($A$10:$A$89,$C302,$G$10:$G$89,"&lt;&gt;")=0,"brak danych",VLOOKUP($C302,$A$10:$J$89,7,FALSE)*$F302)))))</x:f>
      </x:c>
      <x:c r="N302" s="25" t="str">
        <x:f>IF($A302="","",IF($F302="","",IF($F302=0,0,IF(COUNTIFS($A$10:$A$89,$C302)&lt;&gt;1,"brak danych",IF(COUNTIFS($A$10:$A$89,$C302,$H$10:$H$89,"&lt;&gt;")=0,"brak danych",VLOOKUP($C302,$A$10:$J$89,8,FALSE)*$F302)))))</x:f>
      </x:c>
      <x:c r="O302" s="25" t="str">
        <x:f>IF($A302="","",IF($F302="","",IF($F302=0,0,IF(COUNTIFS($A$10:$A$89,$C302)&lt;&gt;1,"brak danych",IF(COUNTIFS($A$10:$A$89,$C302,$I$10:$I$89,"&lt;&gt;")=0,"brak danych",VLOOKUP($C302,$A$10:$J$89,9,FALSE)*$F302)))))</x:f>
      </x:c>
      <x:c r="P302" s="25" t="str">
        <x:f>IF($A302="","",IF($F302="","",IF($F302=0,0,IF(COUNTIFS($A$10:$A$89,$C302)&lt;&gt;1,"brak danych",IF(COUNTIFS($A$10:$A$89,$C302,$J$10:$J$89,"&lt;&gt;")=0,"brak danych",VLOOKUP($C302,$A$10:$J$89,10,FALSE)*$F302)))))</x:f>
      </x:c>
      <x:c r="Q302" s="18"/>
    </x:row>
    <x:row r="303" ht="25" customHeight="1">
      <x:c r="A303" s="6"/>
      <x:c r="B303" s="30"/>
      <x:c r="C303" s="5"/>
      <x:c r="D303" s="5"/>
      <x:c r="E303" s="32"/>
      <x:c r="F303" s="32"/>
      <x:c r="G303" s="24" t="str">
        <x:f>IF($A303="","",IF(AND($C303="",$E303=""),"",IF($E303="","brak danych",IF($E303=0,0,IF(COUNTIFS($A$10:$A$89,$C303)&lt;&gt;1,"brak danych",IF(COUNTIFS($A$10:$A$89,$C303,$F$10:$F$89,"&lt;&gt;")=0,"brak danych",VLOOKUP($C303,$A$10:$J$89,6,FALSE)*$E303))))))</x:f>
      </x:c>
      <x:c r="H303" s="25" t="str">
        <x:f>IF($A303="","",IF(AND($C303="",$E303=""),"",IF($E303="","brak danych",IF($E303=0,0,IF(COUNTIFS($A$10:$A$89,$C303)&lt;&gt;1,"brak danych",IF(COUNTIFS($A$10:$A$89,$C303,$G$10:$G$89,"&lt;&gt;")=0,"brak danych",VLOOKUP($C303,$A$10:$J$89,7,FALSE)*$E303))))))</x:f>
      </x:c>
      <x:c r="I303" s="25" t="str">
        <x:f>IF($A303="","",IF(AND($C303="",$E303=""),"",IF($E303="","brak danych",IF($E303=0,0,IF(COUNTIFS($A$10:$A$89,$C303)&lt;&gt;1,"brak danych",IF(COUNTIFS($A$10:$A$89,$C303,$H$10:$H$89,"&lt;&gt;")=0,"brak danych",VLOOKUP($C303,$A$10:$J$89,8,FALSE)*$E303))))))</x:f>
      </x:c>
      <x:c r="J303" s="25" t="str">
        <x:f>IF($A303="","",IF(AND($C303="",$E303=""),"",IF($E303="","brak danych",IF($E303=0,0,IF(COUNTIFS($A$10:$A$89,$C303)&lt;&gt;1,"brak danych",IF(COUNTIFS($A$10:$A$89,$C303,$I$10:$I$89,"&lt;&gt;")=0,"brak danych",VLOOKUP($C303,$A$10:$J$89,9,FALSE)*$E303))))))</x:f>
      </x:c>
      <x:c r="K303" s="25" t="str">
        <x:f>IF($A303="","",IF(AND($C303="",$E303=""),"",IF($E303="","brak danych",IF($E303=0,0,IF(COUNTIFS($A$10:$A$89,$C303)&lt;&gt;1,"brak danych",IF(COUNTIFS($A$10:$A$89,$C303,$J$10:$J$89,"&lt;&gt;")=0,"brak danych",VLOOKUP($C303,$A$10:$J$89,10,FALSE)*$E303))))))</x:f>
      </x:c>
      <x:c r="L303" s="24" t="str">
        <x:f>IF($A303="","",IF($F303="","",IF($F303=0,0,IF(COUNTIFS($A$10:$A$89,$C303)&lt;&gt;1,"brak danych",IF(COUNTIFS($A$10:$A$89,$C303,$F$10:$F$89,"&lt;&gt;")=0,"brak danych",VLOOKUP($C303,$A$10:$J$89,6,FALSE)*$F303)))))</x:f>
      </x:c>
      <x:c r="M303" s="25" t="str">
        <x:f>IF($A303="","",IF($F303="","",IF($F303=0,0,IF(COUNTIFS($A$10:$A$89,$C303)&lt;&gt;1,"brak danych",IF(COUNTIFS($A$10:$A$89,$C303,$G$10:$G$89,"&lt;&gt;")=0,"brak danych",VLOOKUP($C303,$A$10:$J$89,7,FALSE)*$F303)))))</x:f>
      </x:c>
      <x:c r="N303" s="25" t="str">
        <x:f>IF($A303="","",IF($F303="","",IF($F303=0,0,IF(COUNTIFS($A$10:$A$89,$C303)&lt;&gt;1,"brak danych",IF(COUNTIFS($A$10:$A$89,$C303,$H$10:$H$89,"&lt;&gt;")=0,"brak danych",VLOOKUP($C303,$A$10:$J$89,8,FALSE)*$F303)))))</x:f>
      </x:c>
      <x:c r="O303" s="25" t="str">
        <x:f>IF($A303="","",IF($F303="","",IF($F303=0,0,IF(COUNTIFS($A$10:$A$89,$C303)&lt;&gt;1,"brak danych",IF(COUNTIFS($A$10:$A$89,$C303,$I$10:$I$89,"&lt;&gt;")=0,"brak danych",VLOOKUP($C303,$A$10:$J$89,9,FALSE)*$F303)))))</x:f>
      </x:c>
      <x:c r="P303" s="25" t="str">
        <x:f>IF($A303="","",IF($F303="","",IF($F303=0,0,IF(COUNTIFS($A$10:$A$89,$C303)&lt;&gt;1,"brak danych",IF(COUNTIFS($A$10:$A$89,$C303,$J$10:$J$89,"&lt;&gt;")=0,"brak danych",VLOOKUP($C303,$A$10:$J$89,10,FALSE)*$F303)))))</x:f>
      </x:c>
      <x:c r="Q303" s="18"/>
    </x:row>
    <x:row r="304" ht="25" customHeight="1">
      <x:c r="A304" s="6"/>
      <x:c r="B304" s="30"/>
      <x:c r="C304" s="5"/>
      <x:c r="D304" s="5"/>
      <x:c r="E304" s="32"/>
      <x:c r="F304" s="32"/>
      <x:c r="G304" s="24" t="str">
        <x:f>IF($A304="","",IF(AND($C304="",$E304=""),"",IF($E304="","brak danych",IF($E304=0,0,IF(COUNTIFS($A$10:$A$89,$C304)&lt;&gt;1,"brak danych",IF(COUNTIFS($A$10:$A$89,$C304,$F$10:$F$89,"&lt;&gt;")=0,"brak danych",VLOOKUP($C304,$A$10:$J$89,6,FALSE)*$E304))))))</x:f>
      </x:c>
      <x:c r="H304" s="25" t="str">
        <x:f>IF($A304="","",IF(AND($C304="",$E304=""),"",IF($E304="","brak danych",IF($E304=0,0,IF(COUNTIFS($A$10:$A$89,$C304)&lt;&gt;1,"brak danych",IF(COUNTIFS($A$10:$A$89,$C304,$G$10:$G$89,"&lt;&gt;")=0,"brak danych",VLOOKUP($C304,$A$10:$J$89,7,FALSE)*$E304))))))</x:f>
      </x:c>
      <x:c r="I304" s="25" t="str">
        <x:f>IF($A304="","",IF(AND($C304="",$E304=""),"",IF($E304="","brak danych",IF($E304=0,0,IF(COUNTIFS($A$10:$A$89,$C304)&lt;&gt;1,"brak danych",IF(COUNTIFS($A$10:$A$89,$C304,$H$10:$H$89,"&lt;&gt;")=0,"brak danych",VLOOKUP($C304,$A$10:$J$89,8,FALSE)*$E304))))))</x:f>
      </x:c>
      <x:c r="J304" s="25" t="str">
        <x:f>IF($A304="","",IF(AND($C304="",$E304=""),"",IF($E304="","brak danych",IF($E304=0,0,IF(COUNTIFS($A$10:$A$89,$C304)&lt;&gt;1,"brak danych",IF(COUNTIFS($A$10:$A$89,$C304,$I$10:$I$89,"&lt;&gt;")=0,"brak danych",VLOOKUP($C304,$A$10:$J$89,9,FALSE)*$E304))))))</x:f>
      </x:c>
      <x:c r="K304" s="25" t="str">
        <x:f>IF($A304="","",IF(AND($C304="",$E304=""),"",IF($E304="","brak danych",IF($E304=0,0,IF(COUNTIFS($A$10:$A$89,$C304)&lt;&gt;1,"brak danych",IF(COUNTIFS($A$10:$A$89,$C304,$J$10:$J$89,"&lt;&gt;")=0,"brak danych",VLOOKUP($C304,$A$10:$J$89,10,FALSE)*$E304))))))</x:f>
      </x:c>
      <x:c r="L304" s="24" t="str">
        <x:f>IF($A304="","",IF($F304="","",IF($F304=0,0,IF(COUNTIFS($A$10:$A$89,$C304)&lt;&gt;1,"brak danych",IF(COUNTIFS($A$10:$A$89,$C304,$F$10:$F$89,"&lt;&gt;")=0,"brak danych",VLOOKUP($C304,$A$10:$J$89,6,FALSE)*$F304)))))</x:f>
      </x:c>
      <x:c r="M304" s="25" t="str">
        <x:f>IF($A304="","",IF($F304="","",IF($F304=0,0,IF(COUNTIFS($A$10:$A$89,$C304)&lt;&gt;1,"brak danych",IF(COUNTIFS($A$10:$A$89,$C304,$G$10:$G$89,"&lt;&gt;")=0,"brak danych",VLOOKUP($C304,$A$10:$J$89,7,FALSE)*$F304)))))</x:f>
      </x:c>
      <x:c r="N304" s="25" t="str">
        <x:f>IF($A304="","",IF($F304="","",IF($F304=0,0,IF(COUNTIFS($A$10:$A$89,$C304)&lt;&gt;1,"brak danych",IF(COUNTIFS($A$10:$A$89,$C304,$H$10:$H$89,"&lt;&gt;")=0,"brak danych",VLOOKUP($C304,$A$10:$J$89,8,FALSE)*$F304)))))</x:f>
      </x:c>
      <x:c r="O304" s="25" t="str">
        <x:f>IF($A304="","",IF($F304="","",IF($F304=0,0,IF(COUNTIFS($A$10:$A$89,$C304)&lt;&gt;1,"brak danych",IF(COUNTIFS($A$10:$A$89,$C304,$I$10:$I$89,"&lt;&gt;")=0,"brak danych",VLOOKUP($C304,$A$10:$J$89,9,FALSE)*$F304)))))</x:f>
      </x:c>
      <x:c r="P304" s="25" t="str">
        <x:f>IF($A304="","",IF($F304="","",IF($F304=0,0,IF(COUNTIFS($A$10:$A$89,$C304)&lt;&gt;1,"brak danych",IF(COUNTIFS($A$10:$A$89,$C304,$J$10:$J$89,"&lt;&gt;")=0,"brak danych",VLOOKUP($C304,$A$10:$J$89,10,FALSE)*$F304)))))</x:f>
      </x:c>
      <x:c r="Q304" s="18"/>
    </x:row>
    <x:row r="305" ht="25" customHeight="1">
      <x:c r="A305" s="6"/>
      <x:c r="B305" s="30"/>
      <x:c r="C305" s="5"/>
      <x:c r="D305" s="5"/>
      <x:c r="E305" s="32"/>
      <x:c r="F305" s="32"/>
      <x:c r="G305" s="24" t="str">
        <x:f>IF($A305="","",IF(AND($C305="",$E305=""),"",IF($E305="","brak danych",IF($E305=0,0,IF(COUNTIFS($A$10:$A$89,$C305)&lt;&gt;1,"brak danych",IF(COUNTIFS($A$10:$A$89,$C305,$F$10:$F$89,"&lt;&gt;")=0,"brak danych",VLOOKUP($C305,$A$10:$J$89,6,FALSE)*$E305))))))</x:f>
      </x:c>
      <x:c r="H305" s="25" t="str">
        <x:f>IF($A305="","",IF(AND($C305="",$E305=""),"",IF($E305="","brak danych",IF($E305=0,0,IF(COUNTIFS($A$10:$A$89,$C305)&lt;&gt;1,"brak danych",IF(COUNTIFS($A$10:$A$89,$C305,$G$10:$G$89,"&lt;&gt;")=0,"brak danych",VLOOKUP($C305,$A$10:$J$89,7,FALSE)*$E305))))))</x:f>
      </x:c>
      <x:c r="I305" s="25" t="str">
        <x:f>IF($A305="","",IF(AND($C305="",$E305=""),"",IF($E305="","brak danych",IF($E305=0,0,IF(COUNTIFS($A$10:$A$89,$C305)&lt;&gt;1,"brak danych",IF(COUNTIFS($A$10:$A$89,$C305,$H$10:$H$89,"&lt;&gt;")=0,"brak danych",VLOOKUP($C305,$A$10:$J$89,8,FALSE)*$E305))))))</x:f>
      </x:c>
      <x:c r="J305" s="25" t="str">
        <x:f>IF($A305="","",IF(AND($C305="",$E305=""),"",IF($E305="","brak danych",IF($E305=0,0,IF(COUNTIFS($A$10:$A$89,$C305)&lt;&gt;1,"brak danych",IF(COUNTIFS($A$10:$A$89,$C305,$I$10:$I$89,"&lt;&gt;")=0,"brak danych",VLOOKUP($C305,$A$10:$J$89,9,FALSE)*$E305))))))</x:f>
      </x:c>
      <x:c r="K305" s="25" t="str">
        <x:f>IF($A305="","",IF(AND($C305="",$E305=""),"",IF($E305="","brak danych",IF($E305=0,0,IF(COUNTIFS($A$10:$A$89,$C305)&lt;&gt;1,"brak danych",IF(COUNTIFS($A$10:$A$89,$C305,$J$10:$J$89,"&lt;&gt;")=0,"brak danych",VLOOKUP($C305,$A$10:$J$89,10,FALSE)*$E305))))))</x:f>
      </x:c>
      <x:c r="L305" s="24" t="str">
        <x:f>IF($A305="","",IF($F305="","",IF($F305=0,0,IF(COUNTIFS($A$10:$A$89,$C305)&lt;&gt;1,"brak danych",IF(COUNTIFS($A$10:$A$89,$C305,$F$10:$F$89,"&lt;&gt;")=0,"brak danych",VLOOKUP($C305,$A$10:$J$89,6,FALSE)*$F305)))))</x:f>
      </x:c>
      <x:c r="M305" s="25" t="str">
        <x:f>IF($A305="","",IF($F305="","",IF($F305=0,0,IF(COUNTIFS($A$10:$A$89,$C305)&lt;&gt;1,"brak danych",IF(COUNTIFS($A$10:$A$89,$C305,$G$10:$G$89,"&lt;&gt;")=0,"brak danych",VLOOKUP($C305,$A$10:$J$89,7,FALSE)*$F305)))))</x:f>
      </x:c>
      <x:c r="N305" s="25" t="str">
        <x:f>IF($A305="","",IF($F305="","",IF($F305=0,0,IF(COUNTIFS($A$10:$A$89,$C305)&lt;&gt;1,"brak danych",IF(COUNTIFS($A$10:$A$89,$C305,$H$10:$H$89,"&lt;&gt;")=0,"brak danych",VLOOKUP($C305,$A$10:$J$89,8,FALSE)*$F305)))))</x:f>
      </x:c>
      <x:c r="O305" s="25" t="str">
        <x:f>IF($A305="","",IF($F305="","",IF($F305=0,0,IF(COUNTIFS($A$10:$A$89,$C305)&lt;&gt;1,"brak danych",IF(COUNTIFS($A$10:$A$89,$C305,$I$10:$I$89,"&lt;&gt;")=0,"brak danych",VLOOKUP($C305,$A$10:$J$89,9,FALSE)*$F305)))))</x:f>
      </x:c>
      <x:c r="P305" s="25" t="str">
        <x:f>IF($A305="","",IF($F305="","",IF($F305=0,0,IF(COUNTIFS($A$10:$A$89,$C305)&lt;&gt;1,"brak danych",IF(COUNTIFS($A$10:$A$89,$C305,$J$10:$J$89,"&lt;&gt;")=0,"brak danych",VLOOKUP($C305,$A$10:$J$89,10,FALSE)*$F305)))))</x:f>
      </x:c>
      <x:c r="Q305" s="18"/>
    </x:row>
    <x:row r="306" ht="25" customHeight="1">
      <x:c r="A306" s="6"/>
      <x:c r="B306" s="30"/>
      <x:c r="C306" s="5"/>
      <x:c r="D306" s="5"/>
      <x:c r="E306" s="32"/>
      <x:c r="F306" s="32"/>
      <x:c r="G306" s="24" t="str">
        <x:f>IF($A306="","",IF(AND($C306="",$E306=""),"",IF($E306="","brak danych",IF($E306=0,0,IF(COUNTIFS($A$10:$A$89,$C306)&lt;&gt;1,"brak danych",IF(COUNTIFS($A$10:$A$89,$C306,$F$10:$F$89,"&lt;&gt;")=0,"brak danych",VLOOKUP($C306,$A$10:$J$89,6,FALSE)*$E306))))))</x:f>
      </x:c>
      <x:c r="H306" s="25" t="str">
        <x:f>IF($A306="","",IF(AND($C306="",$E306=""),"",IF($E306="","brak danych",IF($E306=0,0,IF(COUNTIFS($A$10:$A$89,$C306)&lt;&gt;1,"brak danych",IF(COUNTIFS($A$10:$A$89,$C306,$G$10:$G$89,"&lt;&gt;")=0,"brak danych",VLOOKUP($C306,$A$10:$J$89,7,FALSE)*$E306))))))</x:f>
      </x:c>
      <x:c r="I306" s="25" t="str">
        <x:f>IF($A306="","",IF(AND($C306="",$E306=""),"",IF($E306="","brak danych",IF($E306=0,0,IF(COUNTIFS($A$10:$A$89,$C306)&lt;&gt;1,"brak danych",IF(COUNTIFS($A$10:$A$89,$C306,$H$10:$H$89,"&lt;&gt;")=0,"brak danych",VLOOKUP($C306,$A$10:$J$89,8,FALSE)*$E306))))))</x:f>
      </x:c>
      <x:c r="J306" s="25" t="str">
        <x:f>IF($A306="","",IF(AND($C306="",$E306=""),"",IF($E306="","brak danych",IF($E306=0,0,IF(COUNTIFS($A$10:$A$89,$C306)&lt;&gt;1,"brak danych",IF(COUNTIFS($A$10:$A$89,$C306,$I$10:$I$89,"&lt;&gt;")=0,"brak danych",VLOOKUP($C306,$A$10:$J$89,9,FALSE)*$E306))))))</x:f>
      </x:c>
      <x:c r="K306" s="25" t="str">
        <x:f>IF($A306="","",IF(AND($C306="",$E306=""),"",IF($E306="","brak danych",IF($E306=0,0,IF(COUNTIFS($A$10:$A$89,$C306)&lt;&gt;1,"brak danych",IF(COUNTIFS($A$10:$A$89,$C306,$J$10:$J$89,"&lt;&gt;")=0,"brak danych",VLOOKUP($C306,$A$10:$J$89,10,FALSE)*$E306))))))</x:f>
      </x:c>
      <x:c r="L306" s="24" t="str">
        <x:f>IF($A306="","",IF($F306="","",IF($F306=0,0,IF(COUNTIFS($A$10:$A$89,$C306)&lt;&gt;1,"brak danych",IF(COUNTIFS($A$10:$A$89,$C306,$F$10:$F$89,"&lt;&gt;")=0,"brak danych",VLOOKUP($C306,$A$10:$J$89,6,FALSE)*$F306)))))</x:f>
      </x:c>
      <x:c r="M306" s="25" t="str">
        <x:f>IF($A306="","",IF($F306="","",IF($F306=0,0,IF(COUNTIFS($A$10:$A$89,$C306)&lt;&gt;1,"brak danych",IF(COUNTIFS($A$10:$A$89,$C306,$G$10:$G$89,"&lt;&gt;")=0,"brak danych",VLOOKUP($C306,$A$10:$J$89,7,FALSE)*$F306)))))</x:f>
      </x:c>
      <x:c r="N306" s="25" t="str">
        <x:f>IF($A306="","",IF($F306="","",IF($F306=0,0,IF(COUNTIFS($A$10:$A$89,$C306)&lt;&gt;1,"brak danych",IF(COUNTIFS($A$10:$A$89,$C306,$H$10:$H$89,"&lt;&gt;")=0,"brak danych",VLOOKUP($C306,$A$10:$J$89,8,FALSE)*$F306)))))</x:f>
      </x:c>
      <x:c r="O306" s="25" t="str">
        <x:f>IF($A306="","",IF($F306="","",IF($F306=0,0,IF(COUNTIFS($A$10:$A$89,$C306)&lt;&gt;1,"brak danych",IF(COUNTIFS($A$10:$A$89,$C306,$I$10:$I$89,"&lt;&gt;")=0,"brak danych",VLOOKUP($C306,$A$10:$J$89,9,FALSE)*$F306)))))</x:f>
      </x:c>
      <x:c r="P306" s="25" t="str">
        <x:f>IF($A306="","",IF($F306="","",IF($F306=0,0,IF(COUNTIFS($A$10:$A$89,$C306)&lt;&gt;1,"brak danych",IF(COUNTIFS($A$10:$A$89,$C306,$J$10:$J$89,"&lt;&gt;")=0,"brak danych",VLOOKUP($C306,$A$10:$J$89,10,FALSE)*$F306)))))</x:f>
      </x:c>
      <x:c r="Q306" s="18"/>
    </x:row>
    <x:row r="307" ht="25" customHeight="1">
      <x:c r="A307" s="6"/>
      <x:c r="B307" s="30"/>
      <x:c r="C307" s="5"/>
      <x:c r="D307" s="5"/>
      <x:c r="E307" s="32"/>
      <x:c r="F307" s="32"/>
      <x:c r="G307" s="24" t="str">
        <x:f>IF($A307="","",IF(AND($C307="",$E307=""),"",IF($E307="","brak danych",IF($E307=0,0,IF(COUNTIFS($A$10:$A$89,$C307)&lt;&gt;1,"brak danych",IF(COUNTIFS($A$10:$A$89,$C307,$F$10:$F$89,"&lt;&gt;")=0,"brak danych",VLOOKUP($C307,$A$10:$J$89,6,FALSE)*$E307))))))</x:f>
      </x:c>
      <x:c r="H307" s="25" t="str">
        <x:f>IF($A307="","",IF(AND($C307="",$E307=""),"",IF($E307="","brak danych",IF($E307=0,0,IF(COUNTIFS($A$10:$A$89,$C307)&lt;&gt;1,"brak danych",IF(COUNTIFS($A$10:$A$89,$C307,$G$10:$G$89,"&lt;&gt;")=0,"brak danych",VLOOKUP($C307,$A$10:$J$89,7,FALSE)*$E307))))))</x:f>
      </x:c>
      <x:c r="I307" s="25" t="str">
        <x:f>IF($A307="","",IF(AND($C307="",$E307=""),"",IF($E307="","brak danych",IF($E307=0,0,IF(COUNTIFS($A$10:$A$89,$C307)&lt;&gt;1,"brak danych",IF(COUNTIFS($A$10:$A$89,$C307,$H$10:$H$89,"&lt;&gt;")=0,"brak danych",VLOOKUP($C307,$A$10:$J$89,8,FALSE)*$E307))))))</x:f>
      </x:c>
      <x:c r="J307" s="25" t="str">
        <x:f>IF($A307="","",IF(AND($C307="",$E307=""),"",IF($E307="","brak danych",IF($E307=0,0,IF(COUNTIFS($A$10:$A$89,$C307)&lt;&gt;1,"brak danych",IF(COUNTIFS($A$10:$A$89,$C307,$I$10:$I$89,"&lt;&gt;")=0,"brak danych",VLOOKUP($C307,$A$10:$J$89,9,FALSE)*$E307))))))</x:f>
      </x:c>
      <x:c r="K307" s="25" t="str">
        <x:f>IF($A307="","",IF(AND($C307="",$E307=""),"",IF($E307="","brak danych",IF($E307=0,0,IF(COUNTIFS($A$10:$A$89,$C307)&lt;&gt;1,"brak danych",IF(COUNTIFS($A$10:$A$89,$C307,$J$10:$J$89,"&lt;&gt;")=0,"brak danych",VLOOKUP($C307,$A$10:$J$89,10,FALSE)*$E307))))))</x:f>
      </x:c>
      <x:c r="L307" s="24" t="str">
        <x:f>IF($A307="","",IF($F307="","",IF($F307=0,0,IF(COUNTIFS($A$10:$A$89,$C307)&lt;&gt;1,"brak danych",IF(COUNTIFS($A$10:$A$89,$C307,$F$10:$F$89,"&lt;&gt;")=0,"brak danych",VLOOKUP($C307,$A$10:$J$89,6,FALSE)*$F307)))))</x:f>
      </x:c>
      <x:c r="M307" s="25" t="str">
        <x:f>IF($A307="","",IF($F307="","",IF($F307=0,0,IF(COUNTIFS($A$10:$A$89,$C307)&lt;&gt;1,"brak danych",IF(COUNTIFS($A$10:$A$89,$C307,$G$10:$G$89,"&lt;&gt;")=0,"brak danych",VLOOKUP($C307,$A$10:$J$89,7,FALSE)*$F307)))))</x:f>
      </x:c>
      <x:c r="N307" s="25" t="str">
        <x:f>IF($A307="","",IF($F307="","",IF($F307=0,0,IF(COUNTIFS($A$10:$A$89,$C307)&lt;&gt;1,"brak danych",IF(COUNTIFS($A$10:$A$89,$C307,$H$10:$H$89,"&lt;&gt;")=0,"brak danych",VLOOKUP($C307,$A$10:$J$89,8,FALSE)*$F307)))))</x:f>
      </x:c>
      <x:c r="O307" s="25" t="str">
        <x:f>IF($A307="","",IF($F307="","",IF($F307=0,0,IF(COUNTIFS($A$10:$A$89,$C307)&lt;&gt;1,"brak danych",IF(COUNTIFS($A$10:$A$89,$C307,$I$10:$I$89,"&lt;&gt;")=0,"brak danych",VLOOKUP($C307,$A$10:$J$89,9,FALSE)*$F307)))))</x:f>
      </x:c>
      <x:c r="P307" s="25" t="str">
        <x:f>IF($A307="","",IF($F307="","",IF($F307=0,0,IF(COUNTIFS($A$10:$A$89,$C307)&lt;&gt;1,"brak danych",IF(COUNTIFS($A$10:$A$89,$C307,$J$10:$J$89,"&lt;&gt;")=0,"brak danych",VLOOKUP($C307,$A$10:$J$89,10,FALSE)*$F307)))))</x:f>
      </x:c>
      <x:c r="Q307" s="18"/>
    </x:row>
    <x:row r="308" ht="25" customHeight="1">
      <x:c r="A308" s="6"/>
      <x:c r="B308" s="30"/>
      <x:c r="C308" s="5"/>
      <x:c r="D308" s="5"/>
      <x:c r="E308" s="32"/>
      <x:c r="F308" s="32"/>
      <x:c r="G308" s="24" t="str">
        <x:f>IF($A308="","",IF(AND($C308="",$E308=""),"",IF($E308="","brak danych",IF($E308=0,0,IF(COUNTIFS($A$10:$A$89,$C308)&lt;&gt;1,"brak danych",IF(COUNTIFS($A$10:$A$89,$C308,$F$10:$F$89,"&lt;&gt;")=0,"brak danych",VLOOKUP($C308,$A$10:$J$89,6,FALSE)*$E308))))))</x:f>
      </x:c>
      <x:c r="H308" s="25" t="str">
        <x:f>IF($A308="","",IF(AND($C308="",$E308=""),"",IF($E308="","brak danych",IF($E308=0,0,IF(COUNTIFS($A$10:$A$89,$C308)&lt;&gt;1,"brak danych",IF(COUNTIFS($A$10:$A$89,$C308,$G$10:$G$89,"&lt;&gt;")=0,"brak danych",VLOOKUP($C308,$A$10:$J$89,7,FALSE)*$E308))))))</x:f>
      </x:c>
      <x:c r="I308" s="25" t="str">
        <x:f>IF($A308="","",IF(AND($C308="",$E308=""),"",IF($E308="","brak danych",IF($E308=0,0,IF(COUNTIFS($A$10:$A$89,$C308)&lt;&gt;1,"brak danych",IF(COUNTIFS($A$10:$A$89,$C308,$H$10:$H$89,"&lt;&gt;")=0,"brak danych",VLOOKUP($C308,$A$10:$J$89,8,FALSE)*$E308))))))</x:f>
      </x:c>
      <x:c r="J308" s="25" t="str">
        <x:f>IF($A308="","",IF(AND($C308="",$E308=""),"",IF($E308="","brak danych",IF($E308=0,0,IF(COUNTIFS($A$10:$A$89,$C308)&lt;&gt;1,"brak danych",IF(COUNTIFS($A$10:$A$89,$C308,$I$10:$I$89,"&lt;&gt;")=0,"brak danych",VLOOKUP($C308,$A$10:$J$89,9,FALSE)*$E308))))))</x:f>
      </x:c>
      <x:c r="K308" s="25" t="str">
        <x:f>IF($A308="","",IF(AND($C308="",$E308=""),"",IF($E308="","brak danych",IF($E308=0,0,IF(COUNTIFS($A$10:$A$89,$C308)&lt;&gt;1,"brak danych",IF(COUNTIFS($A$10:$A$89,$C308,$J$10:$J$89,"&lt;&gt;")=0,"brak danych",VLOOKUP($C308,$A$10:$J$89,10,FALSE)*$E308))))))</x:f>
      </x:c>
      <x:c r="L308" s="24" t="str">
        <x:f>IF($A308="","",IF($F308="","",IF($F308=0,0,IF(COUNTIFS($A$10:$A$89,$C308)&lt;&gt;1,"brak danych",IF(COUNTIFS($A$10:$A$89,$C308,$F$10:$F$89,"&lt;&gt;")=0,"brak danych",VLOOKUP($C308,$A$10:$J$89,6,FALSE)*$F308)))))</x:f>
      </x:c>
      <x:c r="M308" s="25" t="str">
        <x:f>IF($A308="","",IF($F308="","",IF($F308=0,0,IF(COUNTIFS($A$10:$A$89,$C308)&lt;&gt;1,"brak danych",IF(COUNTIFS($A$10:$A$89,$C308,$G$10:$G$89,"&lt;&gt;")=0,"brak danych",VLOOKUP($C308,$A$10:$J$89,7,FALSE)*$F308)))))</x:f>
      </x:c>
      <x:c r="N308" s="25" t="str">
        <x:f>IF($A308="","",IF($F308="","",IF($F308=0,0,IF(COUNTIFS($A$10:$A$89,$C308)&lt;&gt;1,"brak danych",IF(COUNTIFS($A$10:$A$89,$C308,$H$10:$H$89,"&lt;&gt;")=0,"brak danych",VLOOKUP($C308,$A$10:$J$89,8,FALSE)*$F308)))))</x:f>
      </x:c>
      <x:c r="O308" s="25" t="str">
        <x:f>IF($A308="","",IF($F308="","",IF($F308=0,0,IF(COUNTIFS($A$10:$A$89,$C308)&lt;&gt;1,"brak danych",IF(COUNTIFS($A$10:$A$89,$C308,$I$10:$I$89,"&lt;&gt;")=0,"brak danych",VLOOKUP($C308,$A$10:$J$89,9,FALSE)*$F308)))))</x:f>
      </x:c>
      <x:c r="P308" s="25" t="str">
        <x:f>IF($A308="","",IF($F308="","",IF($F308=0,0,IF(COUNTIFS($A$10:$A$89,$C308)&lt;&gt;1,"brak danych",IF(COUNTIFS($A$10:$A$89,$C308,$J$10:$J$89,"&lt;&gt;")=0,"brak danych",VLOOKUP($C308,$A$10:$J$89,10,FALSE)*$F308)))))</x:f>
      </x:c>
      <x:c r="Q308" s="18"/>
    </x:row>
    <x:row r="309" ht="25" customHeight="1">
      <x:c r="A309" s="6"/>
      <x:c r="B309" s="30"/>
      <x:c r="C309" s="5"/>
      <x:c r="D309" s="5"/>
      <x:c r="E309" s="32"/>
      <x:c r="F309" s="32"/>
      <x:c r="G309" s="24" t="str">
        <x:f>IF($A309="","",IF(AND($C309="",$E309=""),"",IF($E309="","brak danych",IF($E309=0,0,IF(COUNTIFS($A$10:$A$89,$C309)&lt;&gt;1,"brak danych",IF(COUNTIFS($A$10:$A$89,$C309,$F$10:$F$89,"&lt;&gt;")=0,"brak danych",VLOOKUP($C309,$A$10:$J$89,6,FALSE)*$E309))))))</x:f>
      </x:c>
      <x:c r="H309" s="25" t="str">
        <x:f>IF($A309="","",IF(AND($C309="",$E309=""),"",IF($E309="","brak danych",IF($E309=0,0,IF(COUNTIFS($A$10:$A$89,$C309)&lt;&gt;1,"brak danych",IF(COUNTIFS($A$10:$A$89,$C309,$G$10:$G$89,"&lt;&gt;")=0,"brak danych",VLOOKUP($C309,$A$10:$J$89,7,FALSE)*$E309))))))</x:f>
      </x:c>
      <x:c r="I309" s="25" t="str">
        <x:f>IF($A309="","",IF(AND($C309="",$E309=""),"",IF($E309="","brak danych",IF($E309=0,0,IF(COUNTIFS($A$10:$A$89,$C309)&lt;&gt;1,"brak danych",IF(COUNTIFS($A$10:$A$89,$C309,$H$10:$H$89,"&lt;&gt;")=0,"brak danych",VLOOKUP($C309,$A$10:$J$89,8,FALSE)*$E309))))))</x:f>
      </x:c>
      <x:c r="J309" s="25" t="str">
        <x:f>IF($A309="","",IF(AND($C309="",$E309=""),"",IF($E309="","brak danych",IF($E309=0,0,IF(COUNTIFS($A$10:$A$89,$C309)&lt;&gt;1,"brak danych",IF(COUNTIFS($A$10:$A$89,$C309,$I$10:$I$89,"&lt;&gt;")=0,"brak danych",VLOOKUP($C309,$A$10:$J$89,9,FALSE)*$E309))))))</x:f>
      </x:c>
      <x:c r="K309" s="25" t="str">
        <x:f>IF($A309="","",IF(AND($C309="",$E309=""),"",IF($E309="","brak danych",IF($E309=0,0,IF(COUNTIFS($A$10:$A$89,$C309)&lt;&gt;1,"brak danych",IF(COUNTIFS($A$10:$A$89,$C309,$J$10:$J$89,"&lt;&gt;")=0,"brak danych",VLOOKUP($C309,$A$10:$J$89,10,FALSE)*$E309))))))</x:f>
      </x:c>
      <x:c r="L309" s="24" t="str">
        <x:f>IF($A309="","",IF($F309="","",IF($F309=0,0,IF(COUNTIFS($A$10:$A$89,$C309)&lt;&gt;1,"brak danych",IF(COUNTIFS($A$10:$A$89,$C309,$F$10:$F$89,"&lt;&gt;")=0,"brak danych",VLOOKUP($C309,$A$10:$J$89,6,FALSE)*$F309)))))</x:f>
      </x:c>
      <x:c r="M309" s="25" t="str">
        <x:f>IF($A309="","",IF($F309="","",IF($F309=0,0,IF(COUNTIFS($A$10:$A$89,$C309)&lt;&gt;1,"brak danych",IF(COUNTIFS($A$10:$A$89,$C309,$G$10:$G$89,"&lt;&gt;")=0,"brak danych",VLOOKUP($C309,$A$10:$J$89,7,FALSE)*$F309)))))</x:f>
      </x:c>
      <x:c r="N309" s="25" t="str">
        <x:f>IF($A309="","",IF($F309="","",IF($F309=0,0,IF(COUNTIFS($A$10:$A$89,$C309)&lt;&gt;1,"brak danych",IF(COUNTIFS($A$10:$A$89,$C309,$H$10:$H$89,"&lt;&gt;")=0,"brak danych",VLOOKUP($C309,$A$10:$J$89,8,FALSE)*$F309)))))</x:f>
      </x:c>
      <x:c r="O309" s="25" t="str">
        <x:f>IF($A309="","",IF($F309="","",IF($F309=0,0,IF(COUNTIFS($A$10:$A$89,$C309)&lt;&gt;1,"brak danych",IF(COUNTIFS($A$10:$A$89,$C309,$I$10:$I$89,"&lt;&gt;")=0,"brak danych",VLOOKUP($C309,$A$10:$J$89,9,FALSE)*$F309)))))</x:f>
      </x:c>
      <x:c r="P309" s="25" t="str">
        <x:f>IF($A309="","",IF($F309="","",IF($F309=0,0,IF(COUNTIFS($A$10:$A$89,$C309)&lt;&gt;1,"brak danych",IF(COUNTIFS($A$10:$A$89,$C309,$J$10:$J$89,"&lt;&gt;")=0,"brak danych",VLOOKUP($C309,$A$10:$J$89,10,FALSE)*$F309)))))</x:f>
      </x:c>
      <x:c r="Q309" s="18"/>
    </x:row>
    <x:row r="310" ht="25" customHeight="1">
      <x:c r="A310" s="6"/>
      <x:c r="B310" s="30"/>
      <x:c r="C310" s="5"/>
      <x:c r="D310" s="5"/>
      <x:c r="E310" s="32"/>
      <x:c r="F310" s="32"/>
      <x:c r="G310" s="24" t="str">
        <x:f>IF($A310="","",IF(AND($C310="",$E310=""),"",IF($E310="","brak danych",IF($E310=0,0,IF(COUNTIFS($A$10:$A$89,$C310)&lt;&gt;1,"brak danych",IF(COUNTIFS($A$10:$A$89,$C310,$F$10:$F$89,"&lt;&gt;")=0,"brak danych",VLOOKUP($C310,$A$10:$J$89,6,FALSE)*$E310))))))</x:f>
      </x:c>
      <x:c r="H310" s="25" t="str">
        <x:f>IF($A310="","",IF(AND($C310="",$E310=""),"",IF($E310="","brak danych",IF($E310=0,0,IF(COUNTIFS($A$10:$A$89,$C310)&lt;&gt;1,"brak danych",IF(COUNTIFS($A$10:$A$89,$C310,$G$10:$G$89,"&lt;&gt;")=0,"brak danych",VLOOKUP($C310,$A$10:$J$89,7,FALSE)*$E310))))))</x:f>
      </x:c>
      <x:c r="I310" s="25" t="str">
        <x:f>IF($A310="","",IF(AND($C310="",$E310=""),"",IF($E310="","brak danych",IF($E310=0,0,IF(COUNTIFS($A$10:$A$89,$C310)&lt;&gt;1,"brak danych",IF(COUNTIFS($A$10:$A$89,$C310,$H$10:$H$89,"&lt;&gt;")=0,"brak danych",VLOOKUP($C310,$A$10:$J$89,8,FALSE)*$E310))))))</x:f>
      </x:c>
      <x:c r="J310" s="25" t="str">
        <x:f>IF($A310="","",IF(AND($C310="",$E310=""),"",IF($E310="","brak danych",IF($E310=0,0,IF(COUNTIFS($A$10:$A$89,$C310)&lt;&gt;1,"brak danych",IF(COUNTIFS($A$10:$A$89,$C310,$I$10:$I$89,"&lt;&gt;")=0,"brak danych",VLOOKUP($C310,$A$10:$J$89,9,FALSE)*$E310))))))</x:f>
      </x:c>
      <x:c r="K310" s="25" t="str">
        <x:f>IF($A310="","",IF(AND($C310="",$E310=""),"",IF($E310="","brak danych",IF($E310=0,0,IF(COUNTIFS($A$10:$A$89,$C310)&lt;&gt;1,"brak danych",IF(COUNTIFS($A$10:$A$89,$C310,$J$10:$J$89,"&lt;&gt;")=0,"brak danych",VLOOKUP($C310,$A$10:$J$89,10,FALSE)*$E310))))))</x:f>
      </x:c>
      <x:c r="L310" s="24" t="str">
        <x:f>IF($A310="","",IF($F310="","",IF($F310=0,0,IF(COUNTIFS($A$10:$A$89,$C310)&lt;&gt;1,"brak danych",IF(COUNTIFS($A$10:$A$89,$C310,$F$10:$F$89,"&lt;&gt;")=0,"brak danych",VLOOKUP($C310,$A$10:$J$89,6,FALSE)*$F310)))))</x:f>
      </x:c>
      <x:c r="M310" s="25" t="str">
        <x:f>IF($A310="","",IF($F310="","",IF($F310=0,0,IF(COUNTIFS($A$10:$A$89,$C310)&lt;&gt;1,"brak danych",IF(COUNTIFS($A$10:$A$89,$C310,$G$10:$G$89,"&lt;&gt;")=0,"brak danych",VLOOKUP($C310,$A$10:$J$89,7,FALSE)*$F310)))))</x:f>
      </x:c>
      <x:c r="N310" s="25" t="str">
        <x:f>IF($A310="","",IF($F310="","",IF($F310=0,0,IF(COUNTIFS($A$10:$A$89,$C310)&lt;&gt;1,"brak danych",IF(COUNTIFS($A$10:$A$89,$C310,$H$10:$H$89,"&lt;&gt;")=0,"brak danych",VLOOKUP($C310,$A$10:$J$89,8,FALSE)*$F310)))))</x:f>
      </x:c>
      <x:c r="O310" s="25" t="str">
        <x:f>IF($A310="","",IF($F310="","",IF($F310=0,0,IF(COUNTIFS($A$10:$A$89,$C310)&lt;&gt;1,"brak danych",IF(COUNTIFS($A$10:$A$89,$C310,$I$10:$I$89,"&lt;&gt;")=0,"brak danych",VLOOKUP($C310,$A$10:$J$89,9,FALSE)*$F310)))))</x:f>
      </x:c>
      <x:c r="P310" s="25" t="str">
        <x:f>IF($A310="","",IF($F310="","",IF($F310=0,0,IF(COUNTIFS($A$10:$A$89,$C310)&lt;&gt;1,"brak danych",IF(COUNTIFS($A$10:$A$89,$C310,$J$10:$J$89,"&lt;&gt;")=0,"brak danych",VLOOKUP($C310,$A$10:$J$89,10,FALSE)*$F310)))))</x:f>
      </x:c>
      <x:c r="Q310" s="18"/>
    </x:row>
    <x:row r="311" ht="25" customHeight="1">
      <x:c r="A311" s="6"/>
      <x:c r="B311" s="30"/>
      <x:c r="C311" s="5"/>
      <x:c r="D311" s="5"/>
      <x:c r="E311" s="32"/>
      <x:c r="F311" s="32"/>
      <x:c r="G311" s="24" t="str">
        <x:f>IF($A311="","",IF(AND($C311="",$E311=""),"",IF($E311="","brak danych",IF($E311=0,0,IF(COUNTIFS($A$10:$A$89,$C311)&lt;&gt;1,"brak danych",IF(COUNTIFS($A$10:$A$89,$C311,$F$10:$F$89,"&lt;&gt;")=0,"brak danych",VLOOKUP($C311,$A$10:$J$89,6,FALSE)*$E311))))))</x:f>
      </x:c>
      <x:c r="H311" s="25" t="str">
        <x:f>IF($A311="","",IF(AND($C311="",$E311=""),"",IF($E311="","brak danych",IF($E311=0,0,IF(COUNTIFS($A$10:$A$89,$C311)&lt;&gt;1,"brak danych",IF(COUNTIFS($A$10:$A$89,$C311,$G$10:$G$89,"&lt;&gt;")=0,"brak danych",VLOOKUP($C311,$A$10:$J$89,7,FALSE)*$E311))))))</x:f>
      </x:c>
      <x:c r="I311" s="25" t="str">
        <x:f>IF($A311="","",IF(AND($C311="",$E311=""),"",IF($E311="","brak danych",IF($E311=0,0,IF(COUNTIFS($A$10:$A$89,$C311)&lt;&gt;1,"brak danych",IF(COUNTIFS($A$10:$A$89,$C311,$H$10:$H$89,"&lt;&gt;")=0,"brak danych",VLOOKUP($C311,$A$10:$J$89,8,FALSE)*$E311))))))</x:f>
      </x:c>
      <x:c r="J311" s="25" t="str">
        <x:f>IF($A311="","",IF(AND($C311="",$E311=""),"",IF($E311="","brak danych",IF($E311=0,0,IF(COUNTIFS($A$10:$A$89,$C311)&lt;&gt;1,"brak danych",IF(COUNTIFS($A$10:$A$89,$C311,$I$10:$I$89,"&lt;&gt;")=0,"brak danych",VLOOKUP($C311,$A$10:$J$89,9,FALSE)*$E311))))))</x:f>
      </x:c>
      <x:c r="K311" s="25" t="str">
        <x:f>IF($A311="","",IF(AND($C311="",$E311=""),"",IF($E311="","brak danych",IF($E311=0,0,IF(COUNTIFS($A$10:$A$89,$C311)&lt;&gt;1,"brak danych",IF(COUNTIFS($A$10:$A$89,$C311,$J$10:$J$89,"&lt;&gt;")=0,"brak danych",VLOOKUP($C311,$A$10:$J$89,10,FALSE)*$E311))))))</x:f>
      </x:c>
      <x:c r="L311" s="24" t="str">
        <x:f>IF($A311="","",IF($F311="","",IF($F311=0,0,IF(COUNTIFS($A$10:$A$89,$C311)&lt;&gt;1,"brak danych",IF(COUNTIFS($A$10:$A$89,$C311,$F$10:$F$89,"&lt;&gt;")=0,"brak danych",VLOOKUP($C311,$A$10:$J$89,6,FALSE)*$F311)))))</x:f>
      </x:c>
      <x:c r="M311" s="25" t="str">
        <x:f>IF($A311="","",IF($F311="","",IF($F311=0,0,IF(COUNTIFS($A$10:$A$89,$C311)&lt;&gt;1,"brak danych",IF(COUNTIFS($A$10:$A$89,$C311,$G$10:$G$89,"&lt;&gt;")=0,"brak danych",VLOOKUP($C311,$A$10:$J$89,7,FALSE)*$F311)))))</x:f>
      </x:c>
      <x:c r="N311" s="25" t="str">
        <x:f>IF($A311="","",IF($F311="","",IF($F311=0,0,IF(COUNTIFS($A$10:$A$89,$C311)&lt;&gt;1,"brak danych",IF(COUNTIFS($A$10:$A$89,$C311,$H$10:$H$89,"&lt;&gt;")=0,"brak danych",VLOOKUP($C311,$A$10:$J$89,8,FALSE)*$F311)))))</x:f>
      </x:c>
      <x:c r="O311" s="25" t="str">
        <x:f>IF($A311="","",IF($F311="","",IF($F311=0,0,IF(COUNTIFS($A$10:$A$89,$C311)&lt;&gt;1,"brak danych",IF(COUNTIFS($A$10:$A$89,$C311,$I$10:$I$89,"&lt;&gt;")=0,"brak danych",VLOOKUP($C311,$A$10:$J$89,9,FALSE)*$F311)))))</x:f>
      </x:c>
      <x:c r="P311" s="25" t="str">
        <x:f>IF($A311="","",IF($F311="","",IF($F311=0,0,IF(COUNTIFS($A$10:$A$89,$C311)&lt;&gt;1,"brak danych",IF(COUNTIFS($A$10:$A$89,$C311,$J$10:$J$89,"&lt;&gt;")=0,"brak danych",VLOOKUP($C311,$A$10:$J$89,10,FALSE)*$F311)))))</x:f>
      </x:c>
      <x:c r="Q311" s="18"/>
    </x:row>
    <x:row r="312" ht="25" customHeight="1">
      <x:c r="A312" s="6"/>
      <x:c r="B312" s="30"/>
      <x:c r="C312" s="5"/>
      <x:c r="D312" s="5"/>
      <x:c r="E312" s="32"/>
      <x:c r="F312" s="32"/>
      <x:c r="G312" s="24" t="str">
        <x:f>IF($A312="","",IF(AND($C312="",$E312=""),"",IF($E312="","brak danych",IF($E312=0,0,IF(COUNTIFS($A$10:$A$89,$C312)&lt;&gt;1,"brak danych",IF(COUNTIFS($A$10:$A$89,$C312,$F$10:$F$89,"&lt;&gt;")=0,"brak danych",VLOOKUP($C312,$A$10:$J$89,6,FALSE)*$E312))))))</x:f>
      </x:c>
      <x:c r="H312" s="25" t="str">
        <x:f>IF($A312="","",IF(AND($C312="",$E312=""),"",IF($E312="","brak danych",IF($E312=0,0,IF(COUNTIFS($A$10:$A$89,$C312)&lt;&gt;1,"brak danych",IF(COUNTIFS($A$10:$A$89,$C312,$G$10:$G$89,"&lt;&gt;")=0,"brak danych",VLOOKUP($C312,$A$10:$J$89,7,FALSE)*$E312))))))</x:f>
      </x:c>
      <x:c r="I312" s="25" t="str">
        <x:f>IF($A312="","",IF(AND($C312="",$E312=""),"",IF($E312="","brak danych",IF($E312=0,0,IF(COUNTIFS($A$10:$A$89,$C312)&lt;&gt;1,"brak danych",IF(COUNTIFS($A$10:$A$89,$C312,$H$10:$H$89,"&lt;&gt;")=0,"brak danych",VLOOKUP($C312,$A$10:$J$89,8,FALSE)*$E312))))))</x:f>
      </x:c>
      <x:c r="J312" s="25" t="str">
        <x:f>IF($A312="","",IF(AND($C312="",$E312=""),"",IF($E312="","brak danych",IF($E312=0,0,IF(COUNTIFS($A$10:$A$89,$C312)&lt;&gt;1,"brak danych",IF(COUNTIFS($A$10:$A$89,$C312,$I$10:$I$89,"&lt;&gt;")=0,"brak danych",VLOOKUP($C312,$A$10:$J$89,9,FALSE)*$E312))))))</x:f>
      </x:c>
      <x:c r="K312" s="25" t="str">
        <x:f>IF($A312="","",IF(AND($C312="",$E312=""),"",IF($E312="","brak danych",IF($E312=0,0,IF(COUNTIFS($A$10:$A$89,$C312)&lt;&gt;1,"brak danych",IF(COUNTIFS($A$10:$A$89,$C312,$J$10:$J$89,"&lt;&gt;")=0,"brak danych",VLOOKUP($C312,$A$10:$J$89,10,FALSE)*$E312))))))</x:f>
      </x:c>
      <x:c r="L312" s="24" t="str">
        <x:f>IF($A312="","",IF($F312="","",IF($F312=0,0,IF(COUNTIFS($A$10:$A$89,$C312)&lt;&gt;1,"brak danych",IF(COUNTIFS($A$10:$A$89,$C312,$F$10:$F$89,"&lt;&gt;")=0,"brak danych",VLOOKUP($C312,$A$10:$J$89,6,FALSE)*$F312)))))</x:f>
      </x:c>
      <x:c r="M312" s="25" t="str">
        <x:f>IF($A312="","",IF($F312="","",IF($F312=0,0,IF(COUNTIFS($A$10:$A$89,$C312)&lt;&gt;1,"brak danych",IF(COUNTIFS($A$10:$A$89,$C312,$G$10:$G$89,"&lt;&gt;")=0,"brak danych",VLOOKUP($C312,$A$10:$J$89,7,FALSE)*$F312)))))</x:f>
      </x:c>
      <x:c r="N312" s="25" t="str">
        <x:f>IF($A312="","",IF($F312="","",IF($F312=0,0,IF(COUNTIFS($A$10:$A$89,$C312)&lt;&gt;1,"brak danych",IF(COUNTIFS($A$10:$A$89,$C312,$H$10:$H$89,"&lt;&gt;")=0,"brak danych",VLOOKUP($C312,$A$10:$J$89,8,FALSE)*$F312)))))</x:f>
      </x:c>
      <x:c r="O312" s="25" t="str">
        <x:f>IF($A312="","",IF($F312="","",IF($F312=0,0,IF(COUNTIFS($A$10:$A$89,$C312)&lt;&gt;1,"brak danych",IF(COUNTIFS($A$10:$A$89,$C312,$I$10:$I$89,"&lt;&gt;")=0,"brak danych",VLOOKUP($C312,$A$10:$J$89,9,FALSE)*$F312)))))</x:f>
      </x:c>
      <x:c r="P312" s="25" t="str">
        <x:f>IF($A312="","",IF($F312="","",IF($F312=0,0,IF(COUNTIFS($A$10:$A$89,$C312)&lt;&gt;1,"brak danych",IF(COUNTIFS($A$10:$A$89,$C312,$J$10:$J$89,"&lt;&gt;")=0,"brak danych",VLOOKUP($C312,$A$10:$J$89,10,FALSE)*$F312)))))</x:f>
      </x:c>
      <x:c r="Q312" s="18"/>
    </x:row>
    <x:row r="313" ht="25" customHeight="1">
      <x:c r="A313" s="6"/>
      <x:c r="B313" s="30"/>
      <x:c r="C313" s="5"/>
      <x:c r="D313" s="5"/>
      <x:c r="E313" s="32"/>
      <x:c r="F313" s="32"/>
      <x:c r="G313" s="24" t="str">
        <x:f>IF($A313="","",IF(AND($C313="",$E313=""),"",IF($E313="","brak danych",IF($E313=0,0,IF(COUNTIFS($A$10:$A$89,$C313)&lt;&gt;1,"brak danych",IF(COUNTIFS($A$10:$A$89,$C313,$F$10:$F$89,"&lt;&gt;")=0,"brak danych",VLOOKUP($C313,$A$10:$J$89,6,FALSE)*$E313))))))</x:f>
      </x:c>
      <x:c r="H313" s="25" t="str">
        <x:f>IF($A313="","",IF(AND($C313="",$E313=""),"",IF($E313="","brak danych",IF($E313=0,0,IF(COUNTIFS($A$10:$A$89,$C313)&lt;&gt;1,"brak danych",IF(COUNTIFS($A$10:$A$89,$C313,$G$10:$G$89,"&lt;&gt;")=0,"brak danych",VLOOKUP($C313,$A$10:$J$89,7,FALSE)*$E313))))))</x:f>
      </x:c>
      <x:c r="I313" s="25" t="str">
        <x:f>IF($A313="","",IF(AND($C313="",$E313=""),"",IF($E313="","brak danych",IF($E313=0,0,IF(COUNTIFS($A$10:$A$89,$C313)&lt;&gt;1,"brak danych",IF(COUNTIFS($A$10:$A$89,$C313,$H$10:$H$89,"&lt;&gt;")=0,"brak danych",VLOOKUP($C313,$A$10:$J$89,8,FALSE)*$E313))))))</x:f>
      </x:c>
      <x:c r="J313" s="25" t="str">
        <x:f>IF($A313="","",IF(AND($C313="",$E313=""),"",IF($E313="","brak danych",IF($E313=0,0,IF(COUNTIFS($A$10:$A$89,$C313)&lt;&gt;1,"brak danych",IF(COUNTIFS($A$10:$A$89,$C313,$I$10:$I$89,"&lt;&gt;")=0,"brak danych",VLOOKUP($C313,$A$10:$J$89,9,FALSE)*$E313))))))</x:f>
      </x:c>
      <x:c r="K313" s="25" t="str">
        <x:f>IF($A313="","",IF(AND($C313="",$E313=""),"",IF($E313="","brak danych",IF($E313=0,0,IF(COUNTIFS($A$10:$A$89,$C313)&lt;&gt;1,"brak danych",IF(COUNTIFS($A$10:$A$89,$C313,$J$10:$J$89,"&lt;&gt;")=0,"brak danych",VLOOKUP($C313,$A$10:$J$89,10,FALSE)*$E313))))))</x:f>
      </x:c>
      <x:c r="L313" s="24" t="str">
        <x:f>IF($A313="","",IF($F313="","",IF($F313=0,0,IF(COUNTIFS($A$10:$A$89,$C313)&lt;&gt;1,"brak danych",IF(COUNTIFS($A$10:$A$89,$C313,$F$10:$F$89,"&lt;&gt;")=0,"brak danych",VLOOKUP($C313,$A$10:$J$89,6,FALSE)*$F313)))))</x:f>
      </x:c>
      <x:c r="M313" s="25" t="str">
        <x:f>IF($A313="","",IF($F313="","",IF($F313=0,0,IF(COUNTIFS($A$10:$A$89,$C313)&lt;&gt;1,"brak danych",IF(COUNTIFS($A$10:$A$89,$C313,$G$10:$G$89,"&lt;&gt;")=0,"brak danych",VLOOKUP($C313,$A$10:$J$89,7,FALSE)*$F313)))))</x:f>
      </x:c>
      <x:c r="N313" s="25" t="str">
        <x:f>IF($A313="","",IF($F313="","",IF($F313=0,0,IF(COUNTIFS($A$10:$A$89,$C313)&lt;&gt;1,"brak danych",IF(COUNTIFS($A$10:$A$89,$C313,$H$10:$H$89,"&lt;&gt;")=0,"brak danych",VLOOKUP($C313,$A$10:$J$89,8,FALSE)*$F313)))))</x:f>
      </x:c>
      <x:c r="O313" s="25" t="str">
        <x:f>IF($A313="","",IF($F313="","",IF($F313=0,0,IF(COUNTIFS($A$10:$A$89,$C313)&lt;&gt;1,"brak danych",IF(COUNTIFS($A$10:$A$89,$C313,$I$10:$I$89,"&lt;&gt;")=0,"brak danych",VLOOKUP($C313,$A$10:$J$89,9,FALSE)*$F313)))))</x:f>
      </x:c>
      <x:c r="P313" s="25" t="str">
        <x:f>IF($A313="","",IF($F313="","",IF($F313=0,0,IF(COUNTIFS($A$10:$A$89,$C313)&lt;&gt;1,"brak danych",IF(COUNTIFS($A$10:$A$89,$C313,$J$10:$J$89,"&lt;&gt;")=0,"brak danych",VLOOKUP($C313,$A$10:$J$89,10,FALSE)*$F313)))))</x:f>
      </x:c>
      <x:c r="Q313" s="18"/>
    </x:row>
    <x:row r="314" ht="25" customHeight="1">
      <x:c r="A314" s="6"/>
      <x:c r="B314" s="30"/>
      <x:c r="C314" s="5"/>
      <x:c r="D314" s="5"/>
      <x:c r="E314" s="32"/>
      <x:c r="F314" s="32"/>
      <x:c r="G314" s="24" t="str">
        <x:f>IF($A314="","",IF(AND($C314="",$E314=""),"",IF($E314="","brak danych",IF($E314=0,0,IF(COUNTIFS($A$10:$A$89,$C314)&lt;&gt;1,"brak danych",IF(COUNTIFS($A$10:$A$89,$C314,$F$10:$F$89,"&lt;&gt;")=0,"brak danych",VLOOKUP($C314,$A$10:$J$89,6,FALSE)*$E314))))))</x:f>
      </x:c>
      <x:c r="H314" s="25" t="str">
        <x:f>IF($A314="","",IF(AND($C314="",$E314=""),"",IF($E314="","brak danych",IF($E314=0,0,IF(COUNTIFS($A$10:$A$89,$C314)&lt;&gt;1,"brak danych",IF(COUNTIFS($A$10:$A$89,$C314,$G$10:$G$89,"&lt;&gt;")=0,"brak danych",VLOOKUP($C314,$A$10:$J$89,7,FALSE)*$E314))))))</x:f>
      </x:c>
      <x:c r="I314" s="25" t="str">
        <x:f>IF($A314="","",IF(AND($C314="",$E314=""),"",IF($E314="","brak danych",IF($E314=0,0,IF(COUNTIFS($A$10:$A$89,$C314)&lt;&gt;1,"brak danych",IF(COUNTIFS($A$10:$A$89,$C314,$H$10:$H$89,"&lt;&gt;")=0,"brak danych",VLOOKUP($C314,$A$10:$J$89,8,FALSE)*$E314))))))</x:f>
      </x:c>
      <x:c r="J314" s="25" t="str">
        <x:f>IF($A314="","",IF(AND($C314="",$E314=""),"",IF($E314="","brak danych",IF($E314=0,0,IF(COUNTIFS($A$10:$A$89,$C314)&lt;&gt;1,"brak danych",IF(COUNTIFS($A$10:$A$89,$C314,$I$10:$I$89,"&lt;&gt;")=0,"brak danych",VLOOKUP($C314,$A$10:$J$89,9,FALSE)*$E314))))))</x:f>
      </x:c>
      <x:c r="K314" s="25" t="str">
        <x:f>IF($A314="","",IF(AND($C314="",$E314=""),"",IF($E314="","brak danych",IF($E314=0,0,IF(COUNTIFS($A$10:$A$89,$C314)&lt;&gt;1,"brak danych",IF(COUNTIFS($A$10:$A$89,$C314,$J$10:$J$89,"&lt;&gt;")=0,"brak danych",VLOOKUP($C314,$A$10:$J$89,10,FALSE)*$E314))))))</x:f>
      </x:c>
      <x:c r="L314" s="24" t="str">
        <x:f>IF($A314="","",IF($F314="","",IF($F314=0,0,IF(COUNTIFS($A$10:$A$89,$C314)&lt;&gt;1,"brak danych",IF(COUNTIFS($A$10:$A$89,$C314,$F$10:$F$89,"&lt;&gt;")=0,"brak danych",VLOOKUP($C314,$A$10:$J$89,6,FALSE)*$F314)))))</x:f>
      </x:c>
      <x:c r="M314" s="25" t="str">
        <x:f>IF($A314="","",IF($F314="","",IF($F314=0,0,IF(COUNTIFS($A$10:$A$89,$C314)&lt;&gt;1,"brak danych",IF(COUNTIFS($A$10:$A$89,$C314,$G$10:$G$89,"&lt;&gt;")=0,"brak danych",VLOOKUP($C314,$A$10:$J$89,7,FALSE)*$F314)))))</x:f>
      </x:c>
      <x:c r="N314" s="25" t="str">
        <x:f>IF($A314="","",IF($F314="","",IF($F314=0,0,IF(COUNTIFS($A$10:$A$89,$C314)&lt;&gt;1,"brak danych",IF(COUNTIFS($A$10:$A$89,$C314,$H$10:$H$89,"&lt;&gt;")=0,"brak danych",VLOOKUP($C314,$A$10:$J$89,8,FALSE)*$F314)))))</x:f>
      </x:c>
      <x:c r="O314" s="25" t="str">
        <x:f>IF($A314="","",IF($F314="","",IF($F314=0,0,IF(COUNTIFS($A$10:$A$89,$C314)&lt;&gt;1,"brak danych",IF(COUNTIFS($A$10:$A$89,$C314,$I$10:$I$89,"&lt;&gt;")=0,"brak danych",VLOOKUP($C314,$A$10:$J$89,9,FALSE)*$F314)))))</x:f>
      </x:c>
      <x:c r="P314" s="25" t="str">
        <x:f>IF($A314="","",IF($F314="","",IF($F314=0,0,IF(COUNTIFS($A$10:$A$89,$C314)&lt;&gt;1,"brak danych",IF(COUNTIFS($A$10:$A$89,$C314,$J$10:$J$89,"&lt;&gt;")=0,"brak danych",VLOOKUP($C314,$A$10:$J$89,10,FALSE)*$F314)))))</x:f>
      </x:c>
      <x:c r="Q314" s="18"/>
    </x:row>
    <x:row r="315" ht="25" customHeight="1">
      <x:c r="A315" s="6"/>
      <x:c r="B315" s="30"/>
      <x:c r="C315" s="5"/>
      <x:c r="D315" s="5"/>
      <x:c r="E315" s="32"/>
      <x:c r="F315" s="32"/>
      <x:c r="G315" s="24" t="str">
        <x:f>IF($A315="","",IF(AND($C315="",$E315=""),"",IF($E315="","brak danych",IF($E315=0,0,IF(COUNTIFS($A$10:$A$89,$C315)&lt;&gt;1,"brak danych",IF(COUNTIFS($A$10:$A$89,$C315,$F$10:$F$89,"&lt;&gt;")=0,"brak danych",VLOOKUP($C315,$A$10:$J$89,6,FALSE)*$E315))))))</x:f>
      </x:c>
      <x:c r="H315" s="25" t="str">
        <x:f>IF($A315="","",IF(AND($C315="",$E315=""),"",IF($E315="","brak danych",IF($E315=0,0,IF(COUNTIFS($A$10:$A$89,$C315)&lt;&gt;1,"brak danych",IF(COUNTIFS($A$10:$A$89,$C315,$G$10:$G$89,"&lt;&gt;")=0,"brak danych",VLOOKUP($C315,$A$10:$J$89,7,FALSE)*$E315))))))</x:f>
      </x:c>
      <x:c r="I315" s="25" t="str">
        <x:f>IF($A315="","",IF(AND($C315="",$E315=""),"",IF($E315="","brak danych",IF($E315=0,0,IF(COUNTIFS($A$10:$A$89,$C315)&lt;&gt;1,"brak danych",IF(COUNTIFS($A$10:$A$89,$C315,$H$10:$H$89,"&lt;&gt;")=0,"brak danych",VLOOKUP($C315,$A$10:$J$89,8,FALSE)*$E315))))))</x:f>
      </x:c>
      <x:c r="J315" s="25" t="str">
        <x:f>IF($A315="","",IF(AND($C315="",$E315=""),"",IF($E315="","brak danych",IF($E315=0,0,IF(COUNTIFS($A$10:$A$89,$C315)&lt;&gt;1,"brak danych",IF(COUNTIFS($A$10:$A$89,$C315,$I$10:$I$89,"&lt;&gt;")=0,"brak danych",VLOOKUP($C315,$A$10:$J$89,9,FALSE)*$E315))))))</x:f>
      </x:c>
      <x:c r="K315" s="25" t="str">
        <x:f>IF($A315="","",IF(AND($C315="",$E315=""),"",IF($E315="","brak danych",IF($E315=0,0,IF(COUNTIFS($A$10:$A$89,$C315)&lt;&gt;1,"brak danych",IF(COUNTIFS($A$10:$A$89,$C315,$J$10:$J$89,"&lt;&gt;")=0,"brak danych",VLOOKUP($C315,$A$10:$J$89,10,FALSE)*$E315))))))</x:f>
      </x:c>
      <x:c r="L315" s="24" t="str">
        <x:f>IF($A315="","",IF($F315="","",IF($F315=0,0,IF(COUNTIFS($A$10:$A$89,$C315)&lt;&gt;1,"brak danych",IF(COUNTIFS($A$10:$A$89,$C315,$F$10:$F$89,"&lt;&gt;")=0,"brak danych",VLOOKUP($C315,$A$10:$J$89,6,FALSE)*$F315)))))</x:f>
      </x:c>
      <x:c r="M315" s="25" t="str">
        <x:f>IF($A315="","",IF($F315="","",IF($F315=0,0,IF(COUNTIFS($A$10:$A$89,$C315)&lt;&gt;1,"brak danych",IF(COUNTIFS($A$10:$A$89,$C315,$G$10:$G$89,"&lt;&gt;")=0,"brak danych",VLOOKUP($C315,$A$10:$J$89,7,FALSE)*$F315)))))</x:f>
      </x:c>
      <x:c r="N315" s="25" t="str">
        <x:f>IF($A315="","",IF($F315="","",IF($F315=0,0,IF(COUNTIFS($A$10:$A$89,$C315)&lt;&gt;1,"brak danych",IF(COUNTIFS($A$10:$A$89,$C315,$H$10:$H$89,"&lt;&gt;")=0,"brak danych",VLOOKUP($C315,$A$10:$J$89,8,FALSE)*$F315)))))</x:f>
      </x:c>
      <x:c r="O315" s="25" t="str">
        <x:f>IF($A315="","",IF($F315="","",IF($F315=0,0,IF(COUNTIFS($A$10:$A$89,$C315)&lt;&gt;1,"brak danych",IF(COUNTIFS($A$10:$A$89,$C315,$I$10:$I$89,"&lt;&gt;")=0,"brak danych",VLOOKUP($C315,$A$10:$J$89,9,FALSE)*$F315)))))</x:f>
      </x:c>
      <x:c r="P315" s="25" t="str">
        <x:f>IF($A315="","",IF($F315="","",IF($F315=0,0,IF(COUNTIFS($A$10:$A$89,$C315)&lt;&gt;1,"brak danych",IF(COUNTIFS($A$10:$A$89,$C315,$J$10:$J$89,"&lt;&gt;")=0,"brak danych",VLOOKUP($C315,$A$10:$J$89,10,FALSE)*$F315)))))</x:f>
      </x:c>
      <x:c r="Q315" s="18"/>
    </x:row>
    <x:row r="316" ht="25" customHeight="1">
      <x:c r="A316" s="6"/>
      <x:c r="B316" s="30"/>
      <x:c r="C316" s="5"/>
      <x:c r="D316" s="5"/>
      <x:c r="E316" s="32"/>
      <x:c r="F316" s="32"/>
      <x:c r="G316" s="24" t="str">
        <x:f>IF($A316="","",IF(AND($C316="",$E316=""),"",IF($E316="","brak danych",IF($E316=0,0,IF(COUNTIFS($A$10:$A$89,$C316)&lt;&gt;1,"brak danych",IF(COUNTIFS($A$10:$A$89,$C316,$F$10:$F$89,"&lt;&gt;")=0,"brak danych",VLOOKUP($C316,$A$10:$J$89,6,FALSE)*$E316))))))</x:f>
      </x:c>
      <x:c r="H316" s="25" t="str">
        <x:f>IF($A316="","",IF(AND($C316="",$E316=""),"",IF($E316="","brak danych",IF($E316=0,0,IF(COUNTIFS($A$10:$A$89,$C316)&lt;&gt;1,"brak danych",IF(COUNTIFS($A$10:$A$89,$C316,$G$10:$G$89,"&lt;&gt;")=0,"brak danych",VLOOKUP($C316,$A$10:$J$89,7,FALSE)*$E316))))))</x:f>
      </x:c>
      <x:c r="I316" s="25" t="str">
        <x:f>IF($A316="","",IF(AND($C316="",$E316=""),"",IF($E316="","brak danych",IF($E316=0,0,IF(COUNTIFS($A$10:$A$89,$C316)&lt;&gt;1,"brak danych",IF(COUNTIFS($A$10:$A$89,$C316,$H$10:$H$89,"&lt;&gt;")=0,"brak danych",VLOOKUP($C316,$A$10:$J$89,8,FALSE)*$E316))))))</x:f>
      </x:c>
      <x:c r="J316" s="25" t="str">
        <x:f>IF($A316="","",IF(AND($C316="",$E316=""),"",IF($E316="","brak danych",IF($E316=0,0,IF(COUNTIFS($A$10:$A$89,$C316)&lt;&gt;1,"brak danych",IF(COUNTIFS($A$10:$A$89,$C316,$I$10:$I$89,"&lt;&gt;")=0,"brak danych",VLOOKUP($C316,$A$10:$J$89,9,FALSE)*$E316))))))</x:f>
      </x:c>
      <x:c r="K316" s="25" t="str">
        <x:f>IF($A316="","",IF(AND($C316="",$E316=""),"",IF($E316="","brak danych",IF($E316=0,0,IF(COUNTIFS($A$10:$A$89,$C316)&lt;&gt;1,"brak danych",IF(COUNTIFS($A$10:$A$89,$C316,$J$10:$J$89,"&lt;&gt;")=0,"brak danych",VLOOKUP($C316,$A$10:$J$89,10,FALSE)*$E316))))))</x:f>
      </x:c>
      <x:c r="L316" s="24" t="str">
        <x:f>IF($A316="","",IF($F316="","",IF($F316=0,0,IF(COUNTIFS($A$10:$A$89,$C316)&lt;&gt;1,"brak danych",IF(COUNTIFS($A$10:$A$89,$C316,$F$10:$F$89,"&lt;&gt;")=0,"brak danych",VLOOKUP($C316,$A$10:$J$89,6,FALSE)*$F316)))))</x:f>
      </x:c>
      <x:c r="M316" s="25" t="str">
        <x:f>IF($A316="","",IF($F316="","",IF($F316=0,0,IF(COUNTIFS($A$10:$A$89,$C316)&lt;&gt;1,"brak danych",IF(COUNTIFS($A$10:$A$89,$C316,$G$10:$G$89,"&lt;&gt;")=0,"brak danych",VLOOKUP($C316,$A$10:$J$89,7,FALSE)*$F316)))))</x:f>
      </x:c>
      <x:c r="N316" s="25" t="str">
        <x:f>IF($A316="","",IF($F316="","",IF($F316=0,0,IF(COUNTIFS($A$10:$A$89,$C316)&lt;&gt;1,"brak danych",IF(COUNTIFS($A$10:$A$89,$C316,$H$10:$H$89,"&lt;&gt;")=0,"brak danych",VLOOKUP($C316,$A$10:$J$89,8,FALSE)*$F316)))))</x:f>
      </x:c>
      <x:c r="O316" s="25" t="str">
        <x:f>IF($A316="","",IF($F316="","",IF($F316=0,0,IF(COUNTIFS($A$10:$A$89,$C316)&lt;&gt;1,"brak danych",IF(COUNTIFS($A$10:$A$89,$C316,$I$10:$I$89,"&lt;&gt;")=0,"brak danych",VLOOKUP($C316,$A$10:$J$89,9,FALSE)*$F316)))))</x:f>
      </x:c>
      <x:c r="P316" s="25" t="str">
        <x:f>IF($A316="","",IF($F316="","",IF($F316=0,0,IF(COUNTIFS($A$10:$A$89,$C316)&lt;&gt;1,"brak danych",IF(COUNTIFS($A$10:$A$89,$C316,$J$10:$J$89,"&lt;&gt;")=0,"brak danych",VLOOKUP($C316,$A$10:$J$89,10,FALSE)*$F316)))))</x:f>
      </x:c>
      <x:c r="Q316" s="18"/>
    </x:row>
    <x:row r="317" ht="25" customHeight="1">
      <x:c r="A317" s="6"/>
      <x:c r="B317" s="30"/>
      <x:c r="C317" s="5"/>
      <x:c r="D317" s="5"/>
      <x:c r="E317" s="32"/>
      <x:c r="F317" s="32"/>
      <x:c r="G317" s="24" t="str">
        <x:f>IF($A317="","",IF(AND($C317="",$E317=""),"",IF($E317="","brak danych",IF($E317=0,0,IF(COUNTIFS($A$10:$A$89,$C317)&lt;&gt;1,"brak danych",IF(COUNTIFS($A$10:$A$89,$C317,$F$10:$F$89,"&lt;&gt;")=0,"brak danych",VLOOKUP($C317,$A$10:$J$89,6,FALSE)*$E317))))))</x:f>
      </x:c>
      <x:c r="H317" s="25" t="str">
        <x:f>IF($A317="","",IF(AND($C317="",$E317=""),"",IF($E317="","brak danych",IF($E317=0,0,IF(COUNTIFS($A$10:$A$89,$C317)&lt;&gt;1,"brak danych",IF(COUNTIFS($A$10:$A$89,$C317,$G$10:$G$89,"&lt;&gt;")=0,"brak danych",VLOOKUP($C317,$A$10:$J$89,7,FALSE)*$E317))))))</x:f>
      </x:c>
      <x:c r="I317" s="25" t="str">
        <x:f>IF($A317="","",IF(AND($C317="",$E317=""),"",IF($E317="","brak danych",IF($E317=0,0,IF(COUNTIFS($A$10:$A$89,$C317)&lt;&gt;1,"brak danych",IF(COUNTIFS($A$10:$A$89,$C317,$H$10:$H$89,"&lt;&gt;")=0,"brak danych",VLOOKUP($C317,$A$10:$J$89,8,FALSE)*$E317))))))</x:f>
      </x:c>
      <x:c r="J317" s="25" t="str">
        <x:f>IF($A317="","",IF(AND($C317="",$E317=""),"",IF($E317="","brak danych",IF($E317=0,0,IF(COUNTIFS($A$10:$A$89,$C317)&lt;&gt;1,"brak danych",IF(COUNTIFS($A$10:$A$89,$C317,$I$10:$I$89,"&lt;&gt;")=0,"brak danych",VLOOKUP($C317,$A$10:$J$89,9,FALSE)*$E317))))))</x:f>
      </x:c>
      <x:c r="K317" s="25" t="str">
        <x:f>IF($A317="","",IF(AND($C317="",$E317=""),"",IF($E317="","brak danych",IF($E317=0,0,IF(COUNTIFS($A$10:$A$89,$C317)&lt;&gt;1,"brak danych",IF(COUNTIFS($A$10:$A$89,$C317,$J$10:$J$89,"&lt;&gt;")=0,"brak danych",VLOOKUP($C317,$A$10:$J$89,10,FALSE)*$E317))))))</x:f>
      </x:c>
      <x:c r="L317" s="24" t="str">
        <x:f>IF($A317="","",IF($F317="","",IF($F317=0,0,IF(COUNTIFS($A$10:$A$89,$C317)&lt;&gt;1,"brak danych",IF(COUNTIFS($A$10:$A$89,$C317,$F$10:$F$89,"&lt;&gt;")=0,"brak danych",VLOOKUP($C317,$A$10:$J$89,6,FALSE)*$F317)))))</x:f>
      </x:c>
      <x:c r="M317" s="25" t="str">
        <x:f>IF($A317="","",IF($F317="","",IF($F317=0,0,IF(COUNTIFS($A$10:$A$89,$C317)&lt;&gt;1,"brak danych",IF(COUNTIFS($A$10:$A$89,$C317,$G$10:$G$89,"&lt;&gt;")=0,"brak danych",VLOOKUP($C317,$A$10:$J$89,7,FALSE)*$F317)))))</x:f>
      </x:c>
      <x:c r="N317" s="25" t="str">
        <x:f>IF($A317="","",IF($F317="","",IF($F317=0,0,IF(COUNTIFS($A$10:$A$89,$C317)&lt;&gt;1,"brak danych",IF(COUNTIFS($A$10:$A$89,$C317,$H$10:$H$89,"&lt;&gt;")=0,"brak danych",VLOOKUP($C317,$A$10:$J$89,8,FALSE)*$F317)))))</x:f>
      </x:c>
      <x:c r="O317" s="25" t="str">
        <x:f>IF($A317="","",IF($F317="","",IF($F317=0,0,IF(COUNTIFS($A$10:$A$89,$C317)&lt;&gt;1,"brak danych",IF(COUNTIFS($A$10:$A$89,$C317,$I$10:$I$89,"&lt;&gt;")=0,"brak danych",VLOOKUP($C317,$A$10:$J$89,9,FALSE)*$F317)))))</x:f>
      </x:c>
      <x:c r="P317" s="25" t="str">
        <x:f>IF($A317="","",IF($F317="","",IF($F317=0,0,IF(COUNTIFS($A$10:$A$89,$C317)&lt;&gt;1,"brak danych",IF(COUNTIFS($A$10:$A$89,$C317,$J$10:$J$89,"&lt;&gt;")=0,"brak danych",VLOOKUP($C317,$A$10:$J$89,10,FALSE)*$F317)))))</x:f>
      </x:c>
      <x:c r="Q317" s="18"/>
    </x:row>
    <x:row r="318" ht="25" customHeight="1">
      <x:c r="A318" s="6"/>
      <x:c r="B318" s="30"/>
      <x:c r="C318" s="5"/>
      <x:c r="D318" s="5"/>
      <x:c r="E318" s="32"/>
      <x:c r="F318" s="32"/>
      <x:c r="G318" s="24" t="str">
        <x:f>IF($A318="","",IF(AND($C318="",$E318=""),"",IF($E318="","brak danych",IF($E318=0,0,IF(COUNTIFS($A$10:$A$89,$C318)&lt;&gt;1,"brak danych",IF(COUNTIFS($A$10:$A$89,$C318,$F$10:$F$89,"&lt;&gt;")=0,"brak danych",VLOOKUP($C318,$A$10:$J$89,6,FALSE)*$E318))))))</x:f>
      </x:c>
      <x:c r="H318" s="25" t="str">
        <x:f>IF($A318="","",IF(AND($C318="",$E318=""),"",IF($E318="","brak danych",IF($E318=0,0,IF(COUNTIFS($A$10:$A$89,$C318)&lt;&gt;1,"brak danych",IF(COUNTIFS($A$10:$A$89,$C318,$G$10:$G$89,"&lt;&gt;")=0,"brak danych",VLOOKUP($C318,$A$10:$J$89,7,FALSE)*$E318))))))</x:f>
      </x:c>
      <x:c r="I318" s="25" t="str">
        <x:f>IF($A318="","",IF(AND($C318="",$E318=""),"",IF($E318="","brak danych",IF($E318=0,0,IF(COUNTIFS($A$10:$A$89,$C318)&lt;&gt;1,"brak danych",IF(COUNTIFS($A$10:$A$89,$C318,$H$10:$H$89,"&lt;&gt;")=0,"brak danych",VLOOKUP($C318,$A$10:$J$89,8,FALSE)*$E318))))))</x:f>
      </x:c>
      <x:c r="J318" s="25" t="str">
        <x:f>IF($A318="","",IF(AND($C318="",$E318=""),"",IF($E318="","brak danych",IF($E318=0,0,IF(COUNTIFS($A$10:$A$89,$C318)&lt;&gt;1,"brak danych",IF(COUNTIFS($A$10:$A$89,$C318,$I$10:$I$89,"&lt;&gt;")=0,"brak danych",VLOOKUP($C318,$A$10:$J$89,9,FALSE)*$E318))))))</x:f>
      </x:c>
      <x:c r="K318" s="25" t="str">
        <x:f>IF($A318="","",IF(AND($C318="",$E318=""),"",IF($E318="","brak danych",IF($E318=0,0,IF(COUNTIFS($A$10:$A$89,$C318)&lt;&gt;1,"brak danych",IF(COUNTIFS($A$10:$A$89,$C318,$J$10:$J$89,"&lt;&gt;")=0,"brak danych",VLOOKUP($C318,$A$10:$J$89,10,FALSE)*$E318))))))</x:f>
      </x:c>
      <x:c r="L318" s="24" t="str">
        <x:f>IF($A318="","",IF($F318="","",IF($F318=0,0,IF(COUNTIFS($A$10:$A$89,$C318)&lt;&gt;1,"brak danych",IF(COUNTIFS($A$10:$A$89,$C318,$F$10:$F$89,"&lt;&gt;")=0,"brak danych",VLOOKUP($C318,$A$10:$J$89,6,FALSE)*$F318)))))</x:f>
      </x:c>
      <x:c r="M318" s="25" t="str">
        <x:f>IF($A318="","",IF($F318="","",IF($F318=0,0,IF(COUNTIFS($A$10:$A$89,$C318)&lt;&gt;1,"brak danych",IF(COUNTIFS($A$10:$A$89,$C318,$G$10:$G$89,"&lt;&gt;")=0,"brak danych",VLOOKUP($C318,$A$10:$J$89,7,FALSE)*$F318)))))</x:f>
      </x:c>
      <x:c r="N318" s="25" t="str">
        <x:f>IF($A318="","",IF($F318="","",IF($F318=0,0,IF(COUNTIFS($A$10:$A$89,$C318)&lt;&gt;1,"brak danych",IF(COUNTIFS($A$10:$A$89,$C318,$H$10:$H$89,"&lt;&gt;")=0,"brak danych",VLOOKUP($C318,$A$10:$J$89,8,FALSE)*$F318)))))</x:f>
      </x:c>
      <x:c r="O318" s="25" t="str">
        <x:f>IF($A318="","",IF($F318="","",IF($F318=0,0,IF(COUNTIFS($A$10:$A$89,$C318)&lt;&gt;1,"brak danych",IF(COUNTIFS($A$10:$A$89,$C318,$I$10:$I$89,"&lt;&gt;")=0,"brak danych",VLOOKUP($C318,$A$10:$J$89,9,FALSE)*$F318)))))</x:f>
      </x:c>
      <x:c r="P318" s="25" t="str">
        <x:f>IF($A318="","",IF($F318="","",IF($F318=0,0,IF(COUNTIFS($A$10:$A$89,$C318)&lt;&gt;1,"brak danych",IF(COUNTIFS($A$10:$A$89,$C318,$J$10:$J$89,"&lt;&gt;")=0,"brak danych",VLOOKUP($C318,$A$10:$J$89,10,FALSE)*$F318)))))</x:f>
      </x:c>
      <x:c r="Q318" s="18"/>
    </x:row>
    <x:row r="319" ht="25" customHeight="1">
      <x:c r="A319" s="6"/>
      <x:c r="B319" s="30"/>
      <x:c r="C319" s="5"/>
      <x:c r="D319" s="5"/>
      <x:c r="E319" s="32"/>
      <x:c r="F319" s="32"/>
      <x:c r="G319" s="24" t="str">
        <x:f>IF($A319="","",IF(AND($C319="",$E319=""),"",IF($E319="","brak danych",IF($E319=0,0,IF(COUNTIFS($A$10:$A$89,$C319)&lt;&gt;1,"brak danych",IF(COUNTIFS($A$10:$A$89,$C319,$F$10:$F$89,"&lt;&gt;")=0,"brak danych",VLOOKUP($C319,$A$10:$J$89,6,FALSE)*$E319))))))</x:f>
      </x:c>
      <x:c r="H319" s="25" t="str">
        <x:f>IF($A319="","",IF(AND($C319="",$E319=""),"",IF($E319="","brak danych",IF($E319=0,0,IF(COUNTIFS($A$10:$A$89,$C319)&lt;&gt;1,"brak danych",IF(COUNTIFS($A$10:$A$89,$C319,$G$10:$G$89,"&lt;&gt;")=0,"brak danych",VLOOKUP($C319,$A$10:$J$89,7,FALSE)*$E319))))))</x:f>
      </x:c>
      <x:c r="I319" s="25" t="str">
        <x:f>IF($A319="","",IF(AND($C319="",$E319=""),"",IF($E319="","brak danych",IF($E319=0,0,IF(COUNTIFS($A$10:$A$89,$C319)&lt;&gt;1,"brak danych",IF(COUNTIFS($A$10:$A$89,$C319,$H$10:$H$89,"&lt;&gt;")=0,"brak danych",VLOOKUP($C319,$A$10:$J$89,8,FALSE)*$E319))))))</x:f>
      </x:c>
      <x:c r="J319" s="25" t="str">
        <x:f>IF($A319="","",IF(AND($C319="",$E319=""),"",IF($E319="","brak danych",IF($E319=0,0,IF(COUNTIFS($A$10:$A$89,$C319)&lt;&gt;1,"brak danych",IF(COUNTIFS($A$10:$A$89,$C319,$I$10:$I$89,"&lt;&gt;")=0,"brak danych",VLOOKUP($C319,$A$10:$J$89,9,FALSE)*$E319))))))</x:f>
      </x:c>
      <x:c r="K319" s="25" t="str">
        <x:f>IF($A319="","",IF(AND($C319="",$E319=""),"",IF($E319="","brak danych",IF($E319=0,0,IF(COUNTIFS($A$10:$A$89,$C319)&lt;&gt;1,"brak danych",IF(COUNTIFS($A$10:$A$89,$C319,$J$10:$J$89,"&lt;&gt;")=0,"brak danych",VLOOKUP($C319,$A$10:$J$89,10,FALSE)*$E319))))))</x:f>
      </x:c>
      <x:c r="L319" s="24" t="str">
        <x:f>IF($A319="","",IF($F319="","",IF($F319=0,0,IF(COUNTIFS($A$10:$A$89,$C319)&lt;&gt;1,"brak danych",IF(COUNTIFS($A$10:$A$89,$C319,$F$10:$F$89,"&lt;&gt;")=0,"brak danych",VLOOKUP($C319,$A$10:$J$89,6,FALSE)*$F319)))))</x:f>
      </x:c>
      <x:c r="M319" s="25" t="str">
        <x:f>IF($A319="","",IF($F319="","",IF($F319=0,0,IF(COUNTIFS($A$10:$A$89,$C319)&lt;&gt;1,"brak danych",IF(COUNTIFS($A$10:$A$89,$C319,$G$10:$G$89,"&lt;&gt;")=0,"brak danych",VLOOKUP($C319,$A$10:$J$89,7,FALSE)*$F319)))))</x:f>
      </x:c>
      <x:c r="N319" s="25" t="str">
        <x:f>IF($A319="","",IF($F319="","",IF($F319=0,0,IF(COUNTIFS($A$10:$A$89,$C319)&lt;&gt;1,"brak danych",IF(COUNTIFS($A$10:$A$89,$C319,$H$10:$H$89,"&lt;&gt;")=0,"brak danych",VLOOKUP($C319,$A$10:$J$89,8,FALSE)*$F319)))))</x:f>
      </x:c>
      <x:c r="O319" s="25" t="str">
        <x:f>IF($A319="","",IF($F319="","",IF($F319=0,0,IF(COUNTIFS($A$10:$A$89,$C319)&lt;&gt;1,"brak danych",IF(COUNTIFS($A$10:$A$89,$C319,$I$10:$I$89,"&lt;&gt;")=0,"brak danych",VLOOKUP($C319,$A$10:$J$89,9,FALSE)*$F319)))))</x:f>
      </x:c>
      <x:c r="P319" s="25" t="str">
        <x:f>IF($A319="","",IF($F319="","",IF($F319=0,0,IF(COUNTIFS($A$10:$A$89,$C319)&lt;&gt;1,"brak danych",IF(COUNTIFS($A$10:$A$89,$C319,$J$10:$J$89,"&lt;&gt;")=0,"brak danych",VLOOKUP($C319,$A$10:$J$89,10,FALSE)*$F319)))))</x:f>
      </x:c>
      <x:c r="Q319" s="18"/>
    </x:row>
    <x:row r="320" ht="25" customHeight="1">
      <x:c r="A320" s="6"/>
      <x:c r="B320" s="30"/>
      <x:c r="C320" s="5"/>
      <x:c r="D320" s="5"/>
      <x:c r="E320" s="32"/>
      <x:c r="F320" s="32"/>
      <x:c r="G320" s="24" t="str">
        <x:f>IF($A320="","",IF(AND($C320="",$E320=""),"",IF($E320="","brak danych",IF($E320=0,0,IF(COUNTIFS($A$10:$A$89,$C320)&lt;&gt;1,"brak danych",IF(COUNTIFS($A$10:$A$89,$C320,$F$10:$F$89,"&lt;&gt;")=0,"brak danych",VLOOKUP($C320,$A$10:$J$89,6,FALSE)*$E320))))))</x:f>
      </x:c>
      <x:c r="H320" s="25" t="str">
        <x:f>IF($A320="","",IF(AND($C320="",$E320=""),"",IF($E320="","brak danych",IF($E320=0,0,IF(COUNTIFS($A$10:$A$89,$C320)&lt;&gt;1,"brak danych",IF(COUNTIFS($A$10:$A$89,$C320,$G$10:$G$89,"&lt;&gt;")=0,"brak danych",VLOOKUP($C320,$A$10:$J$89,7,FALSE)*$E320))))))</x:f>
      </x:c>
      <x:c r="I320" s="25" t="str">
        <x:f>IF($A320="","",IF(AND($C320="",$E320=""),"",IF($E320="","brak danych",IF($E320=0,0,IF(COUNTIFS($A$10:$A$89,$C320)&lt;&gt;1,"brak danych",IF(COUNTIFS($A$10:$A$89,$C320,$H$10:$H$89,"&lt;&gt;")=0,"brak danych",VLOOKUP($C320,$A$10:$J$89,8,FALSE)*$E320))))))</x:f>
      </x:c>
      <x:c r="J320" s="25" t="str">
        <x:f>IF($A320="","",IF(AND($C320="",$E320=""),"",IF($E320="","brak danych",IF($E320=0,0,IF(COUNTIFS($A$10:$A$89,$C320)&lt;&gt;1,"brak danych",IF(COUNTIFS($A$10:$A$89,$C320,$I$10:$I$89,"&lt;&gt;")=0,"brak danych",VLOOKUP($C320,$A$10:$J$89,9,FALSE)*$E320))))))</x:f>
      </x:c>
      <x:c r="K320" s="25" t="str">
        <x:f>IF($A320="","",IF(AND($C320="",$E320=""),"",IF($E320="","brak danych",IF($E320=0,0,IF(COUNTIFS($A$10:$A$89,$C320)&lt;&gt;1,"brak danych",IF(COUNTIFS($A$10:$A$89,$C320,$J$10:$J$89,"&lt;&gt;")=0,"brak danych",VLOOKUP($C320,$A$10:$J$89,10,FALSE)*$E320))))))</x:f>
      </x:c>
      <x:c r="L320" s="24" t="str">
        <x:f>IF($A320="","",IF($F320="","",IF($F320=0,0,IF(COUNTIFS($A$10:$A$89,$C320)&lt;&gt;1,"brak danych",IF(COUNTIFS($A$10:$A$89,$C320,$F$10:$F$89,"&lt;&gt;")=0,"brak danych",VLOOKUP($C320,$A$10:$J$89,6,FALSE)*$F320)))))</x:f>
      </x:c>
      <x:c r="M320" s="25" t="str">
        <x:f>IF($A320="","",IF($F320="","",IF($F320=0,0,IF(COUNTIFS($A$10:$A$89,$C320)&lt;&gt;1,"brak danych",IF(COUNTIFS($A$10:$A$89,$C320,$G$10:$G$89,"&lt;&gt;")=0,"brak danych",VLOOKUP($C320,$A$10:$J$89,7,FALSE)*$F320)))))</x:f>
      </x:c>
      <x:c r="N320" s="25" t="str">
        <x:f>IF($A320="","",IF($F320="","",IF($F320=0,0,IF(COUNTIFS($A$10:$A$89,$C320)&lt;&gt;1,"brak danych",IF(COUNTIFS($A$10:$A$89,$C320,$H$10:$H$89,"&lt;&gt;")=0,"brak danych",VLOOKUP($C320,$A$10:$J$89,8,FALSE)*$F320)))))</x:f>
      </x:c>
      <x:c r="O320" s="25" t="str">
        <x:f>IF($A320="","",IF($F320="","",IF($F320=0,0,IF(COUNTIFS($A$10:$A$89,$C320)&lt;&gt;1,"brak danych",IF(COUNTIFS($A$10:$A$89,$C320,$I$10:$I$89,"&lt;&gt;")=0,"brak danych",VLOOKUP($C320,$A$10:$J$89,9,FALSE)*$F320)))))</x:f>
      </x:c>
      <x:c r="P320" s="25" t="str">
        <x:f>IF($A320="","",IF($F320="","",IF($F320=0,0,IF(COUNTIFS($A$10:$A$89,$C320)&lt;&gt;1,"brak danych",IF(COUNTIFS($A$10:$A$89,$C320,$J$10:$J$89,"&lt;&gt;")=0,"brak danych",VLOOKUP($C320,$A$10:$J$89,10,FALSE)*$F320)))))</x:f>
      </x:c>
      <x:c r="Q320" s="18"/>
    </x:row>
    <x:row r="321" ht="25" customHeight="1">
      <x:c r="A321" s="6"/>
      <x:c r="B321" s="30"/>
      <x:c r="C321" s="5"/>
      <x:c r="D321" s="5"/>
      <x:c r="E321" s="32"/>
      <x:c r="F321" s="32"/>
      <x:c r="G321" s="24" t="str">
        <x:f>IF($A321="","",IF(AND($C321="",$E321=""),"",IF($E321="","brak danych",IF($E321=0,0,IF(COUNTIFS($A$10:$A$89,$C321)&lt;&gt;1,"brak danych",IF(COUNTIFS($A$10:$A$89,$C321,$F$10:$F$89,"&lt;&gt;")=0,"brak danych",VLOOKUP($C321,$A$10:$J$89,6,FALSE)*$E321))))))</x:f>
      </x:c>
      <x:c r="H321" s="25" t="str">
        <x:f>IF($A321="","",IF(AND($C321="",$E321=""),"",IF($E321="","brak danych",IF($E321=0,0,IF(COUNTIFS($A$10:$A$89,$C321)&lt;&gt;1,"brak danych",IF(COUNTIFS($A$10:$A$89,$C321,$G$10:$G$89,"&lt;&gt;")=0,"brak danych",VLOOKUP($C321,$A$10:$J$89,7,FALSE)*$E321))))))</x:f>
      </x:c>
      <x:c r="I321" s="25" t="str">
        <x:f>IF($A321="","",IF(AND($C321="",$E321=""),"",IF($E321="","brak danych",IF($E321=0,0,IF(COUNTIFS($A$10:$A$89,$C321)&lt;&gt;1,"brak danych",IF(COUNTIFS($A$10:$A$89,$C321,$H$10:$H$89,"&lt;&gt;")=0,"brak danych",VLOOKUP($C321,$A$10:$J$89,8,FALSE)*$E321))))))</x:f>
      </x:c>
      <x:c r="J321" s="25" t="str">
        <x:f>IF($A321="","",IF(AND($C321="",$E321=""),"",IF($E321="","brak danych",IF($E321=0,0,IF(COUNTIFS($A$10:$A$89,$C321)&lt;&gt;1,"brak danych",IF(COUNTIFS($A$10:$A$89,$C321,$I$10:$I$89,"&lt;&gt;")=0,"brak danych",VLOOKUP($C321,$A$10:$J$89,9,FALSE)*$E321))))))</x:f>
      </x:c>
      <x:c r="K321" s="25" t="str">
        <x:f>IF($A321="","",IF(AND($C321="",$E321=""),"",IF($E321="","brak danych",IF($E321=0,0,IF(COUNTIFS($A$10:$A$89,$C321)&lt;&gt;1,"brak danych",IF(COUNTIFS($A$10:$A$89,$C321,$J$10:$J$89,"&lt;&gt;")=0,"brak danych",VLOOKUP($C321,$A$10:$J$89,10,FALSE)*$E321))))))</x:f>
      </x:c>
      <x:c r="L321" s="24" t="str">
        <x:f>IF($A321="","",IF($F321="","",IF($F321=0,0,IF(COUNTIFS($A$10:$A$89,$C321)&lt;&gt;1,"brak danych",IF(COUNTIFS($A$10:$A$89,$C321,$F$10:$F$89,"&lt;&gt;")=0,"brak danych",VLOOKUP($C321,$A$10:$J$89,6,FALSE)*$F321)))))</x:f>
      </x:c>
      <x:c r="M321" s="25" t="str">
        <x:f>IF($A321="","",IF($F321="","",IF($F321=0,0,IF(COUNTIFS($A$10:$A$89,$C321)&lt;&gt;1,"brak danych",IF(COUNTIFS($A$10:$A$89,$C321,$G$10:$G$89,"&lt;&gt;")=0,"brak danych",VLOOKUP($C321,$A$10:$J$89,7,FALSE)*$F321)))))</x:f>
      </x:c>
      <x:c r="N321" s="25" t="str">
        <x:f>IF($A321="","",IF($F321="","",IF($F321=0,0,IF(COUNTIFS($A$10:$A$89,$C321)&lt;&gt;1,"brak danych",IF(COUNTIFS($A$10:$A$89,$C321,$H$10:$H$89,"&lt;&gt;")=0,"brak danych",VLOOKUP($C321,$A$10:$J$89,8,FALSE)*$F321)))))</x:f>
      </x:c>
      <x:c r="O321" s="25" t="str">
        <x:f>IF($A321="","",IF($F321="","",IF($F321=0,0,IF(COUNTIFS($A$10:$A$89,$C321)&lt;&gt;1,"brak danych",IF(COUNTIFS($A$10:$A$89,$C321,$I$10:$I$89,"&lt;&gt;")=0,"brak danych",VLOOKUP($C321,$A$10:$J$89,9,FALSE)*$F321)))))</x:f>
      </x:c>
      <x:c r="P321" s="25" t="str">
        <x:f>IF($A321="","",IF($F321="","",IF($F321=0,0,IF(COUNTIFS($A$10:$A$89,$C321)&lt;&gt;1,"brak danych",IF(COUNTIFS($A$10:$A$89,$C321,$J$10:$J$89,"&lt;&gt;")=0,"brak danych",VLOOKUP($C321,$A$10:$J$89,10,FALSE)*$F321)))))</x:f>
      </x:c>
      <x:c r="Q321" s="18"/>
    </x:row>
    <x:row r="322" ht="25" customHeight="1">
      <x:c r="A322" s="6"/>
      <x:c r="B322" s="30"/>
      <x:c r="C322" s="5"/>
      <x:c r="D322" s="5"/>
      <x:c r="E322" s="32"/>
      <x:c r="F322" s="32"/>
      <x:c r="G322" s="24" t="str">
        <x:f>IF($A322="","",IF(AND($C322="",$E322=""),"",IF($E322="","brak danych",IF($E322=0,0,IF(COUNTIFS($A$10:$A$89,$C322)&lt;&gt;1,"brak danych",IF(COUNTIFS($A$10:$A$89,$C322,$F$10:$F$89,"&lt;&gt;")=0,"brak danych",VLOOKUP($C322,$A$10:$J$89,6,FALSE)*$E322))))))</x:f>
      </x:c>
      <x:c r="H322" s="25" t="str">
        <x:f>IF($A322="","",IF(AND($C322="",$E322=""),"",IF($E322="","brak danych",IF($E322=0,0,IF(COUNTIFS($A$10:$A$89,$C322)&lt;&gt;1,"brak danych",IF(COUNTIFS($A$10:$A$89,$C322,$G$10:$G$89,"&lt;&gt;")=0,"brak danych",VLOOKUP($C322,$A$10:$J$89,7,FALSE)*$E322))))))</x:f>
      </x:c>
      <x:c r="I322" s="25" t="str">
        <x:f>IF($A322="","",IF(AND($C322="",$E322=""),"",IF($E322="","brak danych",IF($E322=0,0,IF(COUNTIFS($A$10:$A$89,$C322)&lt;&gt;1,"brak danych",IF(COUNTIFS($A$10:$A$89,$C322,$H$10:$H$89,"&lt;&gt;")=0,"brak danych",VLOOKUP($C322,$A$10:$J$89,8,FALSE)*$E322))))))</x:f>
      </x:c>
      <x:c r="J322" s="25" t="str">
        <x:f>IF($A322="","",IF(AND($C322="",$E322=""),"",IF($E322="","brak danych",IF($E322=0,0,IF(COUNTIFS($A$10:$A$89,$C322)&lt;&gt;1,"brak danych",IF(COUNTIFS($A$10:$A$89,$C322,$I$10:$I$89,"&lt;&gt;")=0,"brak danych",VLOOKUP($C322,$A$10:$J$89,9,FALSE)*$E322))))))</x:f>
      </x:c>
      <x:c r="K322" s="25" t="str">
        <x:f>IF($A322="","",IF(AND($C322="",$E322=""),"",IF($E322="","brak danych",IF($E322=0,0,IF(COUNTIFS($A$10:$A$89,$C322)&lt;&gt;1,"brak danych",IF(COUNTIFS($A$10:$A$89,$C322,$J$10:$J$89,"&lt;&gt;")=0,"brak danych",VLOOKUP($C322,$A$10:$J$89,10,FALSE)*$E322))))))</x:f>
      </x:c>
      <x:c r="L322" s="24" t="str">
        <x:f>IF($A322="","",IF($F322="","",IF($F322=0,0,IF(COUNTIFS($A$10:$A$89,$C322)&lt;&gt;1,"brak danych",IF(COUNTIFS($A$10:$A$89,$C322,$F$10:$F$89,"&lt;&gt;")=0,"brak danych",VLOOKUP($C322,$A$10:$J$89,6,FALSE)*$F322)))))</x:f>
      </x:c>
      <x:c r="M322" s="25" t="str">
        <x:f>IF($A322="","",IF($F322="","",IF($F322=0,0,IF(COUNTIFS($A$10:$A$89,$C322)&lt;&gt;1,"brak danych",IF(COUNTIFS($A$10:$A$89,$C322,$G$10:$G$89,"&lt;&gt;")=0,"brak danych",VLOOKUP($C322,$A$10:$J$89,7,FALSE)*$F322)))))</x:f>
      </x:c>
      <x:c r="N322" s="25" t="str">
        <x:f>IF($A322="","",IF($F322="","",IF($F322=0,0,IF(COUNTIFS($A$10:$A$89,$C322)&lt;&gt;1,"brak danych",IF(COUNTIFS($A$10:$A$89,$C322,$H$10:$H$89,"&lt;&gt;")=0,"brak danych",VLOOKUP($C322,$A$10:$J$89,8,FALSE)*$F322)))))</x:f>
      </x:c>
      <x:c r="O322" s="25" t="str">
        <x:f>IF($A322="","",IF($F322="","",IF($F322=0,0,IF(COUNTIFS($A$10:$A$89,$C322)&lt;&gt;1,"brak danych",IF(COUNTIFS($A$10:$A$89,$C322,$I$10:$I$89,"&lt;&gt;")=0,"brak danych",VLOOKUP($C322,$A$10:$J$89,9,FALSE)*$F322)))))</x:f>
      </x:c>
      <x:c r="P322" s="25" t="str">
        <x:f>IF($A322="","",IF($F322="","",IF($F322=0,0,IF(COUNTIFS($A$10:$A$89,$C322)&lt;&gt;1,"brak danych",IF(COUNTIFS($A$10:$A$89,$C322,$J$10:$J$89,"&lt;&gt;")=0,"brak danych",VLOOKUP($C322,$A$10:$J$89,10,FALSE)*$F322)))))</x:f>
      </x:c>
      <x:c r="Q322" s="18"/>
    </x:row>
    <x:row r="323" ht="25" customHeight="1">
      <x:c r="A323" s="6"/>
      <x:c r="B323" s="30"/>
      <x:c r="C323" s="5"/>
      <x:c r="D323" s="5"/>
      <x:c r="E323" s="32"/>
      <x:c r="F323" s="32"/>
      <x:c r="G323" s="24" t="str">
        <x:f>IF($A323="","",IF(AND($C323="",$E323=""),"",IF($E323="","brak danych",IF($E323=0,0,IF(COUNTIFS($A$10:$A$89,$C323)&lt;&gt;1,"brak danych",IF(COUNTIFS($A$10:$A$89,$C323,$F$10:$F$89,"&lt;&gt;")=0,"brak danych",VLOOKUP($C323,$A$10:$J$89,6,FALSE)*$E323))))))</x:f>
      </x:c>
      <x:c r="H323" s="25" t="str">
        <x:f>IF($A323="","",IF(AND($C323="",$E323=""),"",IF($E323="","brak danych",IF($E323=0,0,IF(COUNTIFS($A$10:$A$89,$C323)&lt;&gt;1,"brak danych",IF(COUNTIFS($A$10:$A$89,$C323,$G$10:$G$89,"&lt;&gt;")=0,"brak danych",VLOOKUP($C323,$A$10:$J$89,7,FALSE)*$E323))))))</x:f>
      </x:c>
      <x:c r="I323" s="25" t="str">
        <x:f>IF($A323="","",IF(AND($C323="",$E323=""),"",IF($E323="","brak danych",IF($E323=0,0,IF(COUNTIFS($A$10:$A$89,$C323)&lt;&gt;1,"brak danych",IF(COUNTIFS($A$10:$A$89,$C323,$H$10:$H$89,"&lt;&gt;")=0,"brak danych",VLOOKUP($C323,$A$10:$J$89,8,FALSE)*$E323))))))</x:f>
      </x:c>
      <x:c r="J323" s="25" t="str">
        <x:f>IF($A323="","",IF(AND($C323="",$E323=""),"",IF($E323="","brak danych",IF($E323=0,0,IF(COUNTIFS($A$10:$A$89,$C323)&lt;&gt;1,"brak danych",IF(COUNTIFS($A$10:$A$89,$C323,$I$10:$I$89,"&lt;&gt;")=0,"brak danych",VLOOKUP($C323,$A$10:$J$89,9,FALSE)*$E323))))))</x:f>
      </x:c>
      <x:c r="K323" s="25" t="str">
        <x:f>IF($A323="","",IF(AND($C323="",$E323=""),"",IF($E323="","brak danych",IF($E323=0,0,IF(COUNTIFS($A$10:$A$89,$C323)&lt;&gt;1,"brak danych",IF(COUNTIFS($A$10:$A$89,$C323,$J$10:$J$89,"&lt;&gt;")=0,"brak danych",VLOOKUP($C323,$A$10:$J$89,10,FALSE)*$E323))))))</x:f>
      </x:c>
      <x:c r="L323" s="24" t="str">
        <x:f>IF($A323="","",IF($F323="","",IF($F323=0,0,IF(COUNTIFS($A$10:$A$89,$C323)&lt;&gt;1,"brak danych",IF(COUNTIFS($A$10:$A$89,$C323,$F$10:$F$89,"&lt;&gt;")=0,"brak danych",VLOOKUP($C323,$A$10:$J$89,6,FALSE)*$F323)))))</x:f>
      </x:c>
      <x:c r="M323" s="25" t="str">
        <x:f>IF($A323="","",IF($F323="","",IF($F323=0,0,IF(COUNTIFS($A$10:$A$89,$C323)&lt;&gt;1,"brak danych",IF(COUNTIFS($A$10:$A$89,$C323,$G$10:$G$89,"&lt;&gt;")=0,"brak danych",VLOOKUP($C323,$A$10:$J$89,7,FALSE)*$F323)))))</x:f>
      </x:c>
      <x:c r="N323" s="25" t="str">
        <x:f>IF($A323="","",IF($F323="","",IF($F323=0,0,IF(COUNTIFS($A$10:$A$89,$C323)&lt;&gt;1,"brak danych",IF(COUNTIFS($A$10:$A$89,$C323,$H$10:$H$89,"&lt;&gt;")=0,"brak danych",VLOOKUP($C323,$A$10:$J$89,8,FALSE)*$F323)))))</x:f>
      </x:c>
      <x:c r="O323" s="25" t="str">
        <x:f>IF($A323="","",IF($F323="","",IF($F323=0,0,IF(COUNTIFS($A$10:$A$89,$C323)&lt;&gt;1,"brak danych",IF(COUNTIFS($A$10:$A$89,$C323,$I$10:$I$89,"&lt;&gt;")=0,"brak danych",VLOOKUP($C323,$A$10:$J$89,9,FALSE)*$F323)))))</x:f>
      </x:c>
      <x:c r="P323" s="25" t="str">
        <x:f>IF($A323="","",IF($F323="","",IF($F323=0,0,IF(COUNTIFS($A$10:$A$89,$C323)&lt;&gt;1,"brak danych",IF(COUNTIFS($A$10:$A$89,$C323,$J$10:$J$89,"&lt;&gt;")=0,"brak danych",VLOOKUP($C323,$A$10:$J$89,10,FALSE)*$F323)))))</x:f>
      </x:c>
      <x:c r="Q323" s="18"/>
    </x:row>
    <x:row r="324" ht="25" customHeight="1">
      <x:c r="A324" s="6"/>
      <x:c r="B324" s="30"/>
      <x:c r="C324" s="5"/>
      <x:c r="D324" s="5"/>
      <x:c r="E324" s="32"/>
      <x:c r="F324" s="32"/>
      <x:c r="G324" s="24" t="str">
        <x:f>IF($A324="","",IF(AND($C324="",$E324=""),"",IF($E324="","brak danych",IF($E324=0,0,IF(COUNTIFS($A$10:$A$89,$C324)&lt;&gt;1,"brak danych",IF(COUNTIFS($A$10:$A$89,$C324,$F$10:$F$89,"&lt;&gt;")=0,"brak danych",VLOOKUP($C324,$A$10:$J$89,6,FALSE)*$E324))))))</x:f>
      </x:c>
      <x:c r="H324" s="25" t="str">
        <x:f>IF($A324="","",IF(AND($C324="",$E324=""),"",IF($E324="","brak danych",IF($E324=0,0,IF(COUNTIFS($A$10:$A$89,$C324)&lt;&gt;1,"brak danych",IF(COUNTIFS($A$10:$A$89,$C324,$G$10:$G$89,"&lt;&gt;")=0,"brak danych",VLOOKUP($C324,$A$10:$J$89,7,FALSE)*$E324))))))</x:f>
      </x:c>
      <x:c r="I324" s="25" t="str">
        <x:f>IF($A324="","",IF(AND($C324="",$E324=""),"",IF($E324="","brak danych",IF($E324=0,0,IF(COUNTIFS($A$10:$A$89,$C324)&lt;&gt;1,"brak danych",IF(COUNTIFS($A$10:$A$89,$C324,$H$10:$H$89,"&lt;&gt;")=0,"brak danych",VLOOKUP($C324,$A$10:$J$89,8,FALSE)*$E324))))))</x:f>
      </x:c>
      <x:c r="J324" s="25" t="str">
        <x:f>IF($A324="","",IF(AND($C324="",$E324=""),"",IF($E324="","brak danych",IF($E324=0,0,IF(COUNTIFS($A$10:$A$89,$C324)&lt;&gt;1,"brak danych",IF(COUNTIFS($A$10:$A$89,$C324,$I$10:$I$89,"&lt;&gt;")=0,"brak danych",VLOOKUP($C324,$A$10:$J$89,9,FALSE)*$E324))))))</x:f>
      </x:c>
      <x:c r="K324" s="25" t="str">
        <x:f>IF($A324="","",IF(AND($C324="",$E324=""),"",IF($E324="","brak danych",IF($E324=0,0,IF(COUNTIFS($A$10:$A$89,$C324)&lt;&gt;1,"brak danych",IF(COUNTIFS($A$10:$A$89,$C324,$J$10:$J$89,"&lt;&gt;")=0,"brak danych",VLOOKUP($C324,$A$10:$J$89,10,FALSE)*$E324))))))</x:f>
      </x:c>
      <x:c r="L324" s="24" t="str">
        <x:f>IF($A324="","",IF($F324="","",IF($F324=0,0,IF(COUNTIFS($A$10:$A$89,$C324)&lt;&gt;1,"brak danych",IF(COUNTIFS($A$10:$A$89,$C324,$F$10:$F$89,"&lt;&gt;")=0,"brak danych",VLOOKUP($C324,$A$10:$J$89,6,FALSE)*$F324)))))</x:f>
      </x:c>
      <x:c r="M324" s="25" t="str">
        <x:f>IF($A324="","",IF($F324="","",IF($F324=0,0,IF(COUNTIFS($A$10:$A$89,$C324)&lt;&gt;1,"brak danych",IF(COUNTIFS($A$10:$A$89,$C324,$G$10:$G$89,"&lt;&gt;")=0,"brak danych",VLOOKUP($C324,$A$10:$J$89,7,FALSE)*$F324)))))</x:f>
      </x:c>
      <x:c r="N324" s="25" t="str">
        <x:f>IF($A324="","",IF($F324="","",IF($F324=0,0,IF(COUNTIFS($A$10:$A$89,$C324)&lt;&gt;1,"brak danych",IF(COUNTIFS($A$10:$A$89,$C324,$H$10:$H$89,"&lt;&gt;")=0,"brak danych",VLOOKUP($C324,$A$10:$J$89,8,FALSE)*$F324)))))</x:f>
      </x:c>
      <x:c r="O324" s="25" t="str">
        <x:f>IF($A324="","",IF($F324="","",IF($F324=0,0,IF(COUNTIFS($A$10:$A$89,$C324)&lt;&gt;1,"brak danych",IF(COUNTIFS($A$10:$A$89,$C324,$I$10:$I$89,"&lt;&gt;")=0,"brak danych",VLOOKUP($C324,$A$10:$J$89,9,FALSE)*$F324)))))</x:f>
      </x:c>
      <x:c r="P324" s="25" t="str">
        <x:f>IF($A324="","",IF($F324="","",IF($F324=0,0,IF(COUNTIFS($A$10:$A$89,$C324)&lt;&gt;1,"brak danych",IF(COUNTIFS($A$10:$A$89,$C324,$J$10:$J$89,"&lt;&gt;")=0,"brak danych",VLOOKUP($C324,$A$10:$J$89,10,FALSE)*$F324)))))</x:f>
      </x:c>
      <x:c r="Q324" s="18"/>
    </x:row>
    <x:row r="325" ht="25" customHeight="1">
      <x:c r="A325" s="6"/>
      <x:c r="B325" s="30"/>
      <x:c r="C325" s="5"/>
      <x:c r="D325" s="5"/>
      <x:c r="E325" s="32"/>
      <x:c r="F325" s="32"/>
      <x:c r="G325" s="24" t="str">
        <x:f>IF($A325="","",IF(AND($C325="",$E325=""),"",IF($E325="","brak danych",IF($E325=0,0,IF(COUNTIFS($A$10:$A$89,$C325)&lt;&gt;1,"brak danych",IF(COUNTIFS($A$10:$A$89,$C325,$F$10:$F$89,"&lt;&gt;")=0,"brak danych",VLOOKUP($C325,$A$10:$J$89,6,FALSE)*$E325))))))</x:f>
      </x:c>
      <x:c r="H325" s="25" t="str">
        <x:f>IF($A325="","",IF(AND($C325="",$E325=""),"",IF($E325="","brak danych",IF($E325=0,0,IF(COUNTIFS($A$10:$A$89,$C325)&lt;&gt;1,"brak danych",IF(COUNTIFS($A$10:$A$89,$C325,$G$10:$G$89,"&lt;&gt;")=0,"brak danych",VLOOKUP($C325,$A$10:$J$89,7,FALSE)*$E325))))))</x:f>
      </x:c>
      <x:c r="I325" s="25" t="str">
        <x:f>IF($A325="","",IF(AND($C325="",$E325=""),"",IF($E325="","brak danych",IF($E325=0,0,IF(COUNTIFS($A$10:$A$89,$C325)&lt;&gt;1,"brak danych",IF(COUNTIFS($A$10:$A$89,$C325,$H$10:$H$89,"&lt;&gt;")=0,"brak danych",VLOOKUP($C325,$A$10:$J$89,8,FALSE)*$E325))))))</x:f>
      </x:c>
      <x:c r="J325" s="25" t="str">
        <x:f>IF($A325="","",IF(AND($C325="",$E325=""),"",IF($E325="","brak danych",IF($E325=0,0,IF(COUNTIFS($A$10:$A$89,$C325)&lt;&gt;1,"brak danych",IF(COUNTIFS($A$10:$A$89,$C325,$I$10:$I$89,"&lt;&gt;")=0,"brak danych",VLOOKUP($C325,$A$10:$J$89,9,FALSE)*$E325))))))</x:f>
      </x:c>
      <x:c r="K325" s="25" t="str">
        <x:f>IF($A325="","",IF(AND($C325="",$E325=""),"",IF($E325="","brak danych",IF($E325=0,0,IF(COUNTIFS($A$10:$A$89,$C325)&lt;&gt;1,"brak danych",IF(COUNTIFS($A$10:$A$89,$C325,$J$10:$J$89,"&lt;&gt;")=0,"brak danych",VLOOKUP($C325,$A$10:$J$89,10,FALSE)*$E325))))))</x:f>
      </x:c>
      <x:c r="L325" s="24" t="str">
        <x:f>IF($A325="","",IF($F325="","",IF($F325=0,0,IF(COUNTIFS($A$10:$A$89,$C325)&lt;&gt;1,"brak danych",IF(COUNTIFS($A$10:$A$89,$C325,$F$10:$F$89,"&lt;&gt;")=0,"brak danych",VLOOKUP($C325,$A$10:$J$89,6,FALSE)*$F325)))))</x:f>
      </x:c>
      <x:c r="M325" s="25" t="str">
        <x:f>IF($A325="","",IF($F325="","",IF($F325=0,0,IF(COUNTIFS($A$10:$A$89,$C325)&lt;&gt;1,"brak danych",IF(COUNTIFS($A$10:$A$89,$C325,$G$10:$G$89,"&lt;&gt;")=0,"brak danych",VLOOKUP($C325,$A$10:$J$89,7,FALSE)*$F325)))))</x:f>
      </x:c>
      <x:c r="N325" s="25" t="str">
        <x:f>IF($A325="","",IF($F325="","",IF($F325=0,0,IF(COUNTIFS($A$10:$A$89,$C325)&lt;&gt;1,"brak danych",IF(COUNTIFS($A$10:$A$89,$C325,$H$10:$H$89,"&lt;&gt;")=0,"brak danych",VLOOKUP($C325,$A$10:$J$89,8,FALSE)*$F325)))))</x:f>
      </x:c>
      <x:c r="O325" s="25" t="str">
        <x:f>IF($A325="","",IF($F325="","",IF($F325=0,0,IF(COUNTIFS($A$10:$A$89,$C325)&lt;&gt;1,"brak danych",IF(COUNTIFS($A$10:$A$89,$C325,$I$10:$I$89,"&lt;&gt;")=0,"brak danych",VLOOKUP($C325,$A$10:$J$89,9,FALSE)*$F325)))))</x:f>
      </x:c>
      <x:c r="P325" s="25" t="str">
        <x:f>IF($A325="","",IF($F325="","",IF($F325=0,0,IF(COUNTIFS($A$10:$A$89,$C325)&lt;&gt;1,"brak danych",IF(COUNTIFS($A$10:$A$89,$C325,$J$10:$J$89,"&lt;&gt;")=0,"brak danych",VLOOKUP($C325,$A$10:$J$89,10,FALSE)*$F325)))))</x:f>
      </x:c>
      <x:c r="Q325" s="18"/>
    </x:row>
    <x:row r="326" ht="25" customHeight="1">
      <x:c r="A326" s="6"/>
      <x:c r="B326" s="30"/>
      <x:c r="C326" s="5"/>
      <x:c r="D326" s="5"/>
      <x:c r="E326" s="32"/>
      <x:c r="F326" s="32"/>
      <x:c r="G326" s="24" t="str">
        <x:f>IF($A326="","",IF(AND($C326="",$E326=""),"",IF($E326="","brak danych",IF($E326=0,0,IF(COUNTIFS($A$10:$A$89,$C326)&lt;&gt;1,"brak danych",IF(COUNTIFS($A$10:$A$89,$C326,$F$10:$F$89,"&lt;&gt;")=0,"brak danych",VLOOKUP($C326,$A$10:$J$89,6,FALSE)*$E326))))))</x:f>
      </x:c>
      <x:c r="H326" s="25" t="str">
        <x:f>IF($A326="","",IF(AND($C326="",$E326=""),"",IF($E326="","brak danych",IF($E326=0,0,IF(COUNTIFS($A$10:$A$89,$C326)&lt;&gt;1,"brak danych",IF(COUNTIFS($A$10:$A$89,$C326,$G$10:$G$89,"&lt;&gt;")=0,"brak danych",VLOOKUP($C326,$A$10:$J$89,7,FALSE)*$E326))))))</x:f>
      </x:c>
      <x:c r="I326" s="25" t="str">
        <x:f>IF($A326="","",IF(AND($C326="",$E326=""),"",IF($E326="","brak danych",IF($E326=0,0,IF(COUNTIFS($A$10:$A$89,$C326)&lt;&gt;1,"brak danych",IF(COUNTIFS($A$10:$A$89,$C326,$H$10:$H$89,"&lt;&gt;")=0,"brak danych",VLOOKUP($C326,$A$10:$J$89,8,FALSE)*$E326))))))</x:f>
      </x:c>
      <x:c r="J326" s="25" t="str">
        <x:f>IF($A326="","",IF(AND($C326="",$E326=""),"",IF($E326="","brak danych",IF($E326=0,0,IF(COUNTIFS($A$10:$A$89,$C326)&lt;&gt;1,"brak danych",IF(COUNTIFS($A$10:$A$89,$C326,$I$10:$I$89,"&lt;&gt;")=0,"brak danych",VLOOKUP($C326,$A$10:$J$89,9,FALSE)*$E326))))))</x:f>
      </x:c>
      <x:c r="K326" s="25" t="str">
        <x:f>IF($A326="","",IF(AND($C326="",$E326=""),"",IF($E326="","brak danych",IF($E326=0,0,IF(COUNTIFS($A$10:$A$89,$C326)&lt;&gt;1,"brak danych",IF(COUNTIFS($A$10:$A$89,$C326,$J$10:$J$89,"&lt;&gt;")=0,"brak danych",VLOOKUP($C326,$A$10:$J$89,10,FALSE)*$E326))))))</x:f>
      </x:c>
      <x:c r="L326" s="24" t="str">
        <x:f>IF($A326="","",IF($F326="","",IF($F326=0,0,IF(COUNTIFS($A$10:$A$89,$C326)&lt;&gt;1,"brak danych",IF(COUNTIFS($A$10:$A$89,$C326,$F$10:$F$89,"&lt;&gt;")=0,"brak danych",VLOOKUP($C326,$A$10:$J$89,6,FALSE)*$F326)))))</x:f>
      </x:c>
      <x:c r="M326" s="25" t="str">
        <x:f>IF($A326="","",IF($F326="","",IF($F326=0,0,IF(COUNTIFS($A$10:$A$89,$C326)&lt;&gt;1,"brak danych",IF(COUNTIFS($A$10:$A$89,$C326,$G$10:$G$89,"&lt;&gt;")=0,"brak danych",VLOOKUP($C326,$A$10:$J$89,7,FALSE)*$F326)))))</x:f>
      </x:c>
      <x:c r="N326" s="25" t="str">
        <x:f>IF($A326="","",IF($F326="","",IF($F326=0,0,IF(COUNTIFS($A$10:$A$89,$C326)&lt;&gt;1,"brak danych",IF(COUNTIFS($A$10:$A$89,$C326,$H$10:$H$89,"&lt;&gt;")=0,"brak danych",VLOOKUP($C326,$A$10:$J$89,8,FALSE)*$F326)))))</x:f>
      </x:c>
      <x:c r="O326" s="25" t="str">
        <x:f>IF($A326="","",IF($F326="","",IF($F326=0,0,IF(COUNTIFS($A$10:$A$89,$C326)&lt;&gt;1,"brak danych",IF(COUNTIFS($A$10:$A$89,$C326,$I$10:$I$89,"&lt;&gt;")=0,"brak danych",VLOOKUP($C326,$A$10:$J$89,9,FALSE)*$F326)))))</x:f>
      </x:c>
      <x:c r="P326" s="25" t="str">
        <x:f>IF($A326="","",IF($F326="","",IF($F326=0,0,IF(COUNTIFS($A$10:$A$89,$C326)&lt;&gt;1,"brak danych",IF(COUNTIFS($A$10:$A$89,$C326,$J$10:$J$89,"&lt;&gt;")=0,"brak danych",VLOOKUP($C326,$A$10:$J$89,10,FALSE)*$F326)))))</x:f>
      </x:c>
      <x:c r="Q326" s="18"/>
    </x:row>
    <x:row r="327" ht="25" customHeight="1">
      <x:c r="A327" s="6"/>
      <x:c r="B327" s="30"/>
      <x:c r="C327" s="5"/>
      <x:c r="D327" s="5"/>
      <x:c r="E327" s="32"/>
      <x:c r="F327" s="32"/>
      <x:c r="G327" s="24" t="str">
        <x:f>IF($A327="","",IF(AND($C327="",$E327=""),"",IF($E327="","brak danych",IF($E327=0,0,IF(COUNTIFS($A$10:$A$89,$C327)&lt;&gt;1,"brak danych",IF(COUNTIFS($A$10:$A$89,$C327,$F$10:$F$89,"&lt;&gt;")=0,"brak danych",VLOOKUP($C327,$A$10:$J$89,6,FALSE)*$E327))))))</x:f>
      </x:c>
      <x:c r="H327" s="25" t="str">
        <x:f>IF($A327="","",IF(AND($C327="",$E327=""),"",IF($E327="","brak danych",IF($E327=0,0,IF(COUNTIFS($A$10:$A$89,$C327)&lt;&gt;1,"brak danych",IF(COUNTIFS($A$10:$A$89,$C327,$G$10:$G$89,"&lt;&gt;")=0,"brak danych",VLOOKUP($C327,$A$10:$J$89,7,FALSE)*$E327))))))</x:f>
      </x:c>
      <x:c r="I327" s="25" t="str">
        <x:f>IF($A327="","",IF(AND($C327="",$E327=""),"",IF($E327="","brak danych",IF($E327=0,0,IF(COUNTIFS($A$10:$A$89,$C327)&lt;&gt;1,"brak danych",IF(COUNTIFS($A$10:$A$89,$C327,$H$10:$H$89,"&lt;&gt;")=0,"brak danych",VLOOKUP($C327,$A$10:$J$89,8,FALSE)*$E327))))))</x:f>
      </x:c>
      <x:c r="J327" s="25" t="str">
        <x:f>IF($A327="","",IF(AND($C327="",$E327=""),"",IF($E327="","brak danych",IF($E327=0,0,IF(COUNTIFS($A$10:$A$89,$C327)&lt;&gt;1,"brak danych",IF(COUNTIFS($A$10:$A$89,$C327,$I$10:$I$89,"&lt;&gt;")=0,"brak danych",VLOOKUP($C327,$A$10:$J$89,9,FALSE)*$E327))))))</x:f>
      </x:c>
      <x:c r="K327" s="25" t="str">
        <x:f>IF($A327="","",IF(AND($C327="",$E327=""),"",IF($E327="","brak danych",IF($E327=0,0,IF(COUNTIFS($A$10:$A$89,$C327)&lt;&gt;1,"brak danych",IF(COUNTIFS($A$10:$A$89,$C327,$J$10:$J$89,"&lt;&gt;")=0,"brak danych",VLOOKUP($C327,$A$10:$J$89,10,FALSE)*$E327))))))</x:f>
      </x:c>
      <x:c r="L327" s="24" t="str">
        <x:f>IF($A327="","",IF($F327="","",IF($F327=0,0,IF(COUNTIFS($A$10:$A$89,$C327)&lt;&gt;1,"brak danych",IF(COUNTIFS($A$10:$A$89,$C327,$F$10:$F$89,"&lt;&gt;")=0,"brak danych",VLOOKUP($C327,$A$10:$J$89,6,FALSE)*$F327)))))</x:f>
      </x:c>
      <x:c r="M327" s="25" t="str">
        <x:f>IF($A327="","",IF($F327="","",IF($F327=0,0,IF(COUNTIFS($A$10:$A$89,$C327)&lt;&gt;1,"brak danych",IF(COUNTIFS($A$10:$A$89,$C327,$G$10:$G$89,"&lt;&gt;")=0,"brak danych",VLOOKUP($C327,$A$10:$J$89,7,FALSE)*$F327)))))</x:f>
      </x:c>
      <x:c r="N327" s="25" t="str">
        <x:f>IF($A327="","",IF($F327="","",IF($F327=0,0,IF(COUNTIFS($A$10:$A$89,$C327)&lt;&gt;1,"brak danych",IF(COUNTIFS($A$10:$A$89,$C327,$H$10:$H$89,"&lt;&gt;")=0,"brak danych",VLOOKUP($C327,$A$10:$J$89,8,FALSE)*$F327)))))</x:f>
      </x:c>
      <x:c r="O327" s="25" t="str">
        <x:f>IF($A327="","",IF($F327="","",IF($F327=0,0,IF(COUNTIFS($A$10:$A$89,$C327)&lt;&gt;1,"brak danych",IF(COUNTIFS($A$10:$A$89,$C327,$I$10:$I$89,"&lt;&gt;")=0,"brak danych",VLOOKUP($C327,$A$10:$J$89,9,FALSE)*$F327)))))</x:f>
      </x:c>
      <x:c r="P327" s="25" t="str">
        <x:f>IF($A327="","",IF($F327="","",IF($F327=0,0,IF(COUNTIFS($A$10:$A$89,$C327)&lt;&gt;1,"brak danych",IF(COUNTIFS($A$10:$A$89,$C327,$J$10:$J$89,"&lt;&gt;")=0,"brak danych",VLOOKUP($C327,$A$10:$J$89,10,FALSE)*$F327)))))</x:f>
      </x:c>
      <x:c r="Q327" s="18"/>
    </x:row>
    <x:row r="328" ht="25" customHeight="1">
      <x:c r="A328" s="6"/>
      <x:c r="B328" s="30"/>
      <x:c r="C328" s="5"/>
      <x:c r="D328" s="5"/>
      <x:c r="E328" s="32"/>
      <x:c r="F328" s="32"/>
      <x:c r="G328" s="24" t="str">
        <x:f>IF($A328="","",IF(AND($C328="",$E328=""),"",IF($E328="","brak danych",IF($E328=0,0,IF(COUNTIFS($A$10:$A$89,$C328)&lt;&gt;1,"brak danych",IF(COUNTIFS($A$10:$A$89,$C328,$F$10:$F$89,"&lt;&gt;")=0,"brak danych",VLOOKUP($C328,$A$10:$J$89,6,FALSE)*$E328))))))</x:f>
      </x:c>
      <x:c r="H328" s="25" t="str">
        <x:f>IF($A328="","",IF(AND($C328="",$E328=""),"",IF($E328="","brak danych",IF($E328=0,0,IF(COUNTIFS($A$10:$A$89,$C328)&lt;&gt;1,"brak danych",IF(COUNTIFS($A$10:$A$89,$C328,$G$10:$G$89,"&lt;&gt;")=0,"brak danych",VLOOKUP($C328,$A$10:$J$89,7,FALSE)*$E328))))))</x:f>
      </x:c>
      <x:c r="I328" s="25" t="str">
        <x:f>IF($A328="","",IF(AND($C328="",$E328=""),"",IF($E328="","brak danych",IF($E328=0,0,IF(COUNTIFS($A$10:$A$89,$C328)&lt;&gt;1,"brak danych",IF(COUNTIFS($A$10:$A$89,$C328,$H$10:$H$89,"&lt;&gt;")=0,"brak danych",VLOOKUP($C328,$A$10:$J$89,8,FALSE)*$E328))))))</x:f>
      </x:c>
      <x:c r="J328" s="25" t="str">
        <x:f>IF($A328="","",IF(AND($C328="",$E328=""),"",IF($E328="","brak danych",IF($E328=0,0,IF(COUNTIFS($A$10:$A$89,$C328)&lt;&gt;1,"brak danych",IF(COUNTIFS($A$10:$A$89,$C328,$I$10:$I$89,"&lt;&gt;")=0,"brak danych",VLOOKUP($C328,$A$10:$J$89,9,FALSE)*$E328))))))</x:f>
      </x:c>
      <x:c r="K328" s="25" t="str">
        <x:f>IF($A328="","",IF(AND($C328="",$E328=""),"",IF($E328="","brak danych",IF($E328=0,0,IF(COUNTIFS($A$10:$A$89,$C328)&lt;&gt;1,"brak danych",IF(COUNTIFS($A$10:$A$89,$C328,$J$10:$J$89,"&lt;&gt;")=0,"brak danych",VLOOKUP($C328,$A$10:$J$89,10,FALSE)*$E328))))))</x:f>
      </x:c>
      <x:c r="L328" s="24" t="str">
        <x:f>IF($A328="","",IF($F328="","",IF($F328=0,0,IF(COUNTIFS($A$10:$A$89,$C328)&lt;&gt;1,"brak danych",IF(COUNTIFS($A$10:$A$89,$C328,$F$10:$F$89,"&lt;&gt;")=0,"brak danych",VLOOKUP($C328,$A$10:$J$89,6,FALSE)*$F328)))))</x:f>
      </x:c>
      <x:c r="M328" s="25" t="str">
        <x:f>IF($A328="","",IF($F328="","",IF($F328=0,0,IF(COUNTIFS($A$10:$A$89,$C328)&lt;&gt;1,"brak danych",IF(COUNTIFS($A$10:$A$89,$C328,$G$10:$G$89,"&lt;&gt;")=0,"brak danych",VLOOKUP($C328,$A$10:$J$89,7,FALSE)*$F328)))))</x:f>
      </x:c>
      <x:c r="N328" s="25" t="str">
        <x:f>IF($A328="","",IF($F328="","",IF($F328=0,0,IF(COUNTIFS($A$10:$A$89,$C328)&lt;&gt;1,"brak danych",IF(COUNTIFS($A$10:$A$89,$C328,$H$10:$H$89,"&lt;&gt;")=0,"brak danych",VLOOKUP($C328,$A$10:$J$89,8,FALSE)*$F328)))))</x:f>
      </x:c>
      <x:c r="O328" s="25" t="str">
        <x:f>IF($A328="","",IF($F328="","",IF($F328=0,0,IF(COUNTIFS($A$10:$A$89,$C328)&lt;&gt;1,"brak danych",IF(COUNTIFS($A$10:$A$89,$C328,$I$10:$I$89,"&lt;&gt;")=0,"brak danych",VLOOKUP($C328,$A$10:$J$89,9,FALSE)*$F328)))))</x:f>
      </x:c>
      <x:c r="P328" s="25" t="str">
        <x:f>IF($A328="","",IF($F328="","",IF($F328=0,0,IF(COUNTIFS($A$10:$A$89,$C328)&lt;&gt;1,"brak danych",IF(COUNTIFS($A$10:$A$89,$C328,$J$10:$J$89,"&lt;&gt;")=0,"brak danych",VLOOKUP($C328,$A$10:$J$89,10,FALSE)*$F328)))))</x:f>
      </x:c>
      <x:c r="Q328" s="18"/>
    </x:row>
    <x:row r="329" ht="25" customHeight="1">
      <x:c r="A329" s="6"/>
      <x:c r="B329" s="30"/>
      <x:c r="C329" s="5"/>
      <x:c r="D329" s="5"/>
      <x:c r="E329" s="32"/>
      <x:c r="F329" s="32"/>
      <x:c r="G329" s="24" t="str">
        <x:f>IF($A329="","",IF(AND($C329="",$E329=""),"",IF($E329="","brak danych",IF($E329=0,0,IF(COUNTIFS($A$10:$A$89,$C329)&lt;&gt;1,"brak danych",IF(COUNTIFS($A$10:$A$89,$C329,$F$10:$F$89,"&lt;&gt;")=0,"brak danych",VLOOKUP($C329,$A$10:$J$89,6,FALSE)*$E329))))))</x:f>
      </x:c>
      <x:c r="H329" s="25" t="str">
        <x:f>IF($A329="","",IF(AND($C329="",$E329=""),"",IF($E329="","brak danych",IF($E329=0,0,IF(COUNTIFS($A$10:$A$89,$C329)&lt;&gt;1,"brak danych",IF(COUNTIFS($A$10:$A$89,$C329,$G$10:$G$89,"&lt;&gt;")=0,"brak danych",VLOOKUP($C329,$A$10:$J$89,7,FALSE)*$E329))))))</x:f>
      </x:c>
      <x:c r="I329" s="25" t="str">
        <x:f>IF($A329="","",IF(AND($C329="",$E329=""),"",IF($E329="","brak danych",IF($E329=0,0,IF(COUNTIFS($A$10:$A$89,$C329)&lt;&gt;1,"brak danych",IF(COUNTIFS($A$10:$A$89,$C329,$H$10:$H$89,"&lt;&gt;")=0,"brak danych",VLOOKUP($C329,$A$10:$J$89,8,FALSE)*$E329))))))</x:f>
      </x:c>
      <x:c r="J329" s="25" t="str">
        <x:f>IF($A329="","",IF(AND($C329="",$E329=""),"",IF($E329="","brak danych",IF($E329=0,0,IF(COUNTIFS($A$10:$A$89,$C329)&lt;&gt;1,"brak danych",IF(COUNTIFS($A$10:$A$89,$C329,$I$10:$I$89,"&lt;&gt;")=0,"brak danych",VLOOKUP($C329,$A$10:$J$89,9,FALSE)*$E329))))))</x:f>
      </x:c>
      <x:c r="K329" s="25" t="str">
        <x:f>IF($A329="","",IF(AND($C329="",$E329=""),"",IF($E329="","brak danych",IF($E329=0,0,IF(COUNTIFS($A$10:$A$89,$C329)&lt;&gt;1,"brak danych",IF(COUNTIFS($A$10:$A$89,$C329,$J$10:$J$89,"&lt;&gt;")=0,"brak danych",VLOOKUP($C329,$A$10:$J$89,10,FALSE)*$E329))))))</x:f>
      </x:c>
      <x:c r="L329" s="24" t="str">
        <x:f>IF($A329="","",IF($F329="","",IF($F329=0,0,IF(COUNTIFS($A$10:$A$89,$C329)&lt;&gt;1,"brak danych",IF(COUNTIFS($A$10:$A$89,$C329,$F$10:$F$89,"&lt;&gt;")=0,"brak danych",VLOOKUP($C329,$A$10:$J$89,6,FALSE)*$F329)))))</x:f>
      </x:c>
      <x:c r="M329" s="25" t="str">
        <x:f>IF($A329="","",IF($F329="","",IF($F329=0,0,IF(COUNTIFS($A$10:$A$89,$C329)&lt;&gt;1,"brak danych",IF(COUNTIFS($A$10:$A$89,$C329,$G$10:$G$89,"&lt;&gt;")=0,"brak danych",VLOOKUP($C329,$A$10:$J$89,7,FALSE)*$F329)))))</x:f>
      </x:c>
      <x:c r="N329" s="25" t="str">
        <x:f>IF($A329="","",IF($F329="","",IF($F329=0,0,IF(COUNTIFS($A$10:$A$89,$C329)&lt;&gt;1,"brak danych",IF(COUNTIFS($A$10:$A$89,$C329,$H$10:$H$89,"&lt;&gt;")=0,"brak danych",VLOOKUP($C329,$A$10:$J$89,8,FALSE)*$F329)))))</x:f>
      </x:c>
      <x:c r="O329" s="25" t="str">
        <x:f>IF($A329="","",IF($F329="","",IF($F329=0,0,IF(COUNTIFS($A$10:$A$89,$C329)&lt;&gt;1,"brak danych",IF(COUNTIFS($A$10:$A$89,$C329,$I$10:$I$89,"&lt;&gt;")=0,"brak danych",VLOOKUP($C329,$A$10:$J$89,9,FALSE)*$F329)))))</x:f>
      </x:c>
      <x:c r="P329" s="25" t="str">
        <x:f>IF($A329="","",IF($F329="","",IF($F329=0,0,IF(COUNTIFS($A$10:$A$89,$C329)&lt;&gt;1,"brak danych",IF(COUNTIFS($A$10:$A$89,$C329,$J$10:$J$89,"&lt;&gt;")=0,"brak danych",VLOOKUP($C329,$A$10:$J$89,10,FALSE)*$F329)))))</x:f>
      </x:c>
      <x:c r="Q329" s="18"/>
    </x:row>
    <x:row r="330" ht="25" customHeight="1">
      <x:c r="A330" s="6"/>
      <x:c r="B330" s="30"/>
      <x:c r="C330" s="5"/>
      <x:c r="D330" s="5"/>
      <x:c r="E330" s="32"/>
      <x:c r="F330" s="32"/>
      <x:c r="G330" s="24" t="str">
        <x:f>IF($A330="","",IF(AND($C330="",$E330=""),"",IF($E330="","brak danych",IF($E330=0,0,IF(COUNTIFS($A$10:$A$89,$C330)&lt;&gt;1,"brak danych",IF(COUNTIFS($A$10:$A$89,$C330,$F$10:$F$89,"&lt;&gt;")=0,"brak danych",VLOOKUP($C330,$A$10:$J$89,6,FALSE)*$E330))))))</x:f>
      </x:c>
      <x:c r="H330" s="25" t="str">
        <x:f>IF($A330="","",IF(AND($C330="",$E330=""),"",IF($E330="","brak danych",IF($E330=0,0,IF(COUNTIFS($A$10:$A$89,$C330)&lt;&gt;1,"brak danych",IF(COUNTIFS($A$10:$A$89,$C330,$G$10:$G$89,"&lt;&gt;")=0,"brak danych",VLOOKUP($C330,$A$10:$J$89,7,FALSE)*$E330))))))</x:f>
      </x:c>
      <x:c r="I330" s="25" t="str">
        <x:f>IF($A330="","",IF(AND($C330="",$E330=""),"",IF($E330="","brak danych",IF($E330=0,0,IF(COUNTIFS($A$10:$A$89,$C330)&lt;&gt;1,"brak danych",IF(COUNTIFS($A$10:$A$89,$C330,$H$10:$H$89,"&lt;&gt;")=0,"brak danych",VLOOKUP($C330,$A$10:$J$89,8,FALSE)*$E330))))))</x:f>
      </x:c>
      <x:c r="J330" s="25" t="str">
        <x:f>IF($A330="","",IF(AND($C330="",$E330=""),"",IF($E330="","brak danych",IF($E330=0,0,IF(COUNTIFS($A$10:$A$89,$C330)&lt;&gt;1,"brak danych",IF(COUNTIFS($A$10:$A$89,$C330,$I$10:$I$89,"&lt;&gt;")=0,"brak danych",VLOOKUP($C330,$A$10:$J$89,9,FALSE)*$E330))))))</x:f>
      </x:c>
      <x:c r="K330" s="25" t="str">
        <x:f>IF($A330="","",IF(AND($C330="",$E330=""),"",IF($E330="","brak danych",IF($E330=0,0,IF(COUNTIFS($A$10:$A$89,$C330)&lt;&gt;1,"brak danych",IF(COUNTIFS($A$10:$A$89,$C330,$J$10:$J$89,"&lt;&gt;")=0,"brak danych",VLOOKUP($C330,$A$10:$J$89,10,FALSE)*$E330))))))</x:f>
      </x:c>
      <x:c r="L330" s="24" t="str">
        <x:f>IF($A330="","",IF($F330="","",IF($F330=0,0,IF(COUNTIFS($A$10:$A$89,$C330)&lt;&gt;1,"brak danych",IF(COUNTIFS($A$10:$A$89,$C330,$F$10:$F$89,"&lt;&gt;")=0,"brak danych",VLOOKUP($C330,$A$10:$J$89,6,FALSE)*$F330)))))</x:f>
      </x:c>
      <x:c r="M330" s="25" t="str">
        <x:f>IF($A330="","",IF($F330="","",IF($F330=0,0,IF(COUNTIFS($A$10:$A$89,$C330)&lt;&gt;1,"brak danych",IF(COUNTIFS($A$10:$A$89,$C330,$G$10:$G$89,"&lt;&gt;")=0,"brak danych",VLOOKUP($C330,$A$10:$J$89,7,FALSE)*$F330)))))</x:f>
      </x:c>
      <x:c r="N330" s="25" t="str">
        <x:f>IF($A330="","",IF($F330="","",IF($F330=0,0,IF(COUNTIFS($A$10:$A$89,$C330)&lt;&gt;1,"brak danych",IF(COUNTIFS($A$10:$A$89,$C330,$H$10:$H$89,"&lt;&gt;")=0,"brak danych",VLOOKUP($C330,$A$10:$J$89,8,FALSE)*$F330)))))</x:f>
      </x:c>
      <x:c r="O330" s="25" t="str">
        <x:f>IF($A330="","",IF($F330="","",IF($F330=0,0,IF(COUNTIFS($A$10:$A$89,$C330)&lt;&gt;1,"brak danych",IF(COUNTIFS($A$10:$A$89,$C330,$I$10:$I$89,"&lt;&gt;")=0,"brak danych",VLOOKUP($C330,$A$10:$J$89,9,FALSE)*$F330)))))</x:f>
      </x:c>
      <x:c r="P330" s="25" t="str">
        <x:f>IF($A330="","",IF($F330="","",IF($F330=0,0,IF(COUNTIFS($A$10:$A$89,$C330)&lt;&gt;1,"brak danych",IF(COUNTIFS($A$10:$A$89,$C330,$J$10:$J$89,"&lt;&gt;")=0,"brak danych",VLOOKUP($C330,$A$10:$J$89,10,FALSE)*$F330)))))</x:f>
      </x:c>
      <x:c r="Q330" s="18"/>
    </x:row>
    <x:row r="331" ht="25" customHeight="1">
      <x:c r="A331" s="6"/>
      <x:c r="B331" s="30"/>
      <x:c r="C331" s="5"/>
      <x:c r="D331" s="5"/>
      <x:c r="E331" s="32"/>
      <x:c r="F331" s="32"/>
      <x:c r="G331" s="24" t="str">
        <x:f>IF($A331="","",IF(AND($C331="",$E331=""),"",IF($E331="","brak danych",IF($E331=0,0,IF(COUNTIFS($A$10:$A$89,$C331)&lt;&gt;1,"brak danych",IF(COUNTIFS($A$10:$A$89,$C331,$F$10:$F$89,"&lt;&gt;")=0,"brak danych",VLOOKUP($C331,$A$10:$J$89,6,FALSE)*$E331))))))</x:f>
      </x:c>
      <x:c r="H331" s="25" t="str">
        <x:f>IF($A331="","",IF(AND($C331="",$E331=""),"",IF($E331="","brak danych",IF($E331=0,0,IF(COUNTIFS($A$10:$A$89,$C331)&lt;&gt;1,"brak danych",IF(COUNTIFS($A$10:$A$89,$C331,$G$10:$G$89,"&lt;&gt;")=0,"brak danych",VLOOKUP($C331,$A$10:$J$89,7,FALSE)*$E331))))))</x:f>
      </x:c>
      <x:c r="I331" s="25" t="str">
        <x:f>IF($A331="","",IF(AND($C331="",$E331=""),"",IF($E331="","brak danych",IF($E331=0,0,IF(COUNTIFS($A$10:$A$89,$C331)&lt;&gt;1,"brak danych",IF(COUNTIFS($A$10:$A$89,$C331,$H$10:$H$89,"&lt;&gt;")=0,"brak danych",VLOOKUP($C331,$A$10:$J$89,8,FALSE)*$E331))))))</x:f>
      </x:c>
      <x:c r="J331" s="25" t="str">
        <x:f>IF($A331="","",IF(AND($C331="",$E331=""),"",IF($E331="","brak danych",IF($E331=0,0,IF(COUNTIFS($A$10:$A$89,$C331)&lt;&gt;1,"brak danych",IF(COUNTIFS($A$10:$A$89,$C331,$I$10:$I$89,"&lt;&gt;")=0,"brak danych",VLOOKUP($C331,$A$10:$J$89,9,FALSE)*$E331))))))</x:f>
      </x:c>
      <x:c r="K331" s="25" t="str">
        <x:f>IF($A331="","",IF(AND($C331="",$E331=""),"",IF($E331="","brak danych",IF($E331=0,0,IF(COUNTIFS($A$10:$A$89,$C331)&lt;&gt;1,"brak danych",IF(COUNTIFS($A$10:$A$89,$C331,$J$10:$J$89,"&lt;&gt;")=0,"brak danych",VLOOKUP($C331,$A$10:$J$89,10,FALSE)*$E331))))))</x:f>
      </x:c>
      <x:c r="L331" s="24" t="str">
        <x:f>IF($A331="","",IF($F331="","",IF($F331=0,0,IF(COUNTIFS($A$10:$A$89,$C331)&lt;&gt;1,"brak danych",IF(COUNTIFS($A$10:$A$89,$C331,$F$10:$F$89,"&lt;&gt;")=0,"brak danych",VLOOKUP($C331,$A$10:$J$89,6,FALSE)*$F331)))))</x:f>
      </x:c>
      <x:c r="M331" s="25" t="str">
        <x:f>IF($A331="","",IF($F331="","",IF($F331=0,0,IF(COUNTIFS($A$10:$A$89,$C331)&lt;&gt;1,"brak danych",IF(COUNTIFS($A$10:$A$89,$C331,$G$10:$G$89,"&lt;&gt;")=0,"brak danych",VLOOKUP($C331,$A$10:$J$89,7,FALSE)*$F331)))))</x:f>
      </x:c>
      <x:c r="N331" s="25" t="str">
        <x:f>IF($A331="","",IF($F331="","",IF($F331=0,0,IF(COUNTIFS($A$10:$A$89,$C331)&lt;&gt;1,"brak danych",IF(COUNTIFS($A$10:$A$89,$C331,$H$10:$H$89,"&lt;&gt;")=0,"brak danych",VLOOKUP($C331,$A$10:$J$89,8,FALSE)*$F331)))))</x:f>
      </x:c>
      <x:c r="O331" s="25" t="str">
        <x:f>IF($A331="","",IF($F331="","",IF($F331=0,0,IF(COUNTIFS($A$10:$A$89,$C331)&lt;&gt;1,"brak danych",IF(COUNTIFS($A$10:$A$89,$C331,$I$10:$I$89,"&lt;&gt;")=0,"brak danych",VLOOKUP($C331,$A$10:$J$89,9,FALSE)*$F331)))))</x:f>
      </x:c>
      <x:c r="P331" s="25" t="str">
        <x:f>IF($A331="","",IF($F331="","",IF($F331=0,0,IF(COUNTIFS($A$10:$A$89,$C331)&lt;&gt;1,"brak danych",IF(COUNTIFS($A$10:$A$89,$C331,$J$10:$J$89,"&lt;&gt;")=0,"brak danych",VLOOKUP($C331,$A$10:$J$89,10,FALSE)*$F331)))))</x:f>
      </x:c>
      <x:c r="Q331" s="18"/>
    </x:row>
    <x:row r="332" ht="25" customHeight="1">
      <x:c r="A332" s="6"/>
      <x:c r="B332" s="30"/>
      <x:c r="C332" s="5"/>
      <x:c r="D332" s="5"/>
      <x:c r="E332" s="32"/>
      <x:c r="F332" s="32"/>
      <x:c r="G332" s="24" t="str">
        <x:f>IF($A332="","",IF(AND($C332="",$E332=""),"",IF($E332="","brak danych",IF($E332=0,0,IF(COUNTIFS($A$10:$A$89,$C332)&lt;&gt;1,"brak danych",IF(COUNTIFS($A$10:$A$89,$C332,$F$10:$F$89,"&lt;&gt;")=0,"brak danych",VLOOKUP($C332,$A$10:$J$89,6,FALSE)*$E332))))))</x:f>
      </x:c>
      <x:c r="H332" s="25" t="str">
        <x:f>IF($A332="","",IF(AND($C332="",$E332=""),"",IF($E332="","brak danych",IF($E332=0,0,IF(COUNTIFS($A$10:$A$89,$C332)&lt;&gt;1,"brak danych",IF(COUNTIFS($A$10:$A$89,$C332,$G$10:$G$89,"&lt;&gt;")=0,"brak danych",VLOOKUP($C332,$A$10:$J$89,7,FALSE)*$E332))))))</x:f>
      </x:c>
      <x:c r="I332" s="25" t="str">
        <x:f>IF($A332="","",IF(AND($C332="",$E332=""),"",IF($E332="","brak danych",IF($E332=0,0,IF(COUNTIFS($A$10:$A$89,$C332)&lt;&gt;1,"brak danych",IF(COUNTIFS($A$10:$A$89,$C332,$H$10:$H$89,"&lt;&gt;")=0,"brak danych",VLOOKUP($C332,$A$10:$J$89,8,FALSE)*$E332))))))</x:f>
      </x:c>
      <x:c r="J332" s="25" t="str">
        <x:f>IF($A332="","",IF(AND($C332="",$E332=""),"",IF($E332="","brak danych",IF($E332=0,0,IF(COUNTIFS($A$10:$A$89,$C332)&lt;&gt;1,"brak danych",IF(COUNTIFS($A$10:$A$89,$C332,$I$10:$I$89,"&lt;&gt;")=0,"brak danych",VLOOKUP($C332,$A$10:$J$89,9,FALSE)*$E332))))))</x:f>
      </x:c>
      <x:c r="K332" s="25" t="str">
        <x:f>IF($A332="","",IF(AND($C332="",$E332=""),"",IF($E332="","brak danych",IF($E332=0,0,IF(COUNTIFS($A$10:$A$89,$C332)&lt;&gt;1,"brak danych",IF(COUNTIFS($A$10:$A$89,$C332,$J$10:$J$89,"&lt;&gt;")=0,"brak danych",VLOOKUP($C332,$A$10:$J$89,10,FALSE)*$E332))))))</x:f>
      </x:c>
      <x:c r="L332" s="24" t="str">
        <x:f>IF($A332="","",IF($F332="","",IF($F332=0,0,IF(COUNTIFS($A$10:$A$89,$C332)&lt;&gt;1,"brak danych",IF(COUNTIFS($A$10:$A$89,$C332,$F$10:$F$89,"&lt;&gt;")=0,"brak danych",VLOOKUP($C332,$A$10:$J$89,6,FALSE)*$F332)))))</x:f>
      </x:c>
      <x:c r="M332" s="25" t="str">
        <x:f>IF($A332="","",IF($F332="","",IF($F332=0,0,IF(COUNTIFS($A$10:$A$89,$C332)&lt;&gt;1,"brak danych",IF(COUNTIFS($A$10:$A$89,$C332,$G$10:$G$89,"&lt;&gt;")=0,"brak danych",VLOOKUP($C332,$A$10:$J$89,7,FALSE)*$F332)))))</x:f>
      </x:c>
      <x:c r="N332" s="25" t="str">
        <x:f>IF($A332="","",IF($F332="","",IF($F332=0,0,IF(COUNTIFS($A$10:$A$89,$C332)&lt;&gt;1,"brak danych",IF(COUNTIFS($A$10:$A$89,$C332,$H$10:$H$89,"&lt;&gt;")=0,"brak danych",VLOOKUP($C332,$A$10:$J$89,8,FALSE)*$F332)))))</x:f>
      </x:c>
      <x:c r="O332" s="25" t="str">
        <x:f>IF($A332="","",IF($F332="","",IF($F332=0,0,IF(COUNTIFS($A$10:$A$89,$C332)&lt;&gt;1,"brak danych",IF(COUNTIFS($A$10:$A$89,$C332,$I$10:$I$89,"&lt;&gt;")=0,"brak danych",VLOOKUP($C332,$A$10:$J$89,9,FALSE)*$F332)))))</x:f>
      </x:c>
      <x:c r="P332" s="25" t="str">
        <x:f>IF($A332="","",IF($F332="","",IF($F332=0,0,IF(COUNTIFS($A$10:$A$89,$C332)&lt;&gt;1,"brak danych",IF(COUNTIFS($A$10:$A$89,$C332,$J$10:$J$89,"&lt;&gt;")=0,"brak danych",VLOOKUP($C332,$A$10:$J$89,10,FALSE)*$F332)))))</x:f>
      </x:c>
      <x:c r="Q332" s="18"/>
    </x:row>
    <x:row r="333" ht="25" customHeight="1">
      <x:c r="A333" s="6"/>
      <x:c r="B333" s="30"/>
      <x:c r="C333" s="5"/>
      <x:c r="D333" s="5"/>
      <x:c r="E333" s="32"/>
      <x:c r="F333" s="32"/>
      <x:c r="G333" s="24" t="str">
        <x:f>IF($A333="","",IF(AND($C333="",$E333=""),"",IF($E333="","brak danych",IF($E333=0,0,IF(COUNTIFS($A$10:$A$89,$C333)&lt;&gt;1,"brak danych",IF(COUNTIFS($A$10:$A$89,$C333,$F$10:$F$89,"&lt;&gt;")=0,"brak danych",VLOOKUP($C333,$A$10:$J$89,6,FALSE)*$E333))))))</x:f>
      </x:c>
      <x:c r="H333" s="25" t="str">
        <x:f>IF($A333="","",IF(AND($C333="",$E333=""),"",IF($E333="","brak danych",IF($E333=0,0,IF(COUNTIFS($A$10:$A$89,$C333)&lt;&gt;1,"brak danych",IF(COUNTIFS($A$10:$A$89,$C333,$G$10:$G$89,"&lt;&gt;")=0,"brak danych",VLOOKUP($C333,$A$10:$J$89,7,FALSE)*$E333))))))</x:f>
      </x:c>
      <x:c r="I333" s="25" t="str">
        <x:f>IF($A333="","",IF(AND($C333="",$E333=""),"",IF($E333="","brak danych",IF($E333=0,0,IF(COUNTIFS($A$10:$A$89,$C333)&lt;&gt;1,"brak danych",IF(COUNTIFS($A$10:$A$89,$C333,$H$10:$H$89,"&lt;&gt;")=0,"brak danych",VLOOKUP($C333,$A$10:$J$89,8,FALSE)*$E333))))))</x:f>
      </x:c>
      <x:c r="J333" s="25" t="str">
        <x:f>IF($A333="","",IF(AND($C333="",$E333=""),"",IF($E333="","brak danych",IF($E333=0,0,IF(COUNTIFS($A$10:$A$89,$C333)&lt;&gt;1,"brak danych",IF(COUNTIFS($A$10:$A$89,$C333,$I$10:$I$89,"&lt;&gt;")=0,"brak danych",VLOOKUP($C333,$A$10:$J$89,9,FALSE)*$E333))))))</x:f>
      </x:c>
      <x:c r="K333" s="25" t="str">
        <x:f>IF($A333="","",IF(AND($C333="",$E333=""),"",IF($E333="","brak danych",IF($E333=0,0,IF(COUNTIFS($A$10:$A$89,$C333)&lt;&gt;1,"brak danych",IF(COUNTIFS($A$10:$A$89,$C333,$J$10:$J$89,"&lt;&gt;")=0,"brak danych",VLOOKUP($C333,$A$10:$J$89,10,FALSE)*$E333))))))</x:f>
      </x:c>
      <x:c r="L333" s="24" t="str">
        <x:f>IF($A333="","",IF($F333="","",IF($F333=0,0,IF(COUNTIFS($A$10:$A$89,$C333)&lt;&gt;1,"brak danych",IF(COUNTIFS($A$10:$A$89,$C333,$F$10:$F$89,"&lt;&gt;")=0,"brak danych",VLOOKUP($C333,$A$10:$J$89,6,FALSE)*$F333)))))</x:f>
      </x:c>
      <x:c r="M333" s="25" t="str">
        <x:f>IF($A333="","",IF($F333="","",IF($F333=0,0,IF(COUNTIFS($A$10:$A$89,$C333)&lt;&gt;1,"brak danych",IF(COUNTIFS($A$10:$A$89,$C333,$G$10:$G$89,"&lt;&gt;")=0,"brak danych",VLOOKUP($C333,$A$10:$J$89,7,FALSE)*$F333)))))</x:f>
      </x:c>
      <x:c r="N333" s="25" t="str">
        <x:f>IF($A333="","",IF($F333="","",IF($F333=0,0,IF(COUNTIFS($A$10:$A$89,$C333)&lt;&gt;1,"brak danych",IF(COUNTIFS($A$10:$A$89,$C333,$H$10:$H$89,"&lt;&gt;")=0,"brak danych",VLOOKUP($C333,$A$10:$J$89,8,FALSE)*$F333)))))</x:f>
      </x:c>
      <x:c r="O333" s="25" t="str">
        <x:f>IF($A333="","",IF($F333="","",IF($F333=0,0,IF(COUNTIFS($A$10:$A$89,$C333)&lt;&gt;1,"brak danych",IF(COUNTIFS($A$10:$A$89,$C333,$I$10:$I$89,"&lt;&gt;")=0,"brak danych",VLOOKUP($C333,$A$10:$J$89,9,FALSE)*$F333)))))</x:f>
      </x:c>
      <x:c r="P333" s="25" t="str">
        <x:f>IF($A333="","",IF($F333="","",IF($F333=0,0,IF(COUNTIFS($A$10:$A$89,$C333)&lt;&gt;1,"brak danych",IF(COUNTIFS($A$10:$A$89,$C333,$J$10:$J$89,"&lt;&gt;")=0,"brak danych",VLOOKUP($C333,$A$10:$J$89,10,FALSE)*$F333)))))</x:f>
      </x:c>
      <x:c r="Q333" s="18"/>
    </x:row>
    <x:row r="334" ht="25" customHeight="1">
      <x:c r="A334" s="6"/>
      <x:c r="B334" s="30"/>
      <x:c r="C334" s="5"/>
      <x:c r="D334" s="5"/>
      <x:c r="E334" s="32"/>
      <x:c r="F334" s="32"/>
      <x:c r="G334" s="24" t="str">
        <x:f>IF($A334="","",IF(AND($C334="",$E334=""),"",IF($E334="","brak danych",IF($E334=0,0,IF(COUNTIFS($A$10:$A$89,$C334)&lt;&gt;1,"brak danych",IF(COUNTIFS($A$10:$A$89,$C334,$F$10:$F$89,"&lt;&gt;")=0,"brak danych",VLOOKUP($C334,$A$10:$J$89,6,FALSE)*$E334))))))</x:f>
      </x:c>
      <x:c r="H334" s="25" t="str">
        <x:f>IF($A334="","",IF(AND($C334="",$E334=""),"",IF($E334="","brak danych",IF($E334=0,0,IF(COUNTIFS($A$10:$A$89,$C334)&lt;&gt;1,"brak danych",IF(COUNTIFS($A$10:$A$89,$C334,$G$10:$G$89,"&lt;&gt;")=0,"brak danych",VLOOKUP($C334,$A$10:$J$89,7,FALSE)*$E334))))))</x:f>
      </x:c>
      <x:c r="I334" s="25" t="str">
        <x:f>IF($A334="","",IF(AND($C334="",$E334=""),"",IF($E334="","brak danych",IF($E334=0,0,IF(COUNTIFS($A$10:$A$89,$C334)&lt;&gt;1,"brak danych",IF(COUNTIFS($A$10:$A$89,$C334,$H$10:$H$89,"&lt;&gt;")=0,"brak danych",VLOOKUP($C334,$A$10:$J$89,8,FALSE)*$E334))))))</x:f>
      </x:c>
      <x:c r="J334" s="25" t="str">
        <x:f>IF($A334="","",IF(AND($C334="",$E334=""),"",IF($E334="","brak danych",IF($E334=0,0,IF(COUNTIFS($A$10:$A$89,$C334)&lt;&gt;1,"brak danych",IF(COUNTIFS($A$10:$A$89,$C334,$I$10:$I$89,"&lt;&gt;")=0,"brak danych",VLOOKUP($C334,$A$10:$J$89,9,FALSE)*$E334))))))</x:f>
      </x:c>
      <x:c r="K334" s="25" t="str">
        <x:f>IF($A334="","",IF(AND($C334="",$E334=""),"",IF($E334="","brak danych",IF($E334=0,0,IF(COUNTIFS($A$10:$A$89,$C334)&lt;&gt;1,"brak danych",IF(COUNTIFS($A$10:$A$89,$C334,$J$10:$J$89,"&lt;&gt;")=0,"brak danych",VLOOKUP($C334,$A$10:$J$89,10,FALSE)*$E334))))))</x:f>
      </x:c>
      <x:c r="L334" s="24" t="str">
        <x:f>IF($A334="","",IF($F334="","",IF($F334=0,0,IF(COUNTIFS($A$10:$A$89,$C334)&lt;&gt;1,"brak danych",IF(COUNTIFS($A$10:$A$89,$C334,$F$10:$F$89,"&lt;&gt;")=0,"brak danych",VLOOKUP($C334,$A$10:$J$89,6,FALSE)*$F334)))))</x:f>
      </x:c>
      <x:c r="M334" s="25" t="str">
        <x:f>IF($A334="","",IF($F334="","",IF($F334=0,0,IF(COUNTIFS($A$10:$A$89,$C334)&lt;&gt;1,"brak danych",IF(COUNTIFS($A$10:$A$89,$C334,$G$10:$G$89,"&lt;&gt;")=0,"brak danych",VLOOKUP($C334,$A$10:$J$89,7,FALSE)*$F334)))))</x:f>
      </x:c>
      <x:c r="N334" s="25" t="str">
        <x:f>IF($A334="","",IF($F334="","",IF($F334=0,0,IF(COUNTIFS($A$10:$A$89,$C334)&lt;&gt;1,"brak danych",IF(COUNTIFS($A$10:$A$89,$C334,$H$10:$H$89,"&lt;&gt;")=0,"brak danych",VLOOKUP($C334,$A$10:$J$89,8,FALSE)*$F334)))))</x:f>
      </x:c>
      <x:c r="O334" s="25" t="str">
        <x:f>IF($A334="","",IF($F334="","",IF($F334=0,0,IF(COUNTIFS($A$10:$A$89,$C334)&lt;&gt;1,"brak danych",IF(COUNTIFS($A$10:$A$89,$C334,$I$10:$I$89,"&lt;&gt;")=0,"brak danych",VLOOKUP($C334,$A$10:$J$89,9,FALSE)*$F334)))))</x:f>
      </x:c>
      <x:c r="P334" s="25" t="str">
        <x:f>IF($A334="","",IF($F334="","",IF($F334=0,0,IF(COUNTIFS($A$10:$A$89,$C334)&lt;&gt;1,"brak danych",IF(COUNTIFS($A$10:$A$89,$C334,$J$10:$J$89,"&lt;&gt;")=0,"brak danych",VLOOKUP($C334,$A$10:$J$89,10,FALSE)*$F334)))))</x:f>
      </x:c>
      <x:c r="Q334" s="18"/>
    </x:row>
    <x:row r="335" ht="25" customHeight="1">
      <x:c r="A335" s="6"/>
      <x:c r="B335" s="30"/>
      <x:c r="C335" s="5"/>
      <x:c r="D335" s="5"/>
      <x:c r="E335" s="32"/>
      <x:c r="F335" s="32"/>
      <x:c r="G335" s="24" t="str">
        <x:f>IF($A335="","",IF(AND($C335="",$E335=""),"",IF($E335="","brak danych",IF($E335=0,0,IF(COUNTIFS($A$10:$A$89,$C335)&lt;&gt;1,"brak danych",IF(COUNTIFS($A$10:$A$89,$C335,$F$10:$F$89,"&lt;&gt;")=0,"brak danych",VLOOKUP($C335,$A$10:$J$89,6,FALSE)*$E335))))))</x:f>
      </x:c>
      <x:c r="H335" s="25" t="str">
        <x:f>IF($A335="","",IF(AND($C335="",$E335=""),"",IF($E335="","brak danych",IF($E335=0,0,IF(COUNTIFS($A$10:$A$89,$C335)&lt;&gt;1,"brak danych",IF(COUNTIFS($A$10:$A$89,$C335,$G$10:$G$89,"&lt;&gt;")=0,"brak danych",VLOOKUP($C335,$A$10:$J$89,7,FALSE)*$E335))))))</x:f>
      </x:c>
      <x:c r="I335" s="25" t="str">
        <x:f>IF($A335="","",IF(AND($C335="",$E335=""),"",IF($E335="","brak danych",IF($E335=0,0,IF(COUNTIFS($A$10:$A$89,$C335)&lt;&gt;1,"brak danych",IF(COUNTIFS($A$10:$A$89,$C335,$H$10:$H$89,"&lt;&gt;")=0,"brak danych",VLOOKUP($C335,$A$10:$J$89,8,FALSE)*$E335))))))</x:f>
      </x:c>
      <x:c r="J335" s="25" t="str">
        <x:f>IF($A335="","",IF(AND($C335="",$E335=""),"",IF($E335="","brak danych",IF($E335=0,0,IF(COUNTIFS($A$10:$A$89,$C335)&lt;&gt;1,"brak danych",IF(COUNTIFS($A$10:$A$89,$C335,$I$10:$I$89,"&lt;&gt;")=0,"brak danych",VLOOKUP($C335,$A$10:$J$89,9,FALSE)*$E335))))))</x:f>
      </x:c>
      <x:c r="K335" s="25" t="str">
        <x:f>IF($A335="","",IF(AND($C335="",$E335=""),"",IF($E335="","brak danych",IF($E335=0,0,IF(COUNTIFS($A$10:$A$89,$C335)&lt;&gt;1,"brak danych",IF(COUNTIFS($A$10:$A$89,$C335,$J$10:$J$89,"&lt;&gt;")=0,"brak danych",VLOOKUP($C335,$A$10:$J$89,10,FALSE)*$E335))))))</x:f>
      </x:c>
      <x:c r="L335" s="24" t="str">
        <x:f>IF($A335="","",IF($F335="","",IF($F335=0,0,IF(COUNTIFS($A$10:$A$89,$C335)&lt;&gt;1,"brak danych",IF(COUNTIFS($A$10:$A$89,$C335,$F$10:$F$89,"&lt;&gt;")=0,"brak danych",VLOOKUP($C335,$A$10:$J$89,6,FALSE)*$F335)))))</x:f>
      </x:c>
      <x:c r="M335" s="25" t="str">
        <x:f>IF($A335="","",IF($F335="","",IF($F335=0,0,IF(COUNTIFS($A$10:$A$89,$C335)&lt;&gt;1,"brak danych",IF(COUNTIFS($A$10:$A$89,$C335,$G$10:$G$89,"&lt;&gt;")=0,"brak danych",VLOOKUP($C335,$A$10:$J$89,7,FALSE)*$F335)))))</x:f>
      </x:c>
      <x:c r="N335" s="25" t="str">
        <x:f>IF($A335="","",IF($F335="","",IF($F335=0,0,IF(COUNTIFS($A$10:$A$89,$C335)&lt;&gt;1,"brak danych",IF(COUNTIFS($A$10:$A$89,$C335,$H$10:$H$89,"&lt;&gt;")=0,"brak danych",VLOOKUP($C335,$A$10:$J$89,8,FALSE)*$F335)))))</x:f>
      </x:c>
      <x:c r="O335" s="25" t="str">
        <x:f>IF($A335="","",IF($F335="","",IF($F335=0,0,IF(COUNTIFS($A$10:$A$89,$C335)&lt;&gt;1,"brak danych",IF(COUNTIFS($A$10:$A$89,$C335,$I$10:$I$89,"&lt;&gt;")=0,"brak danych",VLOOKUP($C335,$A$10:$J$89,9,FALSE)*$F335)))))</x:f>
      </x:c>
      <x:c r="P335" s="25" t="str">
        <x:f>IF($A335="","",IF($F335="","",IF($F335=0,0,IF(COUNTIFS($A$10:$A$89,$C335)&lt;&gt;1,"brak danych",IF(COUNTIFS($A$10:$A$89,$C335,$J$10:$J$89,"&lt;&gt;")=0,"brak danych",VLOOKUP($C335,$A$10:$J$89,10,FALSE)*$F335)))))</x:f>
      </x:c>
      <x:c r="Q335" s="18"/>
    </x:row>
    <x:row r="336" ht="25" customHeight="1">
      <x:c r="A336" s="6"/>
      <x:c r="B336" s="30"/>
      <x:c r="C336" s="5"/>
      <x:c r="D336" s="5"/>
      <x:c r="E336" s="32"/>
      <x:c r="F336" s="32"/>
      <x:c r="G336" s="24" t="str">
        <x:f>IF($A336="","",IF(AND($C336="",$E336=""),"",IF($E336="","brak danych",IF($E336=0,0,IF(COUNTIFS($A$10:$A$89,$C336)&lt;&gt;1,"brak danych",IF(COUNTIFS($A$10:$A$89,$C336,$F$10:$F$89,"&lt;&gt;")=0,"brak danych",VLOOKUP($C336,$A$10:$J$89,6,FALSE)*$E336))))))</x:f>
      </x:c>
      <x:c r="H336" s="25" t="str">
        <x:f>IF($A336="","",IF(AND($C336="",$E336=""),"",IF($E336="","brak danych",IF($E336=0,0,IF(COUNTIFS($A$10:$A$89,$C336)&lt;&gt;1,"brak danych",IF(COUNTIFS($A$10:$A$89,$C336,$G$10:$G$89,"&lt;&gt;")=0,"brak danych",VLOOKUP($C336,$A$10:$J$89,7,FALSE)*$E336))))))</x:f>
      </x:c>
      <x:c r="I336" s="25" t="str">
        <x:f>IF($A336="","",IF(AND($C336="",$E336=""),"",IF($E336="","brak danych",IF($E336=0,0,IF(COUNTIFS($A$10:$A$89,$C336)&lt;&gt;1,"brak danych",IF(COUNTIFS($A$10:$A$89,$C336,$H$10:$H$89,"&lt;&gt;")=0,"brak danych",VLOOKUP($C336,$A$10:$J$89,8,FALSE)*$E336))))))</x:f>
      </x:c>
      <x:c r="J336" s="25" t="str">
        <x:f>IF($A336="","",IF(AND($C336="",$E336=""),"",IF($E336="","brak danych",IF($E336=0,0,IF(COUNTIFS($A$10:$A$89,$C336)&lt;&gt;1,"brak danych",IF(COUNTIFS($A$10:$A$89,$C336,$I$10:$I$89,"&lt;&gt;")=0,"brak danych",VLOOKUP($C336,$A$10:$J$89,9,FALSE)*$E336))))))</x:f>
      </x:c>
      <x:c r="K336" s="25" t="str">
        <x:f>IF($A336="","",IF(AND($C336="",$E336=""),"",IF($E336="","brak danych",IF($E336=0,0,IF(COUNTIFS($A$10:$A$89,$C336)&lt;&gt;1,"brak danych",IF(COUNTIFS($A$10:$A$89,$C336,$J$10:$J$89,"&lt;&gt;")=0,"brak danych",VLOOKUP($C336,$A$10:$J$89,10,FALSE)*$E336))))))</x:f>
      </x:c>
      <x:c r="L336" s="24" t="str">
        <x:f>IF($A336="","",IF($F336="","",IF($F336=0,0,IF(COUNTIFS($A$10:$A$89,$C336)&lt;&gt;1,"brak danych",IF(COUNTIFS($A$10:$A$89,$C336,$F$10:$F$89,"&lt;&gt;")=0,"brak danych",VLOOKUP($C336,$A$10:$J$89,6,FALSE)*$F336)))))</x:f>
      </x:c>
      <x:c r="M336" s="25" t="str">
        <x:f>IF($A336="","",IF($F336="","",IF($F336=0,0,IF(COUNTIFS($A$10:$A$89,$C336)&lt;&gt;1,"brak danych",IF(COUNTIFS($A$10:$A$89,$C336,$G$10:$G$89,"&lt;&gt;")=0,"brak danych",VLOOKUP($C336,$A$10:$J$89,7,FALSE)*$F336)))))</x:f>
      </x:c>
      <x:c r="N336" s="25" t="str">
        <x:f>IF($A336="","",IF($F336="","",IF($F336=0,0,IF(COUNTIFS($A$10:$A$89,$C336)&lt;&gt;1,"brak danych",IF(COUNTIFS($A$10:$A$89,$C336,$H$10:$H$89,"&lt;&gt;")=0,"brak danych",VLOOKUP($C336,$A$10:$J$89,8,FALSE)*$F336)))))</x:f>
      </x:c>
      <x:c r="O336" s="25" t="str">
        <x:f>IF($A336="","",IF($F336="","",IF($F336=0,0,IF(COUNTIFS($A$10:$A$89,$C336)&lt;&gt;1,"brak danych",IF(COUNTIFS($A$10:$A$89,$C336,$I$10:$I$89,"&lt;&gt;")=0,"brak danych",VLOOKUP($C336,$A$10:$J$89,9,FALSE)*$F336)))))</x:f>
      </x:c>
      <x:c r="P336" s="25" t="str">
        <x:f>IF($A336="","",IF($F336="","",IF($F336=0,0,IF(COUNTIFS($A$10:$A$89,$C336)&lt;&gt;1,"brak danych",IF(COUNTIFS($A$10:$A$89,$C336,$J$10:$J$89,"&lt;&gt;")=0,"brak danych",VLOOKUP($C336,$A$10:$J$89,10,FALSE)*$F336)))))</x:f>
      </x:c>
      <x:c r="Q336" s="18"/>
    </x:row>
    <x:row r="337" ht="25" customHeight="1">
      <x:c r="A337" s="6"/>
      <x:c r="B337" s="30"/>
      <x:c r="C337" s="5"/>
      <x:c r="D337" s="5"/>
      <x:c r="E337" s="32"/>
      <x:c r="F337" s="32"/>
      <x:c r="G337" s="24" t="str">
        <x:f>IF($A337="","",IF(AND($C337="",$E337=""),"",IF($E337="","brak danych",IF($E337=0,0,IF(COUNTIFS($A$10:$A$89,$C337)&lt;&gt;1,"brak danych",IF(COUNTIFS($A$10:$A$89,$C337,$F$10:$F$89,"&lt;&gt;")=0,"brak danych",VLOOKUP($C337,$A$10:$J$89,6,FALSE)*$E337))))))</x:f>
      </x:c>
      <x:c r="H337" s="25" t="str">
        <x:f>IF($A337="","",IF(AND($C337="",$E337=""),"",IF($E337="","brak danych",IF($E337=0,0,IF(COUNTIFS($A$10:$A$89,$C337)&lt;&gt;1,"brak danych",IF(COUNTIFS($A$10:$A$89,$C337,$G$10:$G$89,"&lt;&gt;")=0,"brak danych",VLOOKUP($C337,$A$10:$J$89,7,FALSE)*$E337))))))</x:f>
      </x:c>
      <x:c r="I337" s="25" t="str">
        <x:f>IF($A337="","",IF(AND($C337="",$E337=""),"",IF($E337="","brak danych",IF($E337=0,0,IF(COUNTIFS($A$10:$A$89,$C337)&lt;&gt;1,"brak danych",IF(COUNTIFS($A$10:$A$89,$C337,$H$10:$H$89,"&lt;&gt;")=0,"brak danych",VLOOKUP($C337,$A$10:$J$89,8,FALSE)*$E337))))))</x:f>
      </x:c>
      <x:c r="J337" s="25" t="str">
        <x:f>IF($A337="","",IF(AND($C337="",$E337=""),"",IF($E337="","brak danych",IF($E337=0,0,IF(COUNTIFS($A$10:$A$89,$C337)&lt;&gt;1,"brak danych",IF(COUNTIFS($A$10:$A$89,$C337,$I$10:$I$89,"&lt;&gt;")=0,"brak danych",VLOOKUP($C337,$A$10:$J$89,9,FALSE)*$E337))))))</x:f>
      </x:c>
      <x:c r="K337" s="25" t="str">
        <x:f>IF($A337="","",IF(AND($C337="",$E337=""),"",IF($E337="","brak danych",IF($E337=0,0,IF(COUNTIFS($A$10:$A$89,$C337)&lt;&gt;1,"brak danych",IF(COUNTIFS($A$10:$A$89,$C337,$J$10:$J$89,"&lt;&gt;")=0,"brak danych",VLOOKUP($C337,$A$10:$J$89,10,FALSE)*$E337))))))</x:f>
      </x:c>
      <x:c r="L337" s="24" t="str">
        <x:f>IF($A337="","",IF($F337="","",IF($F337=0,0,IF(COUNTIFS($A$10:$A$89,$C337)&lt;&gt;1,"brak danych",IF(COUNTIFS($A$10:$A$89,$C337,$F$10:$F$89,"&lt;&gt;")=0,"brak danych",VLOOKUP($C337,$A$10:$J$89,6,FALSE)*$F337)))))</x:f>
      </x:c>
      <x:c r="M337" s="25" t="str">
        <x:f>IF($A337="","",IF($F337="","",IF($F337=0,0,IF(COUNTIFS($A$10:$A$89,$C337)&lt;&gt;1,"brak danych",IF(COUNTIFS($A$10:$A$89,$C337,$G$10:$G$89,"&lt;&gt;")=0,"brak danych",VLOOKUP($C337,$A$10:$J$89,7,FALSE)*$F337)))))</x:f>
      </x:c>
      <x:c r="N337" s="25" t="str">
        <x:f>IF($A337="","",IF($F337="","",IF($F337=0,0,IF(COUNTIFS($A$10:$A$89,$C337)&lt;&gt;1,"brak danych",IF(COUNTIFS($A$10:$A$89,$C337,$H$10:$H$89,"&lt;&gt;")=0,"brak danych",VLOOKUP($C337,$A$10:$J$89,8,FALSE)*$F337)))))</x:f>
      </x:c>
      <x:c r="O337" s="25" t="str">
        <x:f>IF($A337="","",IF($F337="","",IF($F337=0,0,IF(COUNTIFS($A$10:$A$89,$C337)&lt;&gt;1,"brak danych",IF(COUNTIFS($A$10:$A$89,$C337,$I$10:$I$89,"&lt;&gt;")=0,"brak danych",VLOOKUP($C337,$A$10:$J$89,9,FALSE)*$F337)))))</x:f>
      </x:c>
      <x:c r="P337" s="25" t="str">
        <x:f>IF($A337="","",IF($F337="","",IF($F337=0,0,IF(COUNTIFS($A$10:$A$89,$C337)&lt;&gt;1,"brak danych",IF(COUNTIFS($A$10:$A$89,$C337,$J$10:$J$89,"&lt;&gt;")=0,"brak danych",VLOOKUP($C337,$A$10:$J$89,10,FALSE)*$F337)))))</x:f>
      </x:c>
      <x:c r="Q337" s="18"/>
    </x:row>
    <x:row r="338" ht="25" customHeight="1">
      <x:c r="A338" s="6"/>
      <x:c r="B338" s="30"/>
      <x:c r="C338" s="5"/>
      <x:c r="D338" s="5"/>
      <x:c r="E338" s="32"/>
      <x:c r="F338" s="32"/>
      <x:c r="G338" s="24" t="str">
        <x:f>IF($A338="","",IF(AND($C338="",$E338=""),"",IF($E338="","brak danych",IF($E338=0,0,IF(COUNTIFS($A$10:$A$89,$C338)&lt;&gt;1,"brak danych",IF(COUNTIFS($A$10:$A$89,$C338,$F$10:$F$89,"&lt;&gt;")=0,"brak danych",VLOOKUP($C338,$A$10:$J$89,6,FALSE)*$E338))))))</x:f>
      </x:c>
      <x:c r="H338" s="25" t="str">
        <x:f>IF($A338="","",IF(AND($C338="",$E338=""),"",IF($E338="","brak danych",IF($E338=0,0,IF(COUNTIFS($A$10:$A$89,$C338)&lt;&gt;1,"brak danych",IF(COUNTIFS($A$10:$A$89,$C338,$G$10:$G$89,"&lt;&gt;")=0,"brak danych",VLOOKUP($C338,$A$10:$J$89,7,FALSE)*$E338))))))</x:f>
      </x:c>
      <x:c r="I338" s="25" t="str">
        <x:f>IF($A338="","",IF(AND($C338="",$E338=""),"",IF($E338="","brak danych",IF($E338=0,0,IF(COUNTIFS($A$10:$A$89,$C338)&lt;&gt;1,"brak danych",IF(COUNTIFS($A$10:$A$89,$C338,$H$10:$H$89,"&lt;&gt;")=0,"brak danych",VLOOKUP($C338,$A$10:$J$89,8,FALSE)*$E338))))))</x:f>
      </x:c>
      <x:c r="J338" s="25" t="str">
        <x:f>IF($A338="","",IF(AND($C338="",$E338=""),"",IF($E338="","brak danych",IF($E338=0,0,IF(COUNTIFS($A$10:$A$89,$C338)&lt;&gt;1,"brak danych",IF(COUNTIFS($A$10:$A$89,$C338,$I$10:$I$89,"&lt;&gt;")=0,"brak danych",VLOOKUP($C338,$A$10:$J$89,9,FALSE)*$E338))))))</x:f>
      </x:c>
      <x:c r="K338" s="25" t="str">
        <x:f>IF($A338="","",IF(AND($C338="",$E338=""),"",IF($E338="","brak danych",IF($E338=0,0,IF(COUNTIFS($A$10:$A$89,$C338)&lt;&gt;1,"brak danych",IF(COUNTIFS($A$10:$A$89,$C338,$J$10:$J$89,"&lt;&gt;")=0,"brak danych",VLOOKUP($C338,$A$10:$J$89,10,FALSE)*$E338))))))</x:f>
      </x:c>
      <x:c r="L338" s="24" t="str">
        <x:f>IF($A338="","",IF($F338="","",IF($F338=0,0,IF(COUNTIFS($A$10:$A$89,$C338)&lt;&gt;1,"brak danych",IF(COUNTIFS($A$10:$A$89,$C338,$F$10:$F$89,"&lt;&gt;")=0,"brak danych",VLOOKUP($C338,$A$10:$J$89,6,FALSE)*$F338)))))</x:f>
      </x:c>
      <x:c r="M338" s="25" t="str">
        <x:f>IF($A338="","",IF($F338="","",IF($F338=0,0,IF(COUNTIFS($A$10:$A$89,$C338)&lt;&gt;1,"brak danych",IF(COUNTIFS($A$10:$A$89,$C338,$G$10:$G$89,"&lt;&gt;")=0,"brak danych",VLOOKUP($C338,$A$10:$J$89,7,FALSE)*$F338)))))</x:f>
      </x:c>
      <x:c r="N338" s="25" t="str">
        <x:f>IF($A338="","",IF($F338="","",IF($F338=0,0,IF(COUNTIFS($A$10:$A$89,$C338)&lt;&gt;1,"brak danych",IF(COUNTIFS($A$10:$A$89,$C338,$H$10:$H$89,"&lt;&gt;")=0,"brak danych",VLOOKUP($C338,$A$10:$J$89,8,FALSE)*$F338)))))</x:f>
      </x:c>
      <x:c r="O338" s="25" t="str">
        <x:f>IF($A338="","",IF($F338="","",IF($F338=0,0,IF(COUNTIFS($A$10:$A$89,$C338)&lt;&gt;1,"brak danych",IF(COUNTIFS($A$10:$A$89,$C338,$I$10:$I$89,"&lt;&gt;")=0,"brak danych",VLOOKUP($C338,$A$10:$J$89,9,FALSE)*$F338)))))</x:f>
      </x:c>
      <x:c r="P338" s="25" t="str">
        <x:f>IF($A338="","",IF($F338="","",IF($F338=0,0,IF(COUNTIFS($A$10:$A$89,$C338)&lt;&gt;1,"brak danych",IF(COUNTIFS($A$10:$A$89,$C338,$J$10:$J$89,"&lt;&gt;")=0,"brak danych",VLOOKUP($C338,$A$10:$J$89,10,FALSE)*$F338)))))</x:f>
      </x:c>
      <x:c r="Q338" s="18"/>
    </x:row>
    <x:row r="339" ht="25" customHeight="1">
      <x:c r="A339" s="6"/>
      <x:c r="B339" s="30"/>
      <x:c r="C339" s="5"/>
      <x:c r="D339" s="5"/>
      <x:c r="E339" s="32"/>
      <x:c r="F339" s="32"/>
      <x:c r="G339" s="24" t="str">
        <x:f>IF($A339="","",IF(AND($C339="",$E339=""),"",IF($E339="","brak danych",IF($E339=0,0,IF(COUNTIFS($A$10:$A$89,$C339)&lt;&gt;1,"brak danych",IF(COUNTIFS($A$10:$A$89,$C339,$F$10:$F$89,"&lt;&gt;")=0,"brak danych",VLOOKUP($C339,$A$10:$J$89,6,FALSE)*$E339))))))</x:f>
      </x:c>
      <x:c r="H339" s="25" t="str">
        <x:f>IF($A339="","",IF(AND($C339="",$E339=""),"",IF($E339="","brak danych",IF($E339=0,0,IF(COUNTIFS($A$10:$A$89,$C339)&lt;&gt;1,"brak danych",IF(COUNTIFS($A$10:$A$89,$C339,$G$10:$G$89,"&lt;&gt;")=0,"brak danych",VLOOKUP($C339,$A$10:$J$89,7,FALSE)*$E339))))))</x:f>
      </x:c>
      <x:c r="I339" s="25" t="str">
        <x:f>IF($A339="","",IF(AND($C339="",$E339=""),"",IF($E339="","brak danych",IF($E339=0,0,IF(COUNTIFS($A$10:$A$89,$C339)&lt;&gt;1,"brak danych",IF(COUNTIFS($A$10:$A$89,$C339,$H$10:$H$89,"&lt;&gt;")=0,"brak danych",VLOOKUP($C339,$A$10:$J$89,8,FALSE)*$E339))))))</x:f>
      </x:c>
      <x:c r="J339" s="25" t="str">
        <x:f>IF($A339="","",IF(AND($C339="",$E339=""),"",IF($E339="","brak danych",IF($E339=0,0,IF(COUNTIFS($A$10:$A$89,$C339)&lt;&gt;1,"brak danych",IF(COUNTIFS($A$10:$A$89,$C339,$I$10:$I$89,"&lt;&gt;")=0,"brak danych",VLOOKUP($C339,$A$10:$J$89,9,FALSE)*$E339))))))</x:f>
      </x:c>
      <x:c r="K339" s="25" t="str">
        <x:f>IF($A339="","",IF(AND($C339="",$E339=""),"",IF($E339="","brak danych",IF($E339=0,0,IF(COUNTIFS($A$10:$A$89,$C339)&lt;&gt;1,"brak danych",IF(COUNTIFS($A$10:$A$89,$C339,$J$10:$J$89,"&lt;&gt;")=0,"brak danych",VLOOKUP($C339,$A$10:$J$89,10,FALSE)*$E339))))))</x:f>
      </x:c>
      <x:c r="L339" s="24" t="str">
        <x:f>IF($A339="","",IF($F339="","",IF($F339=0,0,IF(COUNTIFS($A$10:$A$89,$C339)&lt;&gt;1,"brak danych",IF(COUNTIFS($A$10:$A$89,$C339,$F$10:$F$89,"&lt;&gt;")=0,"brak danych",VLOOKUP($C339,$A$10:$J$89,6,FALSE)*$F339)))))</x:f>
      </x:c>
      <x:c r="M339" s="25" t="str">
        <x:f>IF($A339="","",IF($F339="","",IF($F339=0,0,IF(COUNTIFS($A$10:$A$89,$C339)&lt;&gt;1,"brak danych",IF(COUNTIFS($A$10:$A$89,$C339,$G$10:$G$89,"&lt;&gt;")=0,"brak danych",VLOOKUP($C339,$A$10:$J$89,7,FALSE)*$F339)))))</x:f>
      </x:c>
      <x:c r="N339" s="25" t="str">
        <x:f>IF($A339="","",IF($F339="","",IF($F339=0,0,IF(COUNTIFS($A$10:$A$89,$C339)&lt;&gt;1,"brak danych",IF(COUNTIFS($A$10:$A$89,$C339,$H$10:$H$89,"&lt;&gt;")=0,"brak danych",VLOOKUP($C339,$A$10:$J$89,8,FALSE)*$F339)))))</x:f>
      </x:c>
      <x:c r="O339" s="25" t="str">
        <x:f>IF($A339="","",IF($F339="","",IF($F339=0,0,IF(COUNTIFS($A$10:$A$89,$C339)&lt;&gt;1,"brak danych",IF(COUNTIFS($A$10:$A$89,$C339,$I$10:$I$89,"&lt;&gt;")=0,"brak danych",VLOOKUP($C339,$A$10:$J$89,9,FALSE)*$F339)))))</x:f>
      </x:c>
      <x:c r="P339" s="25" t="str">
        <x:f>IF($A339="","",IF($F339="","",IF($F339=0,0,IF(COUNTIFS($A$10:$A$89,$C339)&lt;&gt;1,"brak danych",IF(COUNTIFS($A$10:$A$89,$C339,$J$10:$J$89,"&lt;&gt;")=0,"brak danych",VLOOKUP($C339,$A$10:$J$89,10,FALSE)*$F339)))))</x:f>
      </x:c>
      <x:c r="Q339" s="18"/>
    </x:row>
    <x:row r="340" ht="25" customHeight="1">
      <x:c r="A340" s="6"/>
      <x:c r="B340" s="30"/>
      <x:c r="C340" s="5"/>
      <x:c r="D340" s="5"/>
      <x:c r="E340" s="32"/>
      <x:c r="F340" s="32"/>
      <x:c r="G340" s="24" t="str">
        <x:f>IF($A340="","",IF(AND($C340="",$E340=""),"",IF($E340="","brak danych",IF($E340=0,0,IF(COUNTIFS($A$10:$A$89,$C340)&lt;&gt;1,"brak danych",IF(COUNTIFS($A$10:$A$89,$C340,$F$10:$F$89,"&lt;&gt;")=0,"brak danych",VLOOKUP($C340,$A$10:$J$89,6,FALSE)*$E340))))))</x:f>
      </x:c>
      <x:c r="H340" s="25" t="str">
        <x:f>IF($A340="","",IF(AND($C340="",$E340=""),"",IF($E340="","brak danych",IF($E340=0,0,IF(COUNTIFS($A$10:$A$89,$C340)&lt;&gt;1,"brak danych",IF(COUNTIFS($A$10:$A$89,$C340,$G$10:$G$89,"&lt;&gt;")=0,"brak danych",VLOOKUP($C340,$A$10:$J$89,7,FALSE)*$E340))))))</x:f>
      </x:c>
      <x:c r="I340" s="25" t="str">
        <x:f>IF($A340="","",IF(AND($C340="",$E340=""),"",IF($E340="","brak danych",IF($E340=0,0,IF(COUNTIFS($A$10:$A$89,$C340)&lt;&gt;1,"brak danych",IF(COUNTIFS($A$10:$A$89,$C340,$H$10:$H$89,"&lt;&gt;")=0,"brak danych",VLOOKUP($C340,$A$10:$J$89,8,FALSE)*$E340))))))</x:f>
      </x:c>
      <x:c r="J340" s="25" t="str">
        <x:f>IF($A340="","",IF(AND($C340="",$E340=""),"",IF($E340="","brak danych",IF($E340=0,0,IF(COUNTIFS($A$10:$A$89,$C340)&lt;&gt;1,"brak danych",IF(COUNTIFS($A$10:$A$89,$C340,$I$10:$I$89,"&lt;&gt;")=0,"brak danych",VLOOKUP($C340,$A$10:$J$89,9,FALSE)*$E340))))))</x:f>
      </x:c>
      <x:c r="K340" s="25" t="str">
        <x:f>IF($A340="","",IF(AND($C340="",$E340=""),"",IF($E340="","brak danych",IF($E340=0,0,IF(COUNTIFS($A$10:$A$89,$C340)&lt;&gt;1,"brak danych",IF(COUNTIFS($A$10:$A$89,$C340,$J$10:$J$89,"&lt;&gt;")=0,"brak danych",VLOOKUP($C340,$A$10:$J$89,10,FALSE)*$E340))))))</x:f>
      </x:c>
      <x:c r="L340" s="24" t="str">
        <x:f>IF($A340="","",IF($F340="","",IF($F340=0,0,IF(COUNTIFS($A$10:$A$89,$C340)&lt;&gt;1,"brak danych",IF(COUNTIFS($A$10:$A$89,$C340,$F$10:$F$89,"&lt;&gt;")=0,"brak danych",VLOOKUP($C340,$A$10:$J$89,6,FALSE)*$F340)))))</x:f>
      </x:c>
      <x:c r="M340" s="25" t="str">
        <x:f>IF($A340="","",IF($F340="","",IF($F340=0,0,IF(COUNTIFS($A$10:$A$89,$C340)&lt;&gt;1,"brak danych",IF(COUNTIFS($A$10:$A$89,$C340,$G$10:$G$89,"&lt;&gt;")=0,"brak danych",VLOOKUP($C340,$A$10:$J$89,7,FALSE)*$F340)))))</x:f>
      </x:c>
      <x:c r="N340" s="25" t="str">
        <x:f>IF($A340="","",IF($F340="","",IF($F340=0,0,IF(COUNTIFS($A$10:$A$89,$C340)&lt;&gt;1,"brak danych",IF(COUNTIFS($A$10:$A$89,$C340,$H$10:$H$89,"&lt;&gt;")=0,"brak danych",VLOOKUP($C340,$A$10:$J$89,8,FALSE)*$F340)))))</x:f>
      </x:c>
      <x:c r="O340" s="25" t="str">
        <x:f>IF($A340="","",IF($F340="","",IF($F340=0,0,IF(COUNTIFS($A$10:$A$89,$C340)&lt;&gt;1,"brak danych",IF(COUNTIFS($A$10:$A$89,$C340,$I$10:$I$89,"&lt;&gt;")=0,"brak danych",VLOOKUP($C340,$A$10:$J$89,9,FALSE)*$F340)))))</x:f>
      </x:c>
      <x:c r="P340" s="25" t="str">
        <x:f>IF($A340="","",IF($F340="","",IF($F340=0,0,IF(COUNTIFS($A$10:$A$89,$C340)&lt;&gt;1,"brak danych",IF(COUNTIFS($A$10:$A$89,$C340,$J$10:$J$89,"&lt;&gt;")=0,"brak danych",VLOOKUP($C340,$A$10:$J$89,10,FALSE)*$F340)))))</x:f>
      </x:c>
      <x:c r="Q340" s="18"/>
    </x:row>
    <x:row r="341" ht="25" customHeight="1">
      <x:c r="A341" s="6"/>
      <x:c r="B341" s="30"/>
      <x:c r="C341" s="5"/>
      <x:c r="D341" s="5"/>
      <x:c r="E341" s="32"/>
      <x:c r="F341" s="32"/>
      <x:c r="G341" s="24" t="str">
        <x:f>IF($A341="","",IF(AND($C341="",$E341=""),"",IF($E341="","brak danych",IF($E341=0,0,IF(COUNTIFS($A$10:$A$89,$C341)&lt;&gt;1,"brak danych",IF(COUNTIFS($A$10:$A$89,$C341,$F$10:$F$89,"&lt;&gt;")=0,"brak danych",VLOOKUP($C341,$A$10:$J$89,6,FALSE)*$E341))))))</x:f>
      </x:c>
      <x:c r="H341" s="25" t="str">
        <x:f>IF($A341="","",IF(AND($C341="",$E341=""),"",IF($E341="","brak danych",IF($E341=0,0,IF(COUNTIFS($A$10:$A$89,$C341)&lt;&gt;1,"brak danych",IF(COUNTIFS($A$10:$A$89,$C341,$G$10:$G$89,"&lt;&gt;")=0,"brak danych",VLOOKUP($C341,$A$10:$J$89,7,FALSE)*$E341))))))</x:f>
      </x:c>
      <x:c r="I341" s="25" t="str">
        <x:f>IF($A341="","",IF(AND($C341="",$E341=""),"",IF($E341="","brak danych",IF($E341=0,0,IF(COUNTIFS($A$10:$A$89,$C341)&lt;&gt;1,"brak danych",IF(COUNTIFS($A$10:$A$89,$C341,$H$10:$H$89,"&lt;&gt;")=0,"brak danych",VLOOKUP($C341,$A$10:$J$89,8,FALSE)*$E341))))))</x:f>
      </x:c>
      <x:c r="J341" s="25" t="str">
        <x:f>IF($A341="","",IF(AND($C341="",$E341=""),"",IF($E341="","brak danych",IF($E341=0,0,IF(COUNTIFS($A$10:$A$89,$C341)&lt;&gt;1,"brak danych",IF(COUNTIFS($A$10:$A$89,$C341,$I$10:$I$89,"&lt;&gt;")=0,"brak danych",VLOOKUP($C341,$A$10:$J$89,9,FALSE)*$E341))))))</x:f>
      </x:c>
      <x:c r="K341" s="25" t="str">
        <x:f>IF($A341="","",IF(AND($C341="",$E341=""),"",IF($E341="","brak danych",IF($E341=0,0,IF(COUNTIFS($A$10:$A$89,$C341)&lt;&gt;1,"brak danych",IF(COUNTIFS($A$10:$A$89,$C341,$J$10:$J$89,"&lt;&gt;")=0,"brak danych",VLOOKUP($C341,$A$10:$J$89,10,FALSE)*$E341))))))</x:f>
      </x:c>
      <x:c r="L341" s="24" t="str">
        <x:f>IF($A341="","",IF($F341="","",IF($F341=0,0,IF(COUNTIFS($A$10:$A$89,$C341)&lt;&gt;1,"brak danych",IF(COUNTIFS($A$10:$A$89,$C341,$F$10:$F$89,"&lt;&gt;")=0,"brak danych",VLOOKUP($C341,$A$10:$J$89,6,FALSE)*$F341)))))</x:f>
      </x:c>
      <x:c r="M341" s="25" t="str">
        <x:f>IF($A341="","",IF($F341="","",IF($F341=0,0,IF(COUNTIFS($A$10:$A$89,$C341)&lt;&gt;1,"brak danych",IF(COUNTIFS($A$10:$A$89,$C341,$G$10:$G$89,"&lt;&gt;")=0,"brak danych",VLOOKUP($C341,$A$10:$J$89,7,FALSE)*$F341)))))</x:f>
      </x:c>
      <x:c r="N341" s="25" t="str">
        <x:f>IF($A341="","",IF($F341="","",IF($F341=0,0,IF(COUNTIFS($A$10:$A$89,$C341)&lt;&gt;1,"brak danych",IF(COUNTIFS($A$10:$A$89,$C341,$H$10:$H$89,"&lt;&gt;")=0,"brak danych",VLOOKUP($C341,$A$10:$J$89,8,FALSE)*$F341)))))</x:f>
      </x:c>
      <x:c r="O341" s="25" t="str">
        <x:f>IF($A341="","",IF($F341="","",IF($F341=0,0,IF(COUNTIFS($A$10:$A$89,$C341)&lt;&gt;1,"brak danych",IF(COUNTIFS($A$10:$A$89,$C341,$I$10:$I$89,"&lt;&gt;")=0,"brak danych",VLOOKUP($C341,$A$10:$J$89,9,FALSE)*$F341)))))</x:f>
      </x:c>
      <x:c r="P341" s="25" t="str">
        <x:f>IF($A341="","",IF($F341="","",IF($F341=0,0,IF(COUNTIFS($A$10:$A$89,$C341)&lt;&gt;1,"brak danych",IF(COUNTIFS($A$10:$A$89,$C341,$J$10:$J$89,"&lt;&gt;")=0,"brak danych",VLOOKUP($C341,$A$10:$J$89,10,FALSE)*$F341)))))</x:f>
      </x:c>
      <x:c r="Q341" s="18"/>
    </x:row>
    <x:row r="342" ht="25" customHeight="1">
      <x:c r="A342" s="6"/>
      <x:c r="B342" s="30"/>
      <x:c r="C342" s="5"/>
      <x:c r="D342" s="5"/>
      <x:c r="E342" s="32"/>
      <x:c r="F342" s="32"/>
      <x:c r="G342" s="24" t="str">
        <x:f>IF($A342="","",IF(AND($C342="",$E342=""),"",IF($E342="","brak danych",IF($E342=0,0,IF(COUNTIFS($A$10:$A$89,$C342)&lt;&gt;1,"brak danych",IF(COUNTIFS($A$10:$A$89,$C342,$F$10:$F$89,"&lt;&gt;")=0,"brak danych",VLOOKUP($C342,$A$10:$J$89,6,FALSE)*$E342))))))</x:f>
      </x:c>
      <x:c r="H342" s="25" t="str">
        <x:f>IF($A342="","",IF(AND($C342="",$E342=""),"",IF($E342="","brak danych",IF($E342=0,0,IF(COUNTIFS($A$10:$A$89,$C342)&lt;&gt;1,"brak danych",IF(COUNTIFS($A$10:$A$89,$C342,$G$10:$G$89,"&lt;&gt;")=0,"brak danych",VLOOKUP($C342,$A$10:$J$89,7,FALSE)*$E342))))))</x:f>
      </x:c>
      <x:c r="I342" s="25" t="str">
        <x:f>IF($A342="","",IF(AND($C342="",$E342=""),"",IF($E342="","brak danych",IF($E342=0,0,IF(COUNTIFS($A$10:$A$89,$C342)&lt;&gt;1,"brak danych",IF(COUNTIFS($A$10:$A$89,$C342,$H$10:$H$89,"&lt;&gt;")=0,"brak danych",VLOOKUP($C342,$A$10:$J$89,8,FALSE)*$E342))))))</x:f>
      </x:c>
      <x:c r="J342" s="25" t="str">
        <x:f>IF($A342="","",IF(AND($C342="",$E342=""),"",IF($E342="","brak danych",IF($E342=0,0,IF(COUNTIFS($A$10:$A$89,$C342)&lt;&gt;1,"brak danych",IF(COUNTIFS($A$10:$A$89,$C342,$I$10:$I$89,"&lt;&gt;")=0,"brak danych",VLOOKUP($C342,$A$10:$J$89,9,FALSE)*$E342))))))</x:f>
      </x:c>
      <x:c r="K342" s="25" t="str">
        <x:f>IF($A342="","",IF(AND($C342="",$E342=""),"",IF($E342="","brak danych",IF($E342=0,0,IF(COUNTIFS($A$10:$A$89,$C342)&lt;&gt;1,"brak danych",IF(COUNTIFS($A$10:$A$89,$C342,$J$10:$J$89,"&lt;&gt;")=0,"brak danych",VLOOKUP($C342,$A$10:$J$89,10,FALSE)*$E342))))))</x:f>
      </x:c>
      <x:c r="L342" s="24" t="str">
        <x:f>IF($A342="","",IF($F342="","",IF($F342=0,0,IF(COUNTIFS($A$10:$A$89,$C342)&lt;&gt;1,"brak danych",IF(COUNTIFS($A$10:$A$89,$C342,$F$10:$F$89,"&lt;&gt;")=0,"brak danych",VLOOKUP($C342,$A$10:$J$89,6,FALSE)*$F342)))))</x:f>
      </x:c>
      <x:c r="M342" s="25" t="str">
        <x:f>IF($A342="","",IF($F342="","",IF($F342=0,0,IF(COUNTIFS($A$10:$A$89,$C342)&lt;&gt;1,"brak danych",IF(COUNTIFS($A$10:$A$89,$C342,$G$10:$G$89,"&lt;&gt;")=0,"brak danych",VLOOKUP($C342,$A$10:$J$89,7,FALSE)*$F342)))))</x:f>
      </x:c>
      <x:c r="N342" s="25" t="str">
        <x:f>IF($A342="","",IF($F342="","",IF($F342=0,0,IF(COUNTIFS($A$10:$A$89,$C342)&lt;&gt;1,"brak danych",IF(COUNTIFS($A$10:$A$89,$C342,$H$10:$H$89,"&lt;&gt;")=0,"brak danych",VLOOKUP($C342,$A$10:$J$89,8,FALSE)*$F342)))))</x:f>
      </x:c>
      <x:c r="O342" s="25" t="str">
        <x:f>IF($A342="","",IF($F342="","",IF($F342=0,0,IF(COUNTIFS($A$10:$A$89,$C342)&lt;&gt;1,"brak danych",IF(COUNTIFS($A$10:$A$89,$C342,$I$10:$I$89,"&lt;&gt;")=0,"brak danych",VLOOKUP($C342,$A$10:$J$89,9,FALSE)*$F342)))))</x:f>
      </x:c>
      <x:c r="P342" s="25" t="str">
        <x:f>IF($A342="","",IF($F342="","",IF($F342=0,0,IF(COUNTIFS($A$10:$A$89,$C342)&lt;&gt;1,"brak danych",IF(COUNTIFS($A$10:$A$89,$C342,$J$10:$J$89,"&lt;&gt;")=0,"brak danych",VLOOKUP($C342,$A$10:$J$89,10,FALSE)*$F342)))))</x:f>
      </x:c>
      <x:c r="Q342" s="18"/>
    </x:row>
    <x:row r="343" ht="25" customHeight="1">
      <x:c r="A343" s="6"/>
      <x:c r="B343" s="30"/>
      <x:c r="C343" s="5"/>
      <x:c r="D343" s="5"/>
      <x:c r="E343" s="32"/>
      <x:c r="F343" s="32"/>
      <x:c r="G343" s="24" t="str">
        <x:f>IF($A343="","",IF(AND($C343="",$E343=""),"",IF($E343="","brak danych",IF($E343=0,0,IF(COUNTIFS($A$10:$A$89,$C343)&lt;&gt;1,"brak danych",IF(COUNTIFS($A$10:$A$89,$C343,$F$10:$F$89,"&lt;&gt;")=0,"brak danych",VLOOKUP($C343,$A$10:$J$89,6,FALSE)*$E343))))))</x:f>
      </x:c>
      <x:c r="H343" s="25" t="str">
        <x:f>IF($A343="","",IF(AND($C343="",$E343=""),"",IF($E343="","brak danych",IF($E343=0,0,IF(COUNTIFS($A$10:$A$89,$C343)&lt;&gt;1,"brak danych",IF(COUNTIFS($A$10:$A$89,$C343,$G$10:$G$89,"&lt;&gt;")=0,"brak danych",VLOOKUP($C343,$A$10:$J$89,7,FALSE)*$E343))))))</x:f>
      </x:c>
      <x:c r="I343" s="25" t="str">
        <x:f>IF($A343="","",IF(AND($C343="",$E343=""),"",IF($E343="","brak danych",IF($E343=0,0,IF(COUNTIFS($A$10:$A$89,$C343)&lt;&gt;1,"brak danych",IF(COUNTIFS($A$10:$A$89,$C343,$H$10:$H$89,"&lt;&gt;")=0,"brak danych",VLOOKUP($C343,$A$10:$J$89,8,FALSE)*$E343))))))</x:f>
      </x:c>
      <x:c r="J343" s="25" t="str">
        <x:f>IF($A343="","",IF(AND($C343="",$E343=""),"",IF($E343="","brak danych",IF($E343=0,0,IF(COUNTIFS($A$10:$A$89,$C343)&lt;&gt;1,"brak danych",IF(COUNTIFS($A$10:$A$89,$C343,$I$10:$I$89,"&lt;&gt;")=0,"brak danych",VLOOKUP($C343,$A$10:$J$89,9,FALSE)*$E343))))))</x:f>
      </x:c>
      <x:c r="K343" s="25" t="str">
        <x:f>IF($A343="","",IF(AND($C343="",$E343=""),"",IF($E343="","brak danych",IF($E343=0,0,IF(COUNTIFS($A$10:$A$89,$C343)&lt;&gt;1,"brak danych",IF(COUNTIFS($A$10:$A$89,$C343,$J$10:$J$89,"&lt;&gt;")=0,"brak danych",VLOOKUP($C343,$A$10:$J$89,10,FALSE)*$E343))))))</x:f>
      </x:c>
      <x:c r="L343" s="24" t="str">
        <x:f>IF($A343="","",IF($F343="","",IF($F343=0,0,IF(COUNTIFS($A$10:$A$89,$C343)&lt;&gt;1,"brak danych",IF(COUNTIFS($A$10:$A$89,$C343,$F$10:$F$89,"&lt;&gt;")=0,"brak danych",VLOOKUP($C343,$A$10:$J$89,6,FALSE)*$F343)))))</x:f>
      </x:c>
      <x:c r="M343" s="25" t="str">
        <x:f>IF($A343="","",IF($F343="","",IF($F343=0,0,IF(COUNTIFS($A$10:$A$89,$C343)&lt;&gt;1,"brak danych",IF(COUNTIFS($A$10:$A$89,$C343,$G$10:$G$89,"&lt;&gt;")=0,"brak danych",VLOOKUP($C343,$A$10:$J$89,7,FALSE)*$F343)))))</x:f>
      </x:c>
      <x:c r="N343" s="25" t="str">
        <x:f>IF($A343="","",IF($F343="","",IF($F343=0,0,IF(COUNTIFS($A$10:$A$89,$C343)&lt;&gt;1,"brak danych",IF(COUNTIFS($A$10:$A$89,$C343,$H$10:$H$89,"&lt;&gt;")=0,"brak danych",VLOOKUP($C343,$A$10:$J$89,8,FALSE)*$F343)))))</x:f>
      </x:c>
      <x:c r="O343" s="25" t="str">
        <x:f>IF($A343="","",IF($F343="","",IF($F343=0,0,IF(COUNTIFS($A$10:$A$89,$C343)&lt;&gt;1,"brak danych",IF(COUNTIFS($A$10:$A$89,$C343,$I$10:$I$89,"&lt;&gt;")=0,"brak danych",VLOOKUP($C343,$A$10:$J$89,9,FALSE)*$F343)))))</x:f>
      </x:c>
      <x:c r="P343" s="25" t="str">
        <x:f>IF($A343="","",IF($F343="","",IF($F343=0,0,IF(COUNTIFS($A$10:$A$89,$C343)&lt;&gt;1,"brak danych",IF(COUNTIFS($A$10:$A$89,$C343,$J$10:$J$89,"&lt;&gt;")=0,"brak danych",VLOOKUP($C343,$A$10:$J$89,10,FALSE)*$F343)))))</x:f>
      </x:c>
      <x:c r="Q343" s="18"/>
    </x:row>
    <x:row r="344" ht="25" customHeight="1">
      <x:c r="A344" s="6"/>
      <x:c r="B344" s="30"/>
      <x:c r="C344" s="5"/>
      <x:c r="D344" s="5"/>
      <x:c r="E344" s="32"/>
      <x:c r="F344" s="32"/>
      <x:c r="G344" s="24" t="str">
        <x:f>IF($A344="","",IF(AND($C344="",$E344=""),"",IF($E344="","brak danych",IF($E344=0,0,IF(COUNTIFS($A$10:$A$89,$C344)&lt;&gt;1,"brak danych",IF(COUNTIFS($A$10:$A$89,$C344,$F$10:$F$89,"&lt;&gt;")=0,"brak danych",VLOOKUP($C344,$A$10:$J$89,6,FALSE)*$E344))))))</x:f>
      </x:c>
      <x:c r="H344" s="25" t="str">
        <x:f>IF($A344="","",IF(AND($C344="",$E344=""),"",IF($E344="","brak danych",IF($E344=0,0,IF(COUNTIFS($A$10:$A$89,$C344)&lt;&gt;1,"brak danych",IF(COUNTIFS($A$10:$A$89,$C344,$G$10:$G$89,"&lt;&gt;")=0,"brak danych",VLOOKUP($C344,$A$10:$J$89,7,FALSE)*$E344))))))</x:f>
      </x:c>
      <x:c r="I344" s="25" t="str">
        <x:f>IF($A344="","",IF(AND($C344="",$E344=""),"",IF($E344="","brak danych",IF($E344=0,0,IF(COUNTIFS($A$10:$A$89,$C344)&lt;&gt;1,"brak danych",IF(COUNTIFS($A$10:$A$89,$C344,$H$10:$H$89,"&lt;&gt;")=0,"brak danych",VLOOKUP($C344,$A$10:$J$89,8,FALSE)*$E344))))))</x:f>
      </x:c>
      <x:c r="J344" s="25" t="str">
        <x:f>IF($A344="","",IF(AND($C344="",$E344=""),"",IF($E344="","brak danych",IF($E344=0,0,IF(COUNTIFS($A$10:$A$89,$C344)&lt;&gt;1,"brak danych",IF(COUNTIFS($A$10:$A$89,$C344,$I$10:$I$89,"&lt;&gt;")=0,"brak danych",VLOOKUP($C344,$A$10:$J$89,9,FALSE)*$E344))))))</x:f>
      </x:c>
      <x:c r="K344" s="25" t="str">
        <x:f>IF($A344="","",IF(AND($C344="",$E344=""),"",IF($E344="","brak danych",IF($E344=0,0,IF(COUNTIFS($A$10:$A$89,$C344)&lt;&gt;1,"brak danych",IF(COUNTIFS($A$10:$A$89,$C344,$J$10:$J$89,"&lt;&gt;")=0,"brak danych",VLOOKUP($C344,$A$10:$J$89,10,FALSE)*$E344))))))</x:f>
      </x:c>
      <x:c r="L344" s="24" t="str">
        <x:f>IF($A344="","",IF($F344="","",IF($F344=0,0,IF(COUNTIFS($A$10:$A$89,$C344)&lt;&gt;1,"brak danych",IF(COUNTIFS($A$10:$A$89,$C344,$F$10:$F$89,"&lt;&gt;")=0,"brak danych",VLOOKUP($C344,$A$10:$J$89,6,FALSE)*$F344)))))</x:f>
      </x:c>
      <x:c r="M344" s="25" t="str">
        <x:f>IF($A344="","",IF($F344="","",IF($F344=0,0,IF(COUNTIFS($A$10:$A$89,$C344)&lt;&gt;1,"brak danych",IF(COUNTIFS($A$10:$A$89,$C344,$G$10:$G$89,"&lt;&gt;")=0,"brak danych",VLOOKUP($C344,$A$10:$J$89,7,FALSE)*$F344)))))</x:f>
      </x:c>
      <x:c r="N344" s="25" t="str">
        <x:f>IF($A344="","",IF($F344="","",IF($F344=0,0,IF(COUNTIFS($A$10:$A$89,$C344)&lt;&gt;1,"brak danych",IF(COUNTIFS($A$10:$A$89,$C344,$H$10:$H$89,"&lt;&gt;")=0,"brak danych",VLOOKUP($C344,$A$10:$J$89,8,FALSE)*$F344)))))</x:f>
      </x:c>
      <x:c r="O344" s="25" t="str">
        <x:f>IF($A344="","",IF($F344="","",IF($F344=0,0,IF(COUNTIFS($A$10:$A$89,$C344)&lt;&gt;1,"brak danych",IF(COUNTIFS($A$10:$A$89,$C344,$I$10:$I$89,"&lt;&gt;")=0,"brak danych",VLOOKUP($C344,$A$10:$J$89,9,FALSE)*$F344)))))</x:f>
      </x:c>
      <x:c r="P344" s="25" t="str">
        <x:f>IF($A344="","",IF($F344="","",IF($F344=0,0,IF(COUNTIFS($A$10:$A$89,$C344)&lt;&gt;1,"brak danych",IF(COUNTIFS($A$10:$A$89,$C344,$J$10:$J$89,"&lt;&gt;")=0,"brak danych",VLOOKUP($C344,$A$10:$J$89,10,FALSE)*$F344)))))</x:f>
      </x:c>
      <x:c r="Q344" s="18"/>
    </x:row>
    <x:row r="345" ht="25" customHeight="1">
      <x:c r="A345" s="6"/>
      <x:c r="B345" s="30"/>
      <x:c r="C345" s="5"/>
      <x:c r="D345" s="5"/>
      <x:c r="E345" s="32"/>
      <x:c r="F345" s="32"/>
      <x:c r="G345" s="24" t="str">
        <x:f>IF($A345="","",IF(AND($C345="",$E345=""),"",IF($E345="","brak danych",IF($E345=0,0,IF(COUNTIFS($A$10:$A$89,$C345)&lt;&gt;1,"brak danych",IF(COUNTIFS($A$10:$A$89,$C345,$F$10:$F$89,"&lt;&gt;")=0,"brak danych",VLOOKUP($C345,$A$10:$J$89,6,FALSE)*$E345))))))</x:f>
      </x:c>
      <x:c r="H345" s="25" t="str">
        <x:f>IF($A345="","",IF(AND($C345="",$E345=""),"",IF($E345="","brak danych",IF($E345=0,0,IF(COUNTIFS($A$10:$A$89,$C345)&lt;&gt;1,"brak danych",IF(COUNTIFS($A$10:$A$89,$C345,$G$10:$G$89,"&lt;&gt;")=0,"brak danych",VLOOKUP($C345,$A$10:$J$89,7,FALSE)*$E345))))))</x:f>
      </x:c>
      <x:c r="I345" s="25" t="str">
        <x:f>IF($A345="","",IF(AND($C345="",$E345=""),"",IF($E345="","brak danych",IF($E345=0,0,IF(COUNTIFS($A$10:$A$89,$C345)&lt;&gt;1,"brak danych",IF(COUNTIFS($A$10:$A$89,$C345,$H$10:$H$89,"&lt;&gt;")=0,"brak danych",VLOOKUP($C345,$A$10:$J$89,8,FALSE)*$E345))))))</x:f>
      </x:c>
      <x:c r="J345" s="25" t="str">
        <x:f>IF($A345="","",IF(AND($C345="",$E345=""),"",IF($E345="","brak danych",IF($E345=0,0,IF(COUNTIFS($A$10:$A$89,$C345)&lt;&gt;1,"brak danych",IF(COUNTIFS($A$10:$A$89,$C345,$I$10:$I$89,"&lt;&gt;")=0,"brak danych",VLOOKUP($C345,$A$10:$J$89,9,FALSE)*$E345))))))</x:f>
      </x:c>
      <x:c r="K345" s="25" t="str">
        <x:f>IF($A345="","",IF(AND($C345="",$E345=""),"",IF($E345="","brak danych",IF($E345=0,0,IF(COUNTIFS($A$10:$A$89,$C345)&lt;&gt;1,"brak danych",IF(COUNTIFS($A$10:$A$89,$C345,$J$10:$J$89,"&lt;&gt;")=0,"brak danych",VLOOKUP($C345,$A$10:$J$89,10,FALSE)*$E345))))))</x:f>
      </x:c>
      <x:c r="L345" s="24" t="str">
        <x:f>IF($A345="","",IF($F345="","",IF($F345=0,0,IF(COUNTIFS($A$10:$A$89,$C345)&lt;&gt;1,"brak danych",IF(COUNTIFS($A$10:$A$89,$C345,$F$10:$F$89,"&lt;&gt;")=0,"brak danych",VLOOKUP($C345,$A$10:$J$89,6,FALSE)*$F345)))))</x:f>
      </x:c>
      <x:c r="M345" s="25" t="str">
        <x:f>IF($A345="","",IF($F345="","",IF($F345=0,0,IF(COUNTIFS($A$10:$A$89,$C345)&lt;&gt;1,"brak danych",IF(COUNTIFS($A$10:$A$89,$C345,$G$10:$G$89,"&lt;&gt;")=0,"brak danych",VLOOKUP($C345,$A$10:$J$89,7,FALSE)*$F345)))))</x:f>
      </x:c>
      <x:c r="N345" s="25" t="str">
        <x:f>IF($A345="","",IF($F345="","",IF($F345=0,0,IF(COUNTIFS($A$10:$A$89,$C345)&lt;&gt;1,"brak danych",IF(COUNTIFS($A$10:$A$89,$C345,$H$10:$H$89,"&lt;&gt;")=0,"brak danych",VLOOKUP($C345,$A$10:$J$89,8,FALSE)*$F345)))))</x:f>
      </x:c>
      <x:c r="O345" s="25" t="str">
        <x:f>IF($A345="","",IF($F345="","",IF($F345=0,0,IF(COUNTIFS($A$10:$A$89,$C345)&lt;&gt;1,"brak danych",IF(COUNTIFS($A$10:$A$89,$C345,$I$10:$I$89,"&lt;&gt;")=0,"brak danych",VLOOKUP($C345,$A$10:$J$89,9,FALSE)*$F345)))))</x:f>
      </x:c>
      <x:c r="P345" s="25" t="str">
        <x:f>IF($A345="","",IF($F345="","",IF($F345=0,0,IF(COUNTIFS($A$10:$A$89,$C345)&lt;&gt;1,"brak danych",IF(COUNTIFS($A$10:$A$89,$C345,$J$10:$J$89,"&lt;&gt;")=0,"brak danych",VLOOKUP($C345,$A$10:$J$89,10,FALSE)*$F345)))))</x:f>
      </x:c>
      <x:c r="Q345" s="18"/>
    </x:row>
    <x:row r="346" ht="25" customHeight="1">
      <x:c r="A346" s="6"/>
      <x:c r="B346" s="30"/>
      <x:c r="C346" s="5"/>
      <x:c r="D346" s="5"/>
      <x:c r="E346" s="32"/>
      <x:c r="F346" s="32"/>
      <x:c r="G346" s="24" t="str">
        <x:f>IF($A346="","",IF(AND($C346="",$E346=""),"",IF($E346="","brak danych",IF($E346=0,0,IF(COUNTIFS($A$10:$A$89,$C346)&lt;&gt;1,"brak danych",IF(COUNTIFS($A$10:$A$89,$C346,$F$10:$F$89,"&lt;&gt;")=0,"brak danych",VLOOKUP($C346,$A$10:$J$89,6,FALSE)*$E346))))))</x:f>
      </x:c>
      <x:c r="H346" s="25" t="str">
        <x:f>IF($A346="","",IF(AND($C346="",$E346=""),"",IF($E346="","brak danych",IF($E346=0,0,IF(COUNTIFS($A$10:$A$89,$C346)&lt;&gt;1,"brak danych",IF(COUNTIFS($A$10:$A$89,$C346,$G$10:$G$89,"&lt;&gt;")=0,"brak danych",VLOOKUP($C346,$A$10:$J$89,7,FALSE)*$E346))))))</x:f>
      </x:c>
      <x:c r="I346" s="25" t="str">
        <x:f>IF($A346="","",IF(AND($C346="",$E346=""),"",IF($E346="","brak danych",IF($E346=0,0,IF(COUNTIFS($A$10:$A$89,$C346)&lt;&gt;1,"brak danych",IF(COUNTIFS($A$10:$A$89,$C346,$H$10:$H$89,"&lt;&gt;")=0,"brak danych",VLOOKUP($C346,$A$10:$J$89,8,FALSE)*$E346))))))</x:f>
      </x:c>
      <x:c r="J346" s="25" t="str">
        <x:f>IF($A346="","",IF(AND($C346="",$E346=""),"",IF($E346="","brak danych",IF($E346=0,0,IF(COUNTIFS($A$10:$A$89,$C346)&lt;&gt;1,"brak danych",IF(COUNTIFS($A$10:$A$89,$C346,$I$10:$I$89,"&lt;&gt;")=0,"brak danych",VLOOKUP($C346,$A$10:$J$89,9,FALSE)*$E346))))))</x:f>
      </x:c>
      <x:c r="K346" s="25" t="str">
        <x:f>IF($A346="","",IF(AND($C346="",$E346=""),"",IF($E346="","brak danych",IF($E346=0,0,IF(COUNTIFS($A$10:$A$89,$C346)&lt;&gt;1,"brak danych",IF(COUNTIFS($A$10:$A$89,$C346,$J$10:$J$89,"&lt;&gt;")=0,"brak danych",VLOOKUP($C346,$A$10:$J$89,10,FALSE)*$E346))))))</x:f>
      </x:c>
      <x:c r="L346" s="24" t="str">
        <x:f>IF($A346="","",IF($F346="","",IF($F346=0,0,IF(COUNTIFS($A$10:$A$89,$C346)&lt;&gt;1,"brak danych",IF(COUNTIFS($A$10:$A$89,$C346,$F$10:$F$89,"&lt;&gt;")=0,"brak danych",VLOOKUP($C346,$A$10:$J$89,6,FALSE)*$F346)))))</x:f>
      </x:c>
      <x:c r="M346" s="25" t="str">
        <x:f>IF($A346="","",IF($F346="","",IF($F346=0,0,IF(COUNTIFS($A$10:$A$89,$C346)&lt;&gt;1,"brak danych",IF(COUNTIFS($A$10:$A$89,$C346,$G$10:$G$89,"&lt;&gt;")=0,"brak danych",VLOOKUP($C346,$A$10:$J$89,7,FALSE)*$F346)))))</x:f>
      </x:c>
      <x:c r="N346" s="25" t="str">
        <x:f>IF($A346="","",IF($F346="","",IF($F346=0,0,IF(COUNTIFS($A$10:$A$89,$C346)&lt;&gt;1,"brak danych",IF(COUNTIFS($A$10:$A$89,$C346,$H$10:$H$89,"&lt;&gt;")=0,"brak danych",VLOOKUP($C346,$A$10:$J$89,8,FALSE)*$F346)))))</x:f>
      </x:c>
      <x:c r="O346" s="25" t="str">
        <x:f>IF($A346="","",IF($F346="","",IF($F346=0,0,IF(COUNTIFS($A$10:$A$89,$C346)&lt;&gt;1,"brak danych",IF(COUNTIFS($A$10:$A$89,$C346,$I$10:$I$89,"&lt;&gt;")=0,"brak danych",VLOOKUP($C346,$A$10:$J$89,9,FALSE)*$F346)))))</x:f>
      </x:c>
      <x:c r="P346" s="25" t="str">
        <x:f>IF($A346="","",IF($F346="","",IF($F346=0,0,IF(COUNTIFS($A$10:$A$89,$C346)&lt;&gt;1,"brak danych",IF(COUNTIFS($A$10:$A$89,$C346,$J$10:$J$89,"&lt;&gt;")=0,"brak danych",VLOOKUP($C346,$A$10:$J$89,10,FALSE)*$F346)))))</x:f>
      </x:c>
      <x:c r="Q346" s="18"/>
    </x:row>
    <x:row r="347" ht="25" customHeight="1">
      <x:c r="A347" s="6"/>
      <x:c r="B347" s="30"/>
      <x:c r="C347" s="5"/>
      <x:c r="D347" s="5"/>
      <x:c r="E347" s="32"/>
      <x:c r="F347" s="32"/>
      <x:c r="G347" s="24" t="str">
        <x:f>IF($A347="","",IF(AND($C347="",$E347=""),"",IF($E347="","brak danych",IF($E347=0,0,IF(COUNTIFS($A$10:$A$89,$C347)&lt;&gt;1,"brak danych",IF(COUNTIFS($A$10:$A$89,$C347,$F$10:$F$89,"&lt;&gt;")=0,"brak danych",VLOOKUP($C347,$A$10:$J$89,6,FALSE)*$E347))))))</x:f>
      </x:c>
      <x:c r="H347" s="25" t="str">
        <x:f>IF($A347="","",IF(AND($C347="",$E347=""),"",IF($E347="","brak danych",IF($E347=0,0,IF(COUNTIFS($A$10:$A$89,$C347)&lt;&gt;1,"brak danych",IF(COUNTIFS($A$10:$A$89,$C347,$G$10:$G$89,"&lt;&gt;")=0,"brak danych",VLOOKUP($C347,$A$10:$J$89,7,FALSE)*$E347))))))</x:f>
      </x:c>
      <x:c r="I347" s="25" t="str">
        <x:f>IF($A347="","",IF(AND($C347="",$E347=""),"",IF($E347="","brak danych",IF($E347=0,0,IF(COUNTIFS($A$10:$A$89,$C347)&lt;&gt;1,"brak danych",IF(COUNTIFS($A$10:$A$89,$C347,$H$10:$H$89,"&lt;&gt;")=0,"brak danych",VLOOKUP($C347,$A$10:$J$89,8,FALSE)*$E347))))))</x:f>
      </x:c>
      <x:c r="J347" s="25" t="str">
        <x:f>IF($A347="","",IF(AND($C347="",$E347=""),"",IF($E347="","brak danych",IF($E347=0,0,IF(COUNTIFS($A$10:$A$89,$C347)&lt;&gt;1,"brak danych",IF(COUNTIFS($A$10:$A$89,$C347,$I$10:$I$89,"&lt;&gt;")=0,"brak danych",VLOOKUP($C347,$A$10:$J$89,9,FALSE)*$E347))))))</x:f>
      </x:c>
      <x:c r="K347" s="25" t="str">
        <x:f>IF($A347="","",IF(AND($C347="",$E347=""),"",IF($E347="","brak danych",IF($E347=0,0,IF(COUNTIFS($A$10:$A$89,$C347)&lt;&gt;1,"brak danych",IF(COUNTIFS($A$10:$A$89,$C347,$J$10:$J$89,"&lt;&gt;")=0,"brak danych",VLOOKUP($C347,$A$10:$J$89,10,FALSE)*$E347))))))</x:f>
      </x:c>
      <x:c r="L347" s="24" t="str">
        <x:f>IF($A347="","",IF($F347="","",IF($F347=0,0,IF(COUNTIFS($A$10:$A$89,$C347)&lt;&gt;1,"brak danych",IF(COUNTIFS($A$10:$A$89,$C347,$F$10:$F$89,"&lt;&gt;")=0,"brak danych",VLOOKUP($C347,$A$10:$J$89,6,FALSE)*$F347)))))</x:f>
      </x:c>
      <x:c r="M347" s="25" t="str">
        <x:f>IF($A347="","",IF($F347="","",IF($F347=0,0,IF(COUNTIFS($A$10:$A$89,$C347)&lt;&gt;1,"brak danych",IF(COUNTIFS($A$10:$A$89,$C347,$G$10:$G$89,"&lt;&gt;")=0,"brak danych",VLOOKUP($C347,$A$10:$J$89,7,FALSE)*$F347)))))</x:f>
      </x:c>
      <x:c r="N347" s="25" t="str">
        <x:f>IF($A347="","",IF($F347="","",IF($F347=0,0,IF(COUNTIFS($A$10:$A$89,$C347)&lt;&gt;1,"brak danych",IF(COUNTIFS($A$10:$A$89,$C347,$H$10:$H$89,"&lt;&gt;")=0,"brak danych",VLOOKUP($C347,$A$10:$J$89,8,FALSE)*$F347)))))</x:f>
      </x:c>
      <x:c r="O347" s="25" t="str">
        <x:f>IF($A347="","",IF($F347="","",IF($F347=0,0,IF(COUNTIFS($A$10:$A$89,$C347)&lt;&gt;1,"brak danych",IF(COUNTIFS($A$10:$A$89,$C347,$I$10:$I$89,"&lt;&gt;")=0,"brak danych",VLOOKUP($C347,$A$10:$J$89,9,FALSE)*$F347)))))</x:f>
      </x:c>
      <x:c r="P347" s="25" t="str">
        <x:f>IF($A347="","",IF($F347="","",IF($F347=0,0,IF(COUNTIFS($A$10:$A$89,$C347)&lt;&gt;1,"brak danych",IF(COUNTIFS($A$10:$A$89,$C347,$J$10:$J$89,"&lt;&gt;")=0,"brak danych",VLOOKUP($C347,$A$10:$J$89,10,FALSE)*$F347)))))</x:f>
      </x:c>
      <x:c r="Q347" s="18"/>
    </x:row>
    <x:row r="348" ht="25" customHeight="1">
      <x:c r="A348" s="6"/>
      <x:c r="B348" s="30"/>
      <x:c r="C348" s="5"/>
      <x:c r="D348" s="5"/>
      <x:c r="E348" s="32"/>
      <x:c r="F348" s="32"/>
      <x:c r="G348" s="24" t="str">
        <x:f>IF($A348="","",IF(AND($C348="",$E348=""),"",IF($E348="","brak danych",IF($E348=0,0,IF(COUNTIFS($A$10:$A$89,$C348)&lt;&gt;1,"brak danych",IF(COUNTIFS($A$10:$A$89,$C348,$F$10:$F$89,"&lt;&gt;")=0,"brak danych",VLOOKUP($C348,$A$10:$J$89,6,FALSE)*$E348))))))</x:f>
      </x:c>
      <x:c r="H348" s="25" t="str">
        <x:f>IF($A348="","",IF(AND($C348="",$E348=""),"",IF($E348="","brak danych",IF($E348=0,0,IF(COUNTIFS($A$10:$A$89,$C348)&lt;&gt;1,"brak danych",IF(COUNTIFS($A$10:$A$89,$C348,$G$10:$G$89,"&lt;&gt;")=0,"brak danych",VLOOKUP($C348,$A$10:$J$89,7,FALSE)*$E348))))))</x:f>
      </x:c>
      <x:c r="I348" s="25" t="str">
        <x:f>IF($A348="","",IF(AND($C348="",$E348=""),"",IF($E348="","brak danych",IF($E348=0,0,IF(COUNTIFS($A$10:$A$89,$C348)&lt;&gt;1,"brak danych",IF(COUNTIFS($A$10:$A$89,$C348,$H$10:$H$89,"&lt;&gt;")=0,"brak danych",VLOOKUP($C348,$A$10:$J$89,8,FALSE)*$E348))))))</x:f>
      </x:c>
      <x:c r="J348" s="25" t="str">
        <x:f>IF($A348="","",IF(AND($C348="",$E348=""),"",IF($E348="","brak danych",IF($E348=0,0,IF(COUNTIFS($A$10:$A$89,$C348)&lt;&gt;1,"brak danych",IF(COUNTIFS($A$10:$A$89,$C348,$I$10:$I$89,"&lt;&gt;")=0,"brak danych",VLOOKUP($C348,$A$10:$J$89,9,FALSE)*$E348))))))</x:f>
      </x:c>
      <x:c r="K348" s="25" t="str">
        <x:f>IF($A348="","",IF(AND($C348="",$E348=""),"",IF($E348="","brak danych",IF($E348=0,0,IF(COUNTIFS($A$10:$A$89,$C348)&lt;&gt;1,"brak danych",IF(COUNTIFS($A$10:$A$89,$C348,$J$10:$J$89,"&lt;&gt;")=0,"brak danych",VLOOKUP($C348,$A$10:$J$89,10,FALSE)*$E348))))))</x:f>
      </x:c>
      <x:c r="L348" s="24" t="str">
        <x:f>IF($A348="","",IF($F348="","",IF($F348=0,0,IF(COUNTIFS($A$10:$A$89,$C348)&lt;&gt;1,"brak danych",IF(COUNTIFS($A$10:$A$89,$C348,$F$10:$F$89,"&lt;&gt;")=0,"brak danych",VLOOKUP($C348,$A$10:$J$89,6,FALSE)*$F348)))))</x:f>
      </x:c>
      <x:c r="M348" s="25" t="str">
        <x:f>IF($A348="","",IF($F348="","",IF($F348=0,0,IF(COUNTIFS($A$10:$A$89,$C348)&lt;&gt;1,"brak danych",IF(COUNTIFS($A$10:$A$89,$C348,$G$10:$G$89,"&lt;&gt;")=0,"brak danych",VLOOKUP($C348,$A$10:$J$89,7,FALSE)*$F348)))))</x:f>
      </x:c>
      <x:c r="N348" s="25" t="str">
        <x:f>IF($A348="","",IF($F348="","",IF($F348=0,0,IF(COUNTIFS($A$10:$A$89,$C348)&lt;&gt;1,"brak danych",IF(COUNTIFS($A$10:$A$89,$C348,$H$10:$H$89,"&lt;&gt;")=0,"brak danych",VLOOKUP($C348,$A$10:$J$89,8,FALSE)*$F348)))))</x:f>
      </x:c>
      <x:c r="O348" s="25" t="str">
        <x:f>IF($A348="","",IF($F348="","",IF($F348=0,0,IF(COUNTIFS($A$10:$A$89,$C348)&lt;&gt;1,"brak danych",IF(COUNTIFS($A$10:$A$89,$C348,$I$10:$I$89,"&lt;&gt;")=0,"brak danych",VLOOKUP($C348,$A$10:$J$89,9,FALSE)*$F348)))))</x:f>
      </x:c>
      <x:c r="P348" s="25" t="str">
        <x:f>IF($A348="","",IF($F348="","",IF($F348=0,0,IF(COUNTIFS($A$10:$A$89,$C348)&lt;&gt;1,"brak danych",IF(COUNTIFS($A$10:$A$89,$C348,$J$10:$J$89,"&lt;&gt;")=0,"brak danych",VLOOKUP($C348,$A$10:$J$89,10,FALSE)*$F348)))))</x:f>
      </x:c>
      <x:c r="Q348" s="18"/>
    </x:row>
    <x:row r="349" ht="25" customHeight="1">
      <x:c r="A349" s="6"/>
      <x:c r="B349" s="30"/>
      <x:c r="C349" s="5"/>
      <x:c r="D349" s="5"/>
      <x:c r="E349" s="32"/>
      <x:c r="F349" s="32"/>
      <x:c r="G349" s="24" t="str">
        <x:f>IF($A349="","",IF(AND($C349="",$E349=""),"",IF($E349="","brak danych",IF($E349=0,0,IF(COUNTIFS($A$10:$A$89,$C349)&lt;&gt;1,"brak danych",IF(COUNTIFS($A$10:$A$89,$C349,$F$10:$F$89,"&lt;&gt;")=0,"brak danych",VLOOKUP($C349,$A$10:$J$89,6,FALSE)*$E349))))))</x:f>
      </x:c>
      <x:c r="H349" s="25" t="str">
        <x:f>IF($A349="","",IF(AND($C349="",$E349=""),"",IF($E349="","brak danych",IF($E349=0,0,IF(COUNTIFS($A$10:$A$89,$C349)&lt;&gt;1,"brak danych",IF(COUNTIFS($A$10:$A$89,$C349,$G$10:$G$89,"&lt;&gt;")=0,"brak danych",VLOOKUP($C349,$A$10:$J$89,7,FALSE)*$E349))))))</x:f>
      </x:c>
      <x:c r="I349" s="25" t="str">
        <x:f>IF($A349="","",IF(AND($C349="",$E349=""),"",IF($E349="","brak danych",IF($E349=0,0,IF(COUNTIFS($A$10:$A$89,$C349)&lt;&gt;1,"brak danych",IF(COUNTIFS($A$10:$A$89,$C349,$H$10:$H$89,"&lt;&gt;")=0,"brak danych",VLOOKUP($C349,$A$10:$J$89,8,FALSE)*$E349))))))</x:f>
      </x:c>
      <x:c r="J349" s="25" t="str">
        <x:f>IF($A349="","",IF(AND($C349="",$E349=""),"",IF($E349="","brak danych",IF($E349=0,0,IF(COUNTIFS($A$10:$A$89,$C349)&lt;&gt;1,"brak danych",IF(COUNTIFS($A$10:$A$89,$C349,$I$10:$I$89,"&lt;&gt;")=0,"brak danych",VLOOKUP($C349,$A$10:$J$89,9,FALSE)*$E349))))))</x:f>
      </x:c>
      <x:c r="K349" s="25" t="str">
        <x:f>IF($A349="","",IF(AND($C349="",$E349=""),"",IF($E349="","brak danych",IF($E349=0,0,IF(COUNTIFS($A$10:$A$89,$C349)&lt;&gt;1,"brak danych",IF(COUNTIFS($A$10:$A$89,$C349,$J$10:$J$89,"&lt;&gt;")=0,"brak danych",VLOOKUP($C349,$A$10:$J$89,10,FALSE)*$E349))))))</x:f>
      </x:c>
      <x:c r="L349" s="24" t="str">
        <x:f>IF($A349="","",IF($F349="","",IF($F349=0,0,IF(COUNTIFS($A$10:$A$89,$C349)&lt;&gt;1,"brak danych",IF(COUNTIFS($A$10:$A$89,$C349,$F$10:$F$89,"&lt;&gt;")=0,"brak danych",VLOOKUP($C349,$A$10:$J$89,6,FALSE)*$F349)))))</x:f>
      </x:c>
      <x:c r="M349" s="25" t="str">
        <x:f>IF($A349="","",IF($F349="","",IF($F349=0,0,IF(COUNTIFS($A$10:$A$89,$C349)&lt;&gt;1,"brak danych",IF(COUNTIFS($A$10:$A$89,$C349,$G$10:$G$89,"&lt;&gt;")=0,"brak danych",VLOOKUP($C349,$A$10:$J$89,7,FALSE)*$F349)))))</x:f>
      </x:c>
      <x:c r="N349" s="25" t="str">
        <x:f>IF($A349="","",IF($F349="","",IF($F349=0,0,IF(COUNTIFS($A$10:$A$89,$C349)&lt;&gt;1,"brak danych",IF(COUNTIFS($A$10:$A$89,$C349,$H$10:$H$89,"&lt;&gt;")=0,"brak danych",VLOOKUP($C349,$A$10:$J$89,8,FALSE)*$F349)))))</x:f>
      </x:c>
      <x:c r="O349" s="25" t="str">
        <x:f>IF($A349="","",IF($F349="","",IF($F349=0,0,IF(COUNTIFS($A$10:$A$89,$C349)&lt;&gt;1,"brak danych",IF(COUNTIFS($A$10:$A$89,$C349,$I$10:$I$89,"&lt;&gt;")=0,"brak danych",VLOOKUP($C349,$A$10:$J$89,9,FALSE)*$F349)))))</x:f>
      </x:c>
      <x:c r="P349" s="25" t="str">
        <x:f>IF($A349="","",IF($F349="","",IF($F349=0,0,IF(COUNTIFS($A$10:$A$89,$C349)&lt;&gt;1,"brak danych",IF(COUNTIFS($A$10:$A$89,$C349,$J$10:$J$89,"&lt;&gt;")=0,"brak danych",VLOOKUP($C349,$A$10:$J$89,10,FALSE)*$F349)))))</x:f>
      </x:c>
      <x:c r="Q349" s="18"/>
    </x:row>
    <x:row r="350" ht="25" customHeight="1">
      <x:c r="A350" s="6"/>
      <x:c r="B350" s="30"/>
      <x:c r="C350" s="5"/>
      <x:c r="D350" s="5"/>
      <x:c r="E350" s="32"/>
      <x:c r="F350" s="32"/>
      <x:c r="G350" s="24" t="str">
        <x:f>IF($A350="","",IF(AND($C350="",$E350=""),"",IF($E350="","brak danych",IF($E350=0,0,IF(COUNTIFS($A$10:$A$89,$C350)&lt;&gt;1,"brak danych",IF(COUNTIFS($A$10:$A$89,$C350,$F$10:$F$89,"&lt;&gt;")=0,"brak danych",VLOOKUP($C350,$A$10:$J$89,6,FALSE)*$E350))))))</x:f>
      </x:c>
      <x:c r="H350" s="25" t="str">
        <x:f>IF($A350="","",IF(AND($C350="",$E350=""),"",IF($E350="","brak danych",IF($E350=0,0,IF(COUNTIFS($A$10:$A$89,$C350)&lt;&gt;1,"brak danych",IF(COUNTIFS($A$10:$A$89,$C350,$G$10:$G$89,"&lt;&gt;")=0,"brak danych",VLOOKUP($C350,$A$10:$J$89,7,FALSE)*$E350))))))</x:f>
      </x:c>
      <x:c r="I350" s="25" t="str">
        <x:f>IF($A350="","",IF(AND($C350="",$E350=""),"",IF($E350="","brak danych",IF($E350=0,0,IF(COUNTIFS($A$10:$A$89,$C350)&lt;&gt;1,"brak danych",IF(COUNTIFS($A$10:$A$89,$C350,$H$10:$H$89,"&lt;&gt;")=0,"brak danych",VLOOKUP($C350,$A$10:$J$89,8,FALSE)*$E350))))))</x:f>
      </x:c>
      <x:c r="J350" s="25" t="str">
        <x:f>IF($A350="","",IF(AND($C350="",$E350=""),"",IF($E350="","brak danych",IF($E350=0,0,IF(COUNTIFS($A$10:$A$89,$C350)&lt;&gt;1,"brak danych",IF(COUNTIFS($A$10:$A$89,$C350,$I$10:$I$89,"&lt;&gt;")=0,"brak danych",VLOOKUP($C350,$A$10:$J$89,9,FALSE)*$E350))))))</x:f>
      </x:c>
      <x:c r="K350" s="25" t="str">
        <x:f>IF($A350="","",IF(AND($C350="",$E350=""),"",IF($E350="","brak danych",IF($E350=0,0,IF(COUNTIFS($A$10:$A$89,$C350)&lt;&gt;1,"brak danych",IF(COUNTIFS($A$10:$A$89,$C350,$J$10:$J$89,"&lt;&gt;")=0,"brak danych",VLOOKUP($C350,$A$10:$J$89,10,FALSE)*$E350))))))</x:f>
      </x:c>
      <x:c r="L350" s="24" t="str">
        <x:f>IF($A350="","",IF($F350="","",IF($F350=0,0,IF(COUNTIFS($A$10:$A$89,$C350)&lt;&gt;1,"brak danych",IF(COUNTIFS($A$10:$A$89,$C350,$F$10:$F$89,"&lt;&gt;")=0,"brak danych",VLOOKUP($C350,$A$10:$J$89,6,FALSE)*$F350)))))</x:f>
      </x:c>
      <x:c r="M350" s="25" t="str">
        <x:f>IF($A350="","",IF($F350="","",IF($F350=0,0,IF(COUNTIFS($A$10:$A$89,$C350)&lt;&gt;1,"brak danych",IF(COUNTIFS($A$10:$A$89,$C350,$G$10:$G$89,"&lt;&gt;")=0,"brak danych",VLOOKUP($C350,$A$10:$J$89,7,FALSE)*$F350)))))</x:f>
      </x:c>
      <x:c r="N350" s="25" t="str">
        <x:f>IF($A350="","",IF($F350="","",IF($F350=0,0,IF(COUNTIFS($A$10:$A$89,$C350)&lt;&gt;1,"brak danych",IF(COUNTIFS($A$10:$A$89,$C350,$H$10:$H$89,"&lt;&gt;")=0,"brak danych",VLOOKUP($C350,$A$10:$J$89,8,FALSE)*$F350)))))</x:f>
      </x:c>
      <x:c r="O350" s="25" t="str">
        <x:f>IF($A350="","",IF($F350="","",IF($F350=0,0,IF(COUNTIFS($A$10:$A$89,$C350)&lt;&gt;1,"brak danych",IF(COUNTIFS($A$10:$A$89,$C350,$I$10:$I$89,"&lt;&gt;")=0,"brak danych",VLOOKUP($C350,$A$10:$J$89,9,FALSE)*$F350)))))</x:f>
      </x:c>
      <x:c r="P350" s="25" t="str">
        <x:f>IF($A350="","",IF($F350="","",IF($F350=0,0,IF(COUNTIFS($A$10:$A$89,$C350)&lt;&gt;1,"brak danych",IF(COUNTIFS($A$10:$A$89,$C350,$J$10:$J$89,"&lt;&gt;")=0,"brak danych",VLOOKUP($C350,$A$10:$J$89,10,FALSE)*$F350)))))</x:f>
      </x:c>
      <x:c r="Q350" s="18"/>
    </x:row>
    <x:row r="351" ht="25" customHeight="1">
      <x:c r="A351" s="6"/>
      <x:c r="B351" s="30"/>
      <x:c r="C351" s="5"/>
      <x:c r="D351" s="5"/>
      <x:c r="E351" s="32"/>
      <x:c r="F351" s="32"/>
      <x:c r="G351" s="24" t="str">
        <x:f>IF($A351="","",IF(AND($C351="",$E351=""),"",IF($E351="","brak danych",IF($E351=0,0,IF(COUNTIFS($A$10:$A$89,$C351)&lt;&gt;1,"brak danych",IF(COUNTIFS($A$10:$A$89,$C351,$F$10:$F$89,"&lt;&gt;")=0,"brak danych",VLOOKUP($C351,$A$10:$J$89,6,FALSE)*$E351))))))</x:f>
      </x:c>
      <x:c r="H351" s="25" t="str">
        <x:f>IF($A351="","",IF(AND($C351="",$E351=""),"",IF($E351="","brak danych",IF($E351=0,0,IF(COUNTIFS($A$10:$A$89,$C351)&lt;&gt;1,"brak danych",IF(COUNTIFS($A$10:$A$89,$C351,$G$10:$G$89,"&lt;&gt;")=0,"brak danych",VLOOKUP($C351,$A$10:$J$89,7,FALSE)*$E351))))))</x:f>
      </x:c>
      <x:c r="I351" s="25" t="str">
        <x:f>IF($A351="","",IF(AND($C351="",$E351=""),"",IF($E351="","brak danych",IF($E351=0,0,IF(COUNTIFS($A$10:$A$89,$C351)&lt;&gt;1,"brak danych",IF(COUNTIFS($A$10:$A$89,$C351,$H$10:$H$89,"&lt;&gt;")=0,"brak danych",VLOOKUP($C351,$A$10:$J$89,8,FALSE)*$E351))))))</x:f>
      </x:c>
      <x:c r="J351" s="25" t="str">
        <x:f>IF($A351="","",IF(AND($C351="",$E351=""),"",IF($E351="","brak danych",IF($E351=0,0,IF(COUNTIFS($A$10:$A$89,$C351)&lt;&gt;1,"brak danych",IF(COUNTIFS($A$10:$A$89,$C351,$I$10:$I$89,"&lt;&gt;")=0,"brak danych",VLOOKUP($C351,$A$10:$J$89,9,FALSE)*$E351))))))</x:f>
      </x:c>
      <x:c r="K351" s="25" t="str">
        <x:f>IF($A351="","",IF(AND($C351="",$E351=""),"",IF($E351="","brak danych",IF($E351=0,0,IF(COUNTIFS($A$10:$A$89,$C351)&lt;&gt;1,"brak danych",IF(COUNTIFS($A$10:$A$89,$C351,$J$10:$J$89,"&lt;&gt;")=0,"brak danych",VLOOKUP($C351,$A$10:$J$89,10,FALSE)*$E351))))))</x:f>
      </x:c>
      <x:c r="L351" s="24" t="str">
        <x:f>IF($A351="","",IF($F351="","",IF($F351=0,0,IF(COUNTIFS($A$10:$A$89,$C351)&lt;&gt;1,"brak danych",IF(COUNTIFS($A$10:$A$89,$C351,$F$10:$F$89,"&lt;&gt;")=0,"brak danych",VLOOKUP($C351,$A$10:$J$89,6,FALSE)*$F351)))))</x:f>
      </x:c>
      <x:c r="M351" s="25" t="str">
        <x:f>IF($A351="","",IF($F351="","",IF($F351=0,0,IF(COUNTIFS($A$10:$A$89,$C351)&lt;&gt;1,"brak danych",IF(COUNTIFS($A$10:$A$89,$C351,$G$10:$G$89,"&lt;&gt;")=0,"brak danych",VLOOKUP($C351,$A$10:$J$89,7,FALSE)*$F351)))))</x:f>
      </x:c>
      <x:c r="N351" s="25" t="str">
        <x:f>IF($A351="","",IF($F351="","",IF($F351=0,0,IF(COUNTIFS($A$10:$A$89,$C351)&lt;&gt;1,"brak danych",IF(COUNTIFS($A$10:$A$89,$C351,$H$10:$H$89,"&lt;&gt;")=0,"brak danych",VLOOKUP($C351,$A$10:$J$89,8,FALSE)*$F351)))))</x:f>
      </x:c>
      <x:c r="O351" s="25" t="str">
        <x:f>IF($A351="","",IF($F351="","",IF($F351=0,0,IF(COUNTIFS($A$10:$A$89,$C351)&lt;&gt;1,"brak danych",IF(COUNTIFS($A$10:$A$89,$C351,$I$10:$I$89,"&lt;&gt;")=0,"brak danych",VLOOKUP($C351,$A$10:$J$89,9,FALSE)*$F351)))))</x:f>
      </x:c>
      <x:c r="P351" s="25" t="str">
        <x:f>IF($A351="","",IF($F351="","",IF($F351=0,0,IF(COUNTIFS($A$10:$A$89,$C351)&lt;&gt;1,"brak danych",IF(COUNTIFS($A$10:$A$89,$C351,$J$10:$J$89,"&lt;&gt;")=0,"brak danych",VLOOKUP($C351,$A$10:$J$89,10,FALSE)*$F351)))))</x:f>
      </x:c>
      <x:c r="Q351" s="18"/>
    </x:row>
    <x:row r="352" ht="25" customHeight="1">
      <x:c r="A352" s="6"/>
      <x:c r="B352" s="30"/>
      <x:c r="C352" s="5"/>
      <x:c r="D352" s="5"/>
      <x:c r="E352" s="32"/>
      <x:c r="F352" s="32"/>
      <x:c r="G352" s="24" t="str">
        <x:f>IF($A352="","",IF(AND($C352="",$E352=""),"",IF($E352="","brak danych",IF($E352=0,0,IF(COUNTIFS($A$10:$A$89,$C352)&lt;&gt;1,"brak danych",IF(COUNTIFS($A$10:$A$89,$C352,$F$10:$F$89,"&lt;&gt;")=0,"brak danych",VLOOKUP($C352,$A$10:$J$89,6,FALSE)*$E352))))))</x:f>
      </x:c>
      <x:c r="H352" s="25" t="str">
        <x:f>IF($A352="","",IF(AND($C352="",$E352=""),"",IF($E352="","brak danych",IF($E352=0,0,IF(COUNTIFS($A$10:$A$89,$C352)&lt;&gt;1,"brak danych",IF(COUNTIFS($A$10:$A$89,$C352,$G$10:$G$89,"&lt;&gt;")=0,"brak danych",VLOOKUP($C352,$A$10:$J$89,7,FALSE)*$E352))))))</x:f>
      </x:c>
      <x:c r="I352" s="25" t="str">
        <x:f>IF($A352="","",IF(AND($C352="",$E352=""),"",IF($E352="","brak danych",IF($E352=0,0,IF(COUNTIFS($A$10:$A$89,$C352)&lt;&gt;1,"brak danych",IF(COUNTIFS($A$10:$A$89,$C352,$H$10:$H$89,"&lt;&gt;")=0,"brak danych",VLOOKUP($C352,$A$10:$J$89,8,FALSE)*$E352))))))</x:f>
      </x:c>
      <x:c r="J352" s="25" t="str">
        <x:f>IF($A352="","",IF(AND($C352="",$E352=""),"",IF($E352="","brak danych",IF($E352=0,0,IF(COUNTIFS($A$10:$A$89,$C352)&lt;&gt;1,"brak danych",IF(COUNTIFS($A$10:$A$89,$C352,$I$10:$I$89,"&lt;&gt;")=0,"brak danych",VLOOKUP($C352,$A$10:$J$89,9,FALSE)*$E352))))))</x:f>
      </x:c>
      <x:c r="K352" s="25" t="str">
        <x:f>IF($A352="","",IF(AND($C352="",$E352=""),"",IF($E352="","brak danych",IF($E352=0,0,IF(COUNTIFS($A$10:$A$89,$C352)&lt;&gt;1,"brak danych",IF(COUNTIFS($A$10:$A$89,$C352,$J$10:$J$89,"&lt;&gt;")=0,"brak danych",VLOOKUP($C352,$A$10:$J$89,10,FALSE)*$E352))))))</x:f>
      </x:c>
      <x:c r="L352" s="24" t="str">
        <x:f>IF($A352="","",IF($F352="","",IF($F352=0,0,IF(COUNTIFS($A$10:$A$89,$C352)&lt;&gt;1,"brak danych",IF(COUNTIFS($A$10:$A$89,$C352,$F$10:$F$89,"&lt;&gt;")=0,"brak danych",VLOOKUP($C352,$A$10:$J$89,6,FALSE)*$F352)))))</x:f>
      </x:c>
      <x:c r="M352" s="25" t="str">
        <x:f>IF($A352="","",IF($F352="","",IF($F352=0,0,IF(COUNTIFS($A$10:$A$89,$C352)&lt;&gt;1,"brak danych",IF(COUNTIFS($A$10:$A$89,$C352,$G$10:$G$89,"&lt;&gt;")=0,"brak danych",VLOOKUP($C352,$A$10:$J$89,7,FALSE)*$F352)))))</x:f>
      </x:c>
      <x:c r="N352" s="25" t="str">
        <x:f>IF($A352="","",IF($F352="","",IF($F352=0,0,IF(COUNTIFS($A$10:$A$89,$C352)&lt;&gt;1,"brak danych",IF(COUNTIFS($A$10:$A$89,$C352,$H$10:$H$89,"&lt;&gt;")=0,"brak danych",VLOOKUP($C352,$A$10:$J$89,8,FALSE)*$F352)))))</x:f>
      </x:c>
      <x:c r="O352" s="25" t="str">
        <x:f>IF($A352="","",IF($F352="","",IF($F352=0,0,IF(COUNTIFS($A$10:$A$89,$C352)&lt;&gt;1,"brak danych",IF(COUNTIFS($A$10:$A$89,$C352,$I$10:$I$89,"&lt;&gt;")=0,"brak danych",VLOOKUP($C352,$A$10:$J$89,9,FALSE)*$F352)))))</x:f>
      </x:c>
      <x:c r="P352" s="25" t="str">
        <x:f>IF($A352="","",IF($F352="","",IF($F352=0,0,IF(COUNTIFS($A$10:$A$89,$C352)&lt;&gt;1,"brak danych",IF(COUNTIFS($A$10:$A$89,$C352,$J$10:$J$89,"&lt;&gt;")=0,"brak danych",VLOOKUP($C352,$A$10:$J$89,10,FALSE)*$F352)))))</x:f>
      </x:c>
      <x:c r="Q352" s="18"/>
    </x:row>
    <x:row r="353" ht="25" customHeight="1">
      <x:c r="A353" s="6"/>
      <x:c r="B353" s="30"/>
      <x:c r="C353" s="5"/>
      <x:c r="D353" s="5"/>
      <x:c r="E353" s="32"/>
      <x:c r="F353" s="32"/>
      <x:c r="G353" s="24" t="str">
        <x:f>IF($A353="","",IF(AND($C353="",$E353=""),"",IF($E353="","brak danych",IF($E353=0,0,IF(COUNTIFS($A$10:$A$89,$C353)&lt;&gt;1,"brak danych",IF(COUNTIFS($A$10:$A$89,$C353,$F$10:$F$89,"&lt;&gt;")=0,"brak danych",VLOOKUP($C353,$A$10:$J$89,6,FALSE)*$E353))))))</x:f>
      </x:c>
      <x:c r="H353" s="25" t="str">
        <x:f>IF($A353="","",IF(AND($C353="",$E353=""),"",IF($E353="","brak danych",IF($E353=0,0,IF(COUNTIFS($A$10:$A$89,$C353)&lt;&gt;1,"brak danych",IF(COUNTIFS($A$10:$A$89,$C353,$G$10:$G$89,"&lt;&gt;")=0,"brak danych",VLOOKUP($C353,$A$10:$J$89,7,FALSE)*$E353))))))</x:f>
      </x:c>
      <x:c r="I353" s="25" t="str">
        <x:f>IF($A353="","",IF(AND($C353="",$E353=""),"",IF($E353="","brak danych",IF($E353=0,0,IF(COUNTIFS($A$10:$A$89,$C353)&lt;&gt;1,"brak danych",IF(COUNTIFS($A$10:$A$89,$C353,$H$10:$H$89,"&lt;&gt;")=0,"brak danych",VLOOKUP($C353,$A$10:$J$89,8,FALSE)*$E353))))))</x:f>
      </x:c>
      <x:c r="J353" s="25" t="str">
        <x:f>IF($A353="","",IF(AND($C353="",$E353=""),"",IF($E353="","brak danych",IF($E353=0,0,IF(COUNTIFS($A$10:$A$89,$C353)&lt;&gt;1,"brak danych",IF(COUNTIFS($A$10:$A$89,$C353,$I$10:$I$89,"&lt;&gt;")=0,"brak danych",VLOOKUP($C353,$A$10:$J$89,9,FALSE)*$E353))))))</x:f>
      </x:c>
      <x:c r="K353" s="25" t="str">
        <x:f>IF($A353="","",IF(AND($C353="",$E353=""),"",IF($E353="","brak danych",IF($E353=0,0,IF(COUNTIFS($A$10:$A$89,$C353)&lt;&gt;1,"brak danych",IF(COUNTIFS($A$10:$A$89,$C353,$J$10:$J$89,"&lt;&gt;")=0,"brak danych",VLOOKUP($C353,$A$10:$J$89,10,FALSE)*$E353))))))</x:f>
      </x:c>
      <x:c r="L353" s="24" t="str">
        <x:f>IF($A353="","",IF($F353="","",IF($F353=0,0,IF(COUNTIFS($A$10:$A$89,$C353)&lt;&gt;1,"brak danych",IF(COUNTIFS($A$10:$A$89,$C353,$F$10:$F$89,"&lt;&gt;")=0,"brak danych",VLOOKUP($C353,$A$10:$J$89,6,FALSE)*$F353)))))</x:f>
      </x:c>
      <x:c r="M353" s="25" t="str">
        <x:f>IF($A353="","",IF($F353="","",IF($F353=0,0,IF(COUNTIFS($A$10:$A$89,$C353)&lt;&gt;1,"brak danych",IF(COUNTIFS($A$10:$A$89,$C353,$G$10:$G$89,"&lt;&gt;")=0,"brak danych",VLOOKUP($C353,$A$10:$J$89,7,FALSE)*$F353)))))</x:f>
      </x:c>
      <x:c r="N353" s="25" t="str">
        <x:f>IF($A353="","",IF($F353="","",IF($F353=0,0,IF(COUNTIFS($A$10:$A$89,$C353)&lt;&gt;1,"brak danych",IF(COUNTIFS($A$10:$A$89,$C353,$H$10:$H$89,"&lt;&gt;")=0,"brak danych",VLOOKUP($C353,$A$10:$J$89,8,FALSE)*$F353)))))</x:f>
      </x:c>
      <x:c r="O353" s="25" t="str">
        <x:f>IF($A353="","",IF($F353="","",IF($F353=0,0,IF(COUNTIFS($A$10:$A$89,$C353)&lt;&gt;1,"brak danych",IF(COUNTIFS($A$10:$A$89,$C353,$I$10:$I$89,"&lt;&gt;")=0,"brak danych",VLOOKUP($C353,$A$10:$J$89,9,FALSE)*$F353)))))</x:f>
      </x:c>
      <x:c r="P353" s="25" t="str">
        <x:f>IF($A353="","",IF($F353="","",IF($F353=0,0,IF(COUNTIFS($A$10:$A$89,$C353)&lt;&gt;1,"brak danych",IF(COUNTIFS($A$10:$A$89,$C353,$J$10:$J$89,"&lt;&gt;")=0,"brak danych",VLOOKUP($C353,$A$10:$J$89,10,FALSE)*$F353)))))</x:f>
      </x:c>
      <x:c r="Q353" s="18"/>
    </x:row>
    <x:row r="354" ht="25" customHeight="1">
      <x:c r="A354" s="6"/>
      <x:c r="B354" s="30"/>
      <x:c r="C354" s="5"/>
      <x:c r="D354" s="5"/>
      <x:c r="E354" s="32"/>
      <x:c r="F354" s="32"/>
      <x:c r="G354" s="24" t="str">
        <x:f>IF($A354="","",IF(AND($C354="",$E354=""),"",IF($E354="","brak danych",IF($E354=0,0,IF(COUNTIFS($A$10:$A$89,$C354)&lt;&gt;1,"brak danych",IF(COUNTIFS($A$10:$A$89,$C354,$F$10:$F$89,"&lt;&gt;")=0,"brak danych",VLOOKUP($C354,$A$10:$J$89,6,FALSE)*$E354))))))</x:f>
      </x:c>
      <x:c r="H354" s="25" t="str">
        <x:f>IF($A354="","",IF(AND($C354="",$E354=""),"",IF($E354="","brak danych",IF($E354=0,0,IF(COUNTIFS($A$10:$A$89,$C354)&lt;&gt;1,"brak danych",IF(COUNTIFS($A$10:$A$89,$C354,$G$10:$G$89,"&lt;&gt;")=0,"brak danych",VLOOKUP($C354,$A$10:$J$89,7,FALSE)*$E354))))))</x:f>
      </x:c>
      <x:c r="I354" s="25" t="str">
        <x:f>IF($A354="","",IF(AND($C354="",$E354=""),"",IF($E354="","brak danych",IF($E354=0,0,IF(COUNTIFS($A$10:$A$89,$C354)&lt;&gt;1,"brak danych",IF(COUNTIFS($A$10:$A$89,$C354,$H$10:$H$89,"&lt;&gt;")=0,"brak danych",VLOOKUP($C354,$A$10:$J$89,8,FALSE)*$E354))))))</x:f>
      </x:c>
      <x:c r="J354" s="25" t="str">
        <x:f>IF($A354="","",IF(AND($C354="",$E354=""),"",IF($E354="","brak danych",IF($E354=0,0,IF(COUNTIFS($A$10:$A$89,$C354)&lt;&gt;1,"brak danych",IF(COUNTIFS($A$10:$A$89,$C354,$I$10:$I$89,"&lt;&gt;")=0,"brak danych",VLOOKUP($C354,$A$10:$J$89,9,FALSE)*$E354))))))</x:f>
      </x:c>
      <x:c r="K354" s="25" t="str">
        <x:f>IF($A354="","",IF(AND($C354="",$E354=""),"",IF($E354="","brak danych",IF($E354=0,0,IF(COUNTIFS($A$10:$A$89,$C354)&lt;&gt;1,"brak danych",IF(COUNTIFS($A$10:$A$89,$C354,$J$10:$J$89,"&lt;&gt;")=0,"brak danych",VLOOKUP($C354,$A$10:$J$89,10,FALSE)*$E354))))))</x:f>
      </x:c>
      <x:c r="L354" s="24" t="str">
        <x:f>IF($A354="","",IF($F354="","",IF($F354=0,0,IF(COUNTIFS($A$10:$A$89,$C354)&lt;&gt;1,"brak danych",IF(COUNTIFS($A$10:$A$89,$C354,$F$10:$F$89,"&lt;&gt;")=0,"brak danych",VLOOKUP($C354,$A$10:$J$89,6,FALSE)*$F354)))))</x:f>
      </x:c>
      <x:c r="M354" s="25" t="str">
        <x:f>IF($A354="","",IF($F354="","",IF($F354=0,0,IF(COUNTIFS($A$10:$A$89,$C354)&lt;&gt;1,"brak danych",IF(COUNTIFS($A$10:$A$89,$C354,$G$10:$G$89,"&lt;&gt;")=0,"brak danych",VLOOKUP($C354,$A$10:$J$89,7,FALSE)*$F354)))))</x:f>
      </x:c>
      <x:c r="N354" s="25" t="str">
        <x:f>IF($A354="","",IF($F354="","",IF($F354=0,0,IF(COUNTIFS($A$10:$A$89,$C354)&lt;&gt;1,"brak danych",IF(COUNTIFS($A$10:$A$89,$C354,$H$10:$H$89,"&lt;&gt;")=0,"brak danych",VLOOKUP($C354,$A$10:$J$89,8,FALSE)*$F354)))))</x:f>
      </x:c>
      <x:c r="O354" s="25" t="str">
        <x:f>IF($A354="","",IF($F354="","",IF($F354=0,0,IF(COUNTIFS($A$10:$A$89,$C354)&lt;&gt;1,"brak danych",IF(COUNTIFS($A$10:$A$89,$C354,$I$10:$I$89,"&lt;&gt;")=0,"brak danych",VLOOKUP($C354,$A$10:$J$89,9,FALSE)*$F354)))))</x:f>
      </x:c>
      <x:c r="P354" s="25" t="str">
        <x:f>IF($A354="","",IF($F354="","",IF($F354=0,0,IF(COUNTIFS($A$10:$A$89,$C354)&lt;&gt;1,"brak danych",IF(COUNTIFS($A$10:$A$89,$C354,$J$10:$J$89,"&lt;&gt;")=0,"brak danych",VLOOKUP($C354,$A$10:$J$89,10,FALSE)*$F354)))))</x:f>
      </x:c>
      <x:c r="Q354" s="18"/>
    </x:row>
    <x:row r="355" ht="25" customHeight="1">
      <x:c r="A355" s="6"/>
      <x:c r="B355" s="30"/>
      <x:c r="C355" s="5"/>
      <x:c r="D355" s="5"/>
      <x:c r="E355" s="32"/>
      <x:c r="F355" s="32"/>
      <x:c r="G355" s="24" t="str">
        <x:f>IF($A355="","",IF(AND($C355="",$E355=""),"",IF($E355="","brak danych",IF($E355=0,0,IF(COUNTIFS($A$10:$A$89,$C355)&lt;&gt;1,"brak danych",IF(COUNTIFS($A$10:$A$89,$C355,$F$10:$F$89,"&lt;&gt;")=0,"brak danych",VLOOKUP($C355,$A$10:$J$89,6,FALSE)*$E355))))))</x:f>
      </x:c>
      <x:c r="H355" s="25" t="str">
        <x:f>IF($A355="","",IF(AND($C355="",$E355=""),"",IF($E355="","brak danych",IF($E355=0,0,IF(COUNTIFS($A$10:$A$89,$C355)&lt;&gt;1,"brak danych",IF(COUNTIFS($A$10:$A$89,$C355,$G$10:$G$89,"&lt;&gt;")=0,"brak danych",VLOOKUP($C355,$A$10:$J$89,7,FALSE)*$E355))))))</x:f>
      </x:c>
      <x:c r="I355" s="25" t="str">
        <x:f>IF($A355="","",IF(AND($C355="",$E355=""),"",IF($E355="","brak danych",IF($E355=0,0,IF(COUNTIFS($A$10:$A$89,$C355)&lt;&gt;1,"brak danych",IF(COUNTIFS($A$10:$A$89,$C355,$H$10:$H$89,"&lt;&gt;")=0,"brak danych",VLOOKUP($C355,$A$10:$J$89,8,FALSE)*$E355))))))</x:f>
      </x:c>
      <x:c r="J355" s="25" t="str">
        <x:f>IF($A355="","",IF(AND($C355="",$E355=""),"",IF($E355="","brak danych",IF($E355=0,0,IF(COUNTIFS($A$10:$A$89,$C355)&lt;&gt;1,"brak danych",IF(COUNTIFS($A$10:$A$89,$C355,$I$10:$I$89,"&lt;&gt;")=0,"brak danych",VLOOKUP($C355,$A$10:$J$89,9,FALSE)*$E355))))))</x:f>
      </x:c>
      <x:c r="K355" s="25" t="str">
        <x:f>IF($A355="","",IF(AND($C355="",$E355=""),"",IF($E355="","brak danych",IF($E355=0,0,IF(COUNTIFS($A$10:$A$89,$C355)&lt;&gt;1,"brak danych",IF(COUNTIFS($A$10:$A$89,$C355,$J$10:$J$89,"&lt;&gt;")=0,"brak danych",VLOOKUP($C355,$A$10:$J$89,10,FALSE)*$E355))))))</x:f>
      </x:c>
      <x:c r="L355" s="24" t="str">
        <x:f>IF($A355="","",IF($F355="","",IF($F355=0,0,IF(COUNTIFS($A$10:$A$89,$C355)&lt;&gt;1,"brak danych",IF(COUNTIFS($A$10:$A$89,$C355,$F$10:$F$89,"&lt;&gt;")=0,"brak danych",VLOOKUP($C355,$A$10:$J$89,6,FALSE)*$F355)))))</x:f>
      </x:c>
      <x:c r="M355" s="25" t="str">
        <x:f>IF($A355="","",IF($F355="","",IF($F355=0,0,IF(COUNTIFS($A$10:$A$89,$C355)&lt;&gt;1,"brak danych",IF(COUNTIFS($A$10:$A$89,$C355,$G$10:$G$89,"&lt;&gt;")=0,"brak danych",VLOOKUP($C355,$A$10:$J$89,7,FALSE)*$F355)))))</x:f>
      </x:c>
      <x:c r="N355" s="25" t="str">
        <x:f>IF($A355="","",IF($F355="","",IF($F355=0,0,IF(COUNTIFS($A$10:$A$89,$C355)&lt;&gt;1,"brak danych",IF(COUNTIFS($A$10:$A$89,$C355,$H$10:$H$89,"&lt;&gt;")=0,"brak danych",VLOOKUP($C355,$A$10:$J$89,8,FALSE)*$F355)))))</x:f>
      </x:c>
      <x:c r="O355" s="25" t="str">
        <x:f>IF($A355="","",IF($F355="","",IF($F355=0,0,IF(COUNTIFS($A$10:$A$89,$C355)&lt;&gt;1,"brak danych",IF(COUNTIFS($A$10:$A$89,$C355,$I$10:$I$89,"&lt;&gt;")=0,"brak danych",VLOOKUP($C355,$A$10:$J$89,9,FALSE)*$F355)))))</x:f>
      </x:c>
      <x:c r="P355" s="25" t="str">
        <x:f>IF($A355="","",IF($F355="","",IF($F355=0,0,IF(COUNTIFS($A$10:$A$89,$C355)&lt;&gt;1,"brak danych",IF(COUNTIFS($A$10:$A$89,$C355,$J$10:$J$89,"&lt;&gt;")=0,"brak danych",VLOOKUP($C355,$A$10:$J$89,10,FALSE)*$F355)))))</x:f>
      </x:c>
      <x:c r="Q355" s="18"/>
    </x:row>
    <x:row r="356" ht="25" customHeight="1">
      <x:c r="A356" s="6"/>
      <x:c r="B356" s="30"/>
      <x:c r="C356" s="5"/>
      <x:c r="D356" s="5"/>
      <x:c r="E356" s="32"/>
      <x:c r="F356" s="32"/>
      <x:c r="G356" s="24" t="str">
        <x:f>IF($A356="","",IF(AND($C356="",$E356=""),"",IF($E356="","brak danych",IF($E356=0,0,IF(COUNTIFS($A$10:$A$89,$C356)&lt;&gt;1,"brak danych",IF(COUNTIFS($A$10:$A$89,$C356,$F$10:$F$89,"&lt;&gt;")=0,"brak danych",VLOOKUP($C356,$A$10:$J$89,6,FALSE)*$E356))))))</x:f>
      </x:c>
      <x:c r="H356" s="25" t="str">
        <x:f>IF($A356="","",IF(AND($C356="",$E356=""),"",IF($E356="","brak danych",IF($E356=0,0,IF(COUNTIFS($A$10:$A$89,$C356)&lt;&gt;1,"brak danych",IF(COUNTIFS($A$10:$A$89,$C356,$G$10:$G$89,"&lt;&gt;")=0,"brak danych",VLOOKUP($C356,$A$10:$J$89,7,FALSE)*$E356))))))</x:f>
      </x:c>
      <x:c r="I356" s="25" t="str">
        <x:f>IF($A356="","",IF(AND($C356="",$E356=""),"",IF($E356="","brak danych",IF($E356=0,0,IF(COUNTIFS($A$10:$A$89,$C356)&lt;&gt;1,"brak danych",IF(COUNTIFS($A$10:$A$89,$C356,$H$10:$H$89,"&lt;&gt;")=0,"brak danych",VLOOKUP($C356,$A$10:$J$89,8,FALSE)*$E356))))))</x:f>
      </x:c>
      <x:c r="J356" s="25" t="str">
        <x:f>IF($A356="","",IF(AND($C356="",$E356=""),"",IF($E356="","brak danych",IF($E356=0,0,IF(COUNTIFS($A$10:$A$89,$C356)&lt;&gt;1,"brak danych",IF(COUNTIFS($A$10:$A$89,$C356,$I$10:$I$89,"&lt;&gt;")=0,"brak danych",VLOOKUP($C356,$A$10:$J$89,9,FALSE)*$E356))))))</x:f>
      </x:c>
      <x:c r="K356" s="25" t="str">
        <x:f>IF($A356="","",IF(AND($C356="",$E356=""),"",IF($E356="","brak danych",IF($E356=0,0,IF(COUNTIFS($A$10:$A$89,$C356)&lt;&gt;1,"brak danych",IF(COUNTIFS($A$10:$A$89,$C356,$J$10:$J$89,"&lt;&gt;")=0,"brak danych",VLOOKUP($C356,$A$10:$J$89,10,FALSE)*$E356))))))</x:f>
      </x:c>
      <x:c r="L356" s="24" t="str">
        <x:f>IF($A356="","",IF($F356="","",IF($F356=0,0,IF(COUNTIFS($A$10:$A$89,$C356)&lt;&gt;1,"brak danych",IF(COUNTIFS($A$10:$A$89,$C356,$F$10:$F$89,"&lt;&gt;")=0,"brak danych",VLOOKUP($C356,$A$10:$J$89,6,FALSE)*$F356)))))</x:f>
      </x:c>
      <x:c r="M356" s="25" t="str">
        <x:f>IF($A356="","",IF($F356="","",IF($F356=0,0,IF(COUNTIFS($A$10:$A$89,$C356)&lt;&gt;1,"brak danych",IF(COUNTIFS($A$10:$A$89,$C356,$G$10:$G$89,"&lt;&gt;")=0,"brak danych",VLOOKUP($C356,$A$10:$J$89,7,FALSE)*$F356)))))</x:f>
      </x:c>
      <x:c r="N356" s="25" t="str">
        <x:f>IF($A356="","",IF($F356="","",IF($F356=0,0,IF(COUNTIFS($A$10:$A$89,$C356)&lt;&gt;1,"brak danych",IF(COUNTIFS($A$10:$A$89,$C356,$H$10:$H$89,"&lt;&gt;")=0,"brak danych",VLOOKUP($C356,$A$10:$J$89,8,FALSE)*$F356)))))</x:f>
      </x:c>
      <x:c r="O356" s="25" t="str">
        <x:f>IF($A356="","",IF($F356="","",IF($F356=0,0,IF(COUNTIFS($A$10:$A$89,$C356)&lt;&gt;1,"brak danych",IF(COUNTIFS($A$10:$A$89,$C356,$I$10:$I$89,"&lt;&gt;")=0,"brak danych",VLOOKUP($C356,$A$10:$J$89,9,FALSE)*$F356)))))</x:f>
      </x:c>
      <x:c r="P356" s="25" t="str">
        <x:f>IF($A356="","",IF($F356="","",IF($F356=0,0,IF(COUNTIFS($A$10:$A$89,$C356)&lt;&gt;1,"brak danych",IF(COUNTIFS($A$10:$A$89,$C356,$J$10:$J$89,"&lt;&gt;")=0,"brak danych",VLOOKUP($C356,$A$10:$J$89,10,FALSE)*$F356)))))</x:f>
      </x:c>
      <x:c r="Q356" s="18"/>
    </x:row>
    <x:row r="357" ht="25" customHeight="1">
      <x:c r="A357" s="6"/>
      <x:c r="B357" s="30"/>
      <x:c r="C357" s="5"/>
      <x:c r="D357" s="5"/>
      <x:c r="E357" s="32"/>
      <x:c r="F357" s="32"/>
      <x:c r="G357" s="24" t="str">
        <x:f>IF($A357="","",IF(AND($C357="",$E357=""),"",IF($E357="","brak danych",IF($E357=0,0,IF(COUNTIFS($A$10:$A$89,$C357)&lt;&gt;1,"brak danych",IF(COUNTIFS($A$10:$A$89,$C357,$F$10:$F$89,"&lt;&gt;")=0,"brak danych",VLOOKUP($C357,$A$10:$J$89,6,FALSE)*$E357))))))</x:f>
      </x:c>
      <x:c r="H357" s="25" t="str">
        <x:f>IF($A357="","",IF(AND($C357="",$E357=""),"",IF($E357="","brak danych",IF($E357=0,0,IF(COUNTIFS($A$10:$A$89,$C357)&lt;&gt;1,"brak danych",IF(COUNTIFS($A$10:$A$89,$C357,$G$10:$G$89,"&lt;&gt;")=0,"brak danych",VLOOKUP($C357,$A$10:$J$89,7,FALSE)*$E357))))))</x:f>
      </x:c>
      <x:c r="I357" s="25" t="str">
        <x:f>IF($A357="","",IF(AND($C357="",$E357=""),"",IF($E357="","brak danych",IF($E357=0,0,IF(COUNTIFS($A$10:$A$89,$C357)&lt;&gt;1,"brak danych",IF(COUNTIFS($A$10:$A$89,$C357,$H$10:$H$89,"&lt;&gt;")=0,"brak danych",VLOOKUP($C357,$A$10:$J$89,8,FALSE)*$E357))))))</x:f>
      </x:c>
      <x:c r="J357" s="25" t="str">
        <x:f>IF($A357="","",IF(AND($C357="",$E357=""),"",IF($E357="","brak danych",IF($E357=0,0,IF(COUNTIFS($A$10:$A$89,$C357)&lt;&gt;1,"brak danych",IF(COUNTIFS($A$10:$A$89,$C357,$I$10:$I$89,"&lt;&gt;")=0,"brak danych",VLOOKUP($C357,$A$10:$J$89,9,FALSE)*$E357))))))</x:f>
      </x:c>
      <x:c r="K357" s="25" t="str">
        <x:f>IF($A357="","",IF(AND($C357="",$E357=""),"",IF($E357="","brak danych",IF($E357=0,0,IF(COUNTIFS($A$10:$A$89,$C357)&lt;&gt;1,"brak danych",IF(COUNTIFS($A$10:$A$89,$C357,$J$10:$J$89,"&lt;&gt;")=0,"brak danych",VLOOKUP($C357,$A$10:$J$89,10,FALSE)*$E357))))))</x:f>
      </x:c>
      <x:c r="L357" s="24" t="str">
        <x:f>IF($A357="","",IF($F357="","",IF($F357=0,0,IF(COUNTIFS($A$10:$A$89,$C357)&lt;&gt;1,"brak danych",IF(COUNTIFS($A$10:$A$89,$C357,$F$10:$F$89,"&lt;&gt;")=0,"brak danych",VLOOKUP($C357,$A$10:$J$89,6,FALSE)*$F357)))))</x:f>
      </x:c>
      <x:c r="M357" s="25" t="str">
        <x:f>IF($A357="","",IF($F357="","",IF($F357=0,0,IF(COUNTIFS($A$10:$A$89,$C357)&lt;&gt;1,"brak danych",IF(COUNTIFS($A$10:$A$89,$C357,$G$10:$G$89,"&lt;&gt;")=0,"brak danych",VLOOKUP($C357,$A$10:$J$89,7,FALSE)*$F357)))))</x:f>
      </x:c>
      <x:c r="N357" s="25" t="str">
        <x:f>IF($A357="","",IF($F357="","",IF($F357=0,0,IF(COUNTIFS($A$10:$A$89,$C357)&lt;&gt;1,"brak danych",IF(COUNTIFS($A$10:$A$89,$C357,$H$10:$H$89,"&lt;&gt;")=0,"brak danych",VLOOKUP($C357,$A$10:$J$89,8,FALSE)*$F357)))))</x:f>
      </x:c>
      <x:c r="O357" s="25" t="str">
        <x:f>IF($A357="","",IF($F357="","",IF($F357=0,0,IF(COUNTIFS($A$10:$A$89,$C357)&lt;&gt;1,"brak danych",IF(COUNTIFS($A$10:$A$89,$C357,$I$10:$I$89,"&lt;&gt;")=0,"brak danych",VLOOKUP($C357,$A$10:$J$89,9,FALSE)*$F357)))))</x:f>
      </x:c>
      <x:c r="P357" s="25" t="str">
        <x:f>IF($A357="","",IF($F357="","",IF($F357=0,0,IF(COUNTIFS($A$10:$A$89,$C357)&lt;&gt;1,"brak danych",IF(COUNTIFS($A$10:$A$89,$C357,$J$10:$J$89,"&lt;&gt;")=0,"brak danych",VLOOKUP($C357,$A$10:$J$89,10,FALSE)*$F357)))))</x:f>
      </x:c>
      <x:c r="Q357" s="18"/>
    </x:row>
    <x:row r="358" ht="25" customHeight="1">
      <x:c r="A358" s="6"/>
      <x:c r="B358" s="30"/>
      <x:c r="C358" s="5"/>
      <x:c r="D358" s="5"/>
      <x:c r="E358" s="32"/>
      <x:c r="F358" s="32"/>
      <x:c r="G358" s="24" t="str">
        <x:f>IF($A358="","",IF(AND($C358="",$E358=""),"",IF($E358="","brak danych",IF($E358=0,0,IF(COUNTIFS($A$10:$A$89,$C358)&lt;&gt;1,"brak danych",IF(COUNTIFS($A$10:$A$89,$C358,$F$10:$F$89,"&lt;&gt;")=0,"brak danych",VLOOKUP($C358,$A$10:$J$89,6,FALSE)*$E358))))))</x:f>
      </x:c>
      <x:c r="H358" s="25" t="str">
        <x:f>IF($A358="","",IF(AND($C358="",$E358=""),"",IF($E358="","brak danych",IF($E358=0,0,IF(COUNTIFS($A$10:$A$89,$C358)&lt;&gt;1,"brak danych",IF(COUNTIFS($A$10:$A$89,$C358,$G$10:$G$89,"&lt;&gt;")=0,"brak danych",VLOOKUP($C358,$A$10:$J$89,7,FALSE)*$E358))))))</x:f>
      </x:c>
      <x:c r="I358" s="25" t="str">
        <x:f>IF($A358="","",IF(AND($C358="",$E358=""),"",IF($E358="","brak danych",IF($E358=0,0,IF(COUNTIFS($A$10:$A$89,$C358)&lt;&gt;1,"brak danych",IF(COUNTIFS($A$10:$A$89,$C358,$H$10:$H$89,"&lt;&gt;")=0,"brak danych",VLOOKUP($C358,$A$10:$J$89,8,FALSE)*$E358))))))</x:f>
      </x:c>
      <x:c r="J358" s="25" t="str">
        <x:f>IF($A358="","",IF(AND($C358="",$E358=""),"",IF($E358="","brak danych",IF($E358=0,0,IF(COUNTIFS($A$10:$A$89,$C358)&lt;&gt;1,"brak danych",IF(COUNTIFS($A$10:$A$89,$C358,$I$10:$I$89,"&lt;&gt;")=0,"brak danych",VLOOKUP($C358,$A$10:$J$89,9,FALSE)*$E358))))))</x:f>
      </x:c>
      <x:c r="K358" s="25" t="str">
        <x:f>IF($A358="","",IF(AND($C358="",$E358=""),"",IF($E358="","brak danych",IF($E358=0,0,IF(COUNTIFS($A$10:$A$89,$C358)&lt;&gt;1,"brak danych",IF(COUNTIFS($A$10:$A$89,$C358,$J$10:$J$89,"&lt;&gt;")=0,"brak danych",VLOOKUP($C358,$A$10:$J$89,10,FALSE)*$E358))))))</x:f>
      </x:c>
      <x:c r="L358" s="24" t="str">
        <x:f>IF($A358="","",IF($F358="","",IF($F358=0,0,IF(COUNTIFS($A$10:$A$89,$C358)&lt;&gt;1,"brak danych",IF(COUNTIFS($A$10:$A$89,$C358,$F$10:$F$89,"&lt;&gt;")=0,"brak danych",VLOOKUP($C358,$A$10:$J$89,6,FALSE)*$F358)))))</x:f>
      </x:c>
      <x:c r="M358" s="25" t="str">
        <x:f>IF($A358="","",IF($F358="","",IF($F358=0,0,IF(COUNTIFS($A$10:$A$89,$C358)&lt;&gt;1,"brak danych",IF(COUNTIFS($A$10:$A$89,$C358,$G$10:$G$89,"&lt;&gt;")=0,"brak danych",VLOOKUP($C358,$A$10:$J$89,7,FALSE)*$F358)))))</x:f>
      </x:c>
      <x:c r="N358" s="25" t="str">
        <x:f>IF($A358="","",IF($F358="","",IF($F358=0,0,IF(COUNTIFS($A$10:$A$89,$C358)&lt;&gt;1,"brak danych",IF(COUNTIFS($A$10:$A$89,$C358,$H$10:$H$89,"&lt;&gt;")=0,"brak danych",VLOOKUP($C358,$A$10:$J$89,8,FALSE)*$F358)))))</x:f>
      </x:c>
      <x:c r="O358" s="25" t="str">
        <x:f>IF($A358="","",IF($F358="","",IF($F358=0,0,IF(COUNTIFS($A$10:$A$89,$C358)&lt;&gt;1,"brak danych",IF(COUNTIFS($A$10:$A$89,$C358,$I$10:$I$89,"&lt;&gt;")=0,"brak danych",VLOOKUP($C358,$A$10:$J$89,9,FALSE)*$F358)))))</x:f>
      </x:c>
      <x:c r="P358" s="25" t="str">
        <x:f>IF($A358="","",IF($F358="","",IF($F358=0,0,IF(COUNTIFS($A$10:$A$89,$C358)&lt;&gt;1,"brak danych",IF(COUNTIFS($A$10:$A$89,$C358,$J$10:$J$89,"&lt;&gt;")=0,"brak danych",VLOOKUP($C358,$A$10:$J$89,10,FALSE)*$F358)))))</x:f>
      </x:c>
      <x:c r="Q358" s="18"/>
    </x:row>
    <x:row r="359" ht="25" customHeight="1">
      <x:c r="A359" s="6"/>
      <x:c r="B359" s="30"/>
      <x:c r="C359" s="5"/>
      <x:c r="D359" s="5"/>
      <x:c r="E359" s="32"/>
      <x:c r="F359" s="32"/>
      <x:c r="G359" s="24" t="str">
        <x:f>IF($A359="","",IF(AND($C359="",$E359=""),"",IF($E359="","brak danych",IF($E359=0,0,IF(COUNTIFS($A$10:$A$89,$C359)&lt;&gt;1,"brak danych",IF(COUNTIFS($A$10:$A$89,$C359,$F$10:$F$89,"&lt;&gt;")=0,"brak danych",VLOOKUP($C359,$A$10:$J$89,6,FALSE)*$E359))))))</x:f>
      </x:c>
      <x:c r="H359" s="25" t="str">
        <x:f>IF($A359="","",IF(AND($C359="",$E359=""),"",IF($E359="","brak danych",IF($E359=0,0,IF(COUNTIFS($A$10:$A$89,$C359)&lt;&gt;1,"brak danych",IF(COUNTIFS($A$10:$A$89,$C359,$G$10:$G$89,"&lt;&gt;")=0,"brak danych",VLOOKUP($C359,$A$10:$J$89,7,FALSE)*$E359))))))</x:f>
      </x:c>
      <x:c r="I359" s="25" t="str">
        <x:f>IF($A359="","",IF(AND($C359="",$E359=""),"",IF($E359="","brak danych",IF($E359=0,0,IF(COUNTIFS($A$10:$A$89,$C359)&lt;&gt;1,"brak danych",IF(COUNTIFS($A$10:$A$89,$C359,$H$10:$H$89,"&lt;&gt;")=0,"brak danych",VLOOKUP($C359,$A$10:$J$89,8,FALSE)*$E359))))))</x:f>
      </x:c>
      <x:c r="J359" s="25" t="str">
        <x:f>IF($A359="","",IF(AND($C359="",$E359=""),"",IF($E359="","brak danych",IF($E359=0,0,IF(COUNTIFS($A$10:$A$89,$C359)&lt;&gt;1,"brak danych",IF(COUNTIFS($A$10:$A$89,$C359,$I$10:$I$89,"&lt;&gt;")=0,"brak danych",VLOOKUP($C359,$A$10:$J$89,9,FALSE)*$E359))))))</x:f>
      </x:c>
      <x:c r="K359" s="25" t="str">
        <x:f>IF($A359="","",IF(AND($C359="",$E359=""),"",IF($E359="","brak danych",IF($E359=0,0,IF(COUNTIFS($A$10:$A$89,$C359)&lt;&gt;1,"brak danych",IF(COUNTIFS($A$10:$A$89,$C359,$J$10:$J$89,"&lt;&gt;")=0,"brak danych",VLOOKUP($C359,$A$10:$J$89,10,FALSE)*$E359))))))</x:f>
      </x:c>
      <x:c r="L359" s="24" t="str">
        <x:f>IF($A359="","",IF($F359="","",IF($F359=0,0,IF(COUNTIFS($A$10:$A$89,$C359)&lt;&gt;1,"brak danych",IF(COUNTIFS($A$10:$A$89,$C359,$F$10:$F$89,"&lt;&gt;")=0,"brak danych",VLOOKUP($C359,$A$10:$J$89,6,FALSE)*$F359)))))</x:f>
      </x:c>
      <x:c r="M359" s="25" t="str">
        <x:f>IF($A359="","",IF($F359="","",IF($F359=0,0,IF(COUNTIFS($A$10:$A$89,$C359)&lt;&gt;1,"brak danych",IF(COUNTIFS($A$10:$A$89,$C359,$G$10:$G$89,"&lt;&gt;")=0,"brak danych",VLOOKUP($C359,$A$10:$J$89,7,FALSE)*$F359)))))</x:f>
      </x:c>
      <x:c r="N359" s="25" t="str">
        <x:f>IF($A359="","",IF($F359="","",IF($F359=0,0,IF(COUNTIFS($A$10:$A$89,$C359)&lt;&gt;1,"brak danych",IF(COUNTIFS($A$10:$A$89,$C359,$H$10:$H$89,"&lt;&gt;")=0,"brak danych",VLOOKUP($C359,$A$10:$J$89,8,FALSE)*$F359)))))</x:f>
      </x:c>
      <x:c r="O359" s="25" t="str">
        <x:f>IF($A359="","",IF($F359="","",IF($F359=0,0,IF(COUNTIFS($A$10:$A$89,$C359)&lt;&gt;1,"brak danych",IF(COUNTIFS($A$10:$A$89,$C359,$I$10:$I$89,"&lt;&gt;")=0,"brak danych",VLOOKUP($C359,$A$10:$J$89,9,FALSE)*$F359)))))</x:f>
      </x:c>
      <x:c r="P359" s="25" t="str">
        <x:f>IF($A359="","",IF($F359="","",IF($F359=0,0,IF(COUNTIFS($A$10:$A$89,$C359)&lt;&gt;1,"brak danych",IF(COUNTIFS($A$10:$A$89,$C359,$J$10:$J$89,"&lt;&gt;")=0,"brak danych",VLOOKUP($C359,$A$10:$J$89,10,FALSE)*$F359)))))</x:f>
      </x:c>
      <x:c r="Q359" s="18"/>
    </x:row>
    <x:row r="360" ht="25" customHeight="1">
      <x:c r="A360" s="6"/>
      <x:c r="B360" s="30"/>
      <x:c r="C360" s="5"/>
      <x:c r="D360" s="5"/>
      <x:c r="E360" s="32"/>
      <x:c r="F360" s="32"/>
      <x:c r="G360" s="24" t="str">
        <x:f>IF($A360="","",IF(AND($C360="",$E360=""),"",IF($E360="","brak danych",IF($E360=0,0,IF(COUNTIFS($A$10:$A$89,$C360)&lt;&gt;1,"brak danych",IF(COUNTIFS($A$10:$A$89,$C360,$F$10:$F$89,"&lt;&gt;")=0,"brak danych",VLOOKUP($C360,$A$10:$J$89,6,FALSE)*$E360))))))</x:f>
      </x:c>
      <x:c r="H360" s="25" t="str">
        <x:f>IF($A360="","",IF(AND($C360="",$E360=""),"",IF($E360="","brak danych",IF($E360=0,0,IF(COUNTIFS($A$10:$A$89,$C360)&lt;&gt;1,"brak danych",IF(COUNTIFS($A$10:$A$89,$C360,$G$10:$G$89,"&lt;&gt;")=0,"brak danych",VLOOKUP($C360,$A$10:$J$89,7,FALSE)*$E360))))))</x:f>
      </x:c>
      <x:c r="I360" s="25" t="str">
        <x:f>IF($A360="","",IF(AND($C360="",$E360=""),"",IF($E360="","brak danych",IF($E360=0,0,IF(COUNTIFS($A$10:$A$89,$C360)&lt;&gt;1,"brak danych",IF(COUNTIFS($A$10:$A$89,$C360,$H$10:$H$89,"&lt;&gt;")=0,"brak danych",VLOOKUP($C360,$A$10:$J$89,8,FALSE)*$E360))))))</x:f>
      </x:c>
      <x:c r="J360" s="25" t="str">
        <x:f>IF($A360="","",IF(AND($C360="",$E360=""),"",IF($E360="","brak danych",IF($E360=0,0,IF(COUNTIFS($A$10:$A$89,$C360)&lt;&gt;1,"brak danych",IF(COUNTIFS($A$10:$A$89,$C360,$I$10:$I$89,"&lt;&gt;")=0,"brak danych",VLOOKUP($C360,$A$10:$J$89,9,FALSE)*$E360))))))</x:f>
      </x:c>
      <x:c r="K360" s="25" t="str">
        <x:f>IF($A360="","",IF(AND($C360="",$E360=""),"",IF($E360="","brak danych",IF($E360=0,0,IF(COUNTIFS($A$10:$A$89,$C360)&lt;&gt;1,"brak danych",IF(COUNTIFS($A$10:$A$89,$C360,$J$10:$J$89,"&lt;&gt;")=0,"brak danych",VLOOKUP($C360,$A$10:$J$89,10,FALSE)*$E360))))))</x:f>
      </x:c>
      <x:c r="L360" s="24" t="str">
        <x:f>IF($A360="","",IF($F360="","",IF($F360=0,0,IF(COUNTIFS($A$10:$A$89,$C360)&lt;&gt;1,"brak danych",IF(COUNTIFS($A$10:$A$89,$C360,$F$10:$F$89,"&lt;&gt;")=0,"brak danych",VLOOKUP($C360,$A$10:$J$89,6,FALSE)*$F360)))))</x:f>
      </x:c>
      <x:c r="M360" s="25" t="str">
        <x:f>IF($A360="","",IF($F360="","",IF($F360=0,0,IF(COUNTIFS($A$10:$A$89,$C360)&lt;&gt;1,"brak danych",IF(COUNTIFS($A$10:$A$89,$C360,$G$10:$G$89,"&lt;&gt;")=0,"brak danych",VLOOKUP($C360,$A$10:$J$89,7,FALSE)*$F360)))))</x:f>
      </x:c>
      <x:c r="N360" s="25" t="str">
        <x:f>IF($A360="","",IF($F360="","",IF($F360=0,0,IF(COUNTIFS($A$10:$A$89,$C360)&lt;&gt;1,"brak danych",IF(COUNTIFS($A$10:$A$89,$C360,$H$10:$H$89,"&lt;&gt;")=0,"brak danych",VLOOKUP($C360,$A$10:$J$89,8,FALSE)*$F360)))))</x:f>
      </x:c>
      <x:c r="O360" s="25" t="str">
        <x:f>IF($A360="","",IF($F360="","",IF($F360=0,0,IF(COUNTIFS($A$10:$A$89,$C360)&lt;&gt;1,"brak danych",IF(COUNTIFS($A$10:$A$89,$C360,$I$10:$I$89,"&lt;&gt;")=0,"brak danych",VLOOKUP($C360,$A$10:$J$89,9,FALSE)*$F360)))))</x:f>
      </x:c>
      <x:c r="P360" s="25" t="str">
        <x:f>IF($A360="","",IF($F360="","",IF($F360=0,0,IF(COUNTIFS($A$10:$A$89,$C360)&lt;&gt;1,"brak danych",IF(COUNTIFS($A$10:$A$89,$C360,$J$10:$J$89,"&lt;&gt;")=0,"brak danych",VLOOKUP($C360,$A$10:$J$89,10,FALSE)*$F360)))))</x:f>
      </x:c>
      <x:c r="Q360" s="18"/>
    </x:row>
    <x:row r="361" ht="25" customHeight="1">
      <x:c r="A361" s="6"/>
      <x:c r="B361" s="30"/>
      <x:c r="C361" s="5"/>
      <x:c r="D361" s="5"/>
      <x:c r="E361" s="32"/>
      <x:c r="F361" s="32"/>
      <x:c r="G361" s="24" t="str">
        <x:f>IF($A361="","",IF(AND($C361="",$E361=""),"",IF($E361="","brak danych",IF($E361=0,0,IF(COUNTIFS($A$10:$A$89,$C361)&lt;&gt;1,"brak danych",IF(COUNTIFS($A$10:$A$89,$C361,$F$10:$F$89,"&lt;&gt;")=0,"brak danych",VLOOKUP($C361,$A$10:$J$89,6,FALSE)*$E361))))))</x:f>
      </x:c>
      <x:c r="H361" s="25" t="str">
        <x:f>IF($A361="","",IF(AND($C361="",$E361=""),"",IF($E361="","brak danych",IF($E361=0,0,IF(COUNTIFS($A$10:$A$89,$C361)&lt;&gt;1,"brak danych",IF(COUNTIFS($A$10:$A$89,$C361,$G$10:$G$89,"&lt;&gt;")=0,"brak danych",VLOOKUP($C361,$A$10:$J$89,7,FALSE)*$E361))))))</x:f>
      </x:c>
      <x:c r="I361" s="25" t="str">
        <x:f>IF($A361="","",IF(AND($C361="",$E361=""),"",IF($E361="","brak danych",IF($E361=0,0,IF(COUNTIFS($A$10:$A$89,$C361)&lt;&gt;1,"brak danych",IF(COUNTIFS($A$10:$A$89,$C361,$H$10:$H$89,"&lt;&gt;")=0,"brak danych",VLOOKUP($C361,$A$10:$J$89,8,FALSE)*$E361))))))</x:f>
      </x:c>
      <x:c r="J361" s="25" t="str">
        <x:f>IF($A361="","",IF(AND($C361="",$E361=""),"",IF($E361="","brak danych",IF($E361=0,0,IF(COUNTIFS($A$10:$A$89,$C361)&lt;&gt;1,"brak danych",IF(COUNTIFS($A$10:$A$89,$C361,$I$10:$I$89,"&lt;&gt;")=0,"brak danych",VLOOKUP($C361,$A$10:$J$89,9,FALSE)*$E361))))))</x:f>
      </x:c>
      <x:c r="K361" s="25" t="str">
        <x:f>IF($A361="","",IF(AND($C361="",$E361=""),"",IF($E361="","brak danych",IF($E361=0,0,IF(COUNTIFS($A$10:$A$89,$C361)&lt;&gt;1,"brak danych",IF(COUNTIFS($A$10:$A$89,$C361,$J$10:$J$89,"&lt;&gt;")=0,"brak danych",VLOOKUP($C361,$A$10:$J$89,10,FALSE)*$E361))))))</x:f>
      </x:c>
      <x:c r="L361" s="24" t="str">
        <x:f>IF($A361="","",IF($F361="","",IF($F361=0,0,IF(COUNTIFS($A$10:$A$89,$C361)&lt;&gt;1,"brak danych",IF(COUNTIFS($A$10:$A$89,$C361,$F$10:$F$89,"&lt;&gt;")=0,"brak danych",VLOOKUP($C361,$A$10:$J$89,6,FALSE)*$F361)))))</x:f>
      </x:c>
      <x:c r="M361" s="25" t="str">
        <x:f>IF($A361="","",IF($F361="","",IF($F361=0,0,IF(COUNTIFS($A$10:$A$89,$C361)&lt;&gt;1,"brak danych",IF(COUNTIFS($A$10:$A$89,$C361,$G$10:$G$89,"&lt;&gt;")=0,"brak danych",VLOOKUP($C361,$A$10:$J$89,7,FALSE)*$F361)))))</x:f>
      </x:c>
      <x:c r="N361" s="25" t="str">
        <x:f>IF($A361="","",IF($F361="","",IF($F361=0,0,IF(COUNTIFS($A$10:$A$89,$C361)&lt;&gt;1,"brak danych",IF(COUNTIFS($A$10:$A$89,$C361,$H$10:$H$89,"&lt;&gt;")=0,"brak danych",VLOOKUP($C361,$A$10:$J$89,8,FALSE)*$F361)))))</x:f>
      </x:c>
      <x:c r="O361" s="25" t="str">
        <x:f>IF($A361="","",IF($F361="","",IF($F361=0,0,IF(COUNTIFS($A$10:$A$89,$C361)&lt;&gt;1,"brak danych",IF(COUNTIFS($A$10:$A$89,$C361,$I$10:$I$89,"&lt;&gt;")=0,"brak danych",VLOOKUP($C361,$A$10:$J$89,9,FALSE)*$F361)))))</x:f>
      </x:c>
      <x:c r="P361" s="25" t="str">
        <x:f>IF($A361="","",IF($F361="","",IF($F361=0,0,IF(COUNTIFS($A$10:$A$89,$C361)&lt;&gt;1,"brak danych",IF(COUNTIFS($A$10:$A$89,$C361,$J$10:$J$89,"&lt;&gt;")=0,"brak danych",VLOOKUP($C361,$A$10:$J$89,10,FALSE)*$F361)))))</x:f>
      </x:c>
      <x:c r="Q361" s="18"/>
    </x:row>
    <x:row r="362" ht="25" customHeight="1">
      <x:c r="A362" s="6"/>
      <x:c r="B362" s="30"/>
      <x:c r="C362" s="5"/>
      <x:c r="D362" s="5"/>
      <x:c r="E362" s="32"/>
      <x:c r="F362" s="32"/>
      <x:c r="G362" s="24" t="str">
        <x:f>IF($A362="","",IF(AND($C362="",$E362=""),"",IF($E362="","brak danych",IF($E362=0,0,IF(COUNTIFS($A$10:$A$89,$C362)&lt;&gt;1,"brak danych",IF(COUNTIFS($A$10:$A$89,$C362,$F$10:$F$89,"&lt;&gt;")=0,"brak danych",VLOOKUP($C362,$A$10:$J$89,6,FALSE)*$E362))))))</x:f>
      </x:c>
      <x:c r="H362" s="25" t="str">
        <x:f>IF($A362="","",IF(AND($C362="",$E362=""),"",IF($E362="","brak danych",IF($E362=0,0,IF(COUNTIFS($A$10:$A$89,$C362)&lt;&gt;1,"brak danych",IF(COUNTIFS($A$10:$A$89,$C362,$G$10:$G$89,"&lt;&gt;")=0,"brak danych",VLOOKUP($C362,$A$10:$J$89,7,FALSE)*$E362))))))</x:f>
      </x:c>
      <x:c r="I362" s="25" t="str">
        <x:f>IF($A362="","",IF(AND($C362="",$E362=""),"",IF($E362="","brak danych",IF($E362=0,0,IF(COUNTIFS($A$10:$A$89,$C362)&lt;&gt;1,"brak danych",IF(COUNTIFS($A$10:$A$89,$C362,$H$10:$H$89,"&lt;&gt;")=0,"brak danych",VLOOKUP($C362,$A$10:$J$89,8,FALSE)*$E362))))))</x:f>
      </x:c>
      <x:c r="J362" s="25" t="str">
        <x:f>IF($A362="","",IF(AND($C362="",$E362=""),"",IF($E362="","brak danych",IF($E362=0,0,IF(COUNTIFS($A$10:$A$89,$C362)&lt;&gt;1,"brak danych",IF(COUNTIFS($A$10:$A$89,$C362,$I$10:$I$89,"&lt;&gt;")=0,"brak danych",VLOOKUP($C362,$A$10:$J$89,9,FALSE)*$E362))))))</x:f>
      </x:c>
      <x:c r="K362" s="25" t="str">
        <x:f>IF($A362="","",IF(AND($C362="",$E362=""),"",IF($E362="","brak danych",IF($E362=0,0,IF(COUNTIFS($A$10:$A$89,$C362)&lt;&gt;1,"brak danych",IF(COUNTIFS($A$10:$A$89,$C362,$J$10:$J$89,"&lt;&gt;")=0,"brak danych",VLOOKUP($C362,$A$10:$J$89,10,FALSE)*$E362))))))</x:f>
      </x:c>
      <x:c r="L362" s="24" t="str">
        <x:f>IF($A362="","",IF($F362="","",IF($F362=0,0,IF(COUNTIFS($A$10:$A$89,$C362)&lt;&gt;1,"brak danych",IF(COUNTIFS($A$10:$A$89,$C362,$F$10:$F$89,"&lt;&gt;")=0,"brak danych",VLOOKUP($C362,$A$10:$J$89,6,FALSE)*$F362)))))</x:f>
      </x:c>
      <x:c r="M362" s="25" t="str">
        <x:f>IF($A362="","",IF($F362="","",IF($F362=0,0,IF(COUNTIFS($A$10:$A$89,$C362)&lt;&gt;1,"brak danych",IF(COUNTIFS($A$10:$A$89,$C362,$G$10:$G$89,"&lt;&gt;")=0,"brak danych",VLOOKUP($C362,$A$10:$J$89,7,FALSE)*$F362)))))</x:f>
      </x:c>
      <x:c r="N362" s="25" t="str">
        <x:f>IF($A362="","",IF($F362="","",IF($F362=0,0,IF(COUNTIFS($A$10:$A$89,$C362)&lt;&gt;1,"brak danych",IF(COUNTIFS($A$10:$A$89,$C362,$H$10:$H$89,"&lt;&gt;")=0,"brak danych",VLOOKUP($C362,$A$10:$J$89,8,FALSE)*$F362)))))</x:f>
      </x:c>
      <x:c r="O362" s="25" t="str">
        <x:f>IF($A362="","",IF($F362="","",IF($F362=0,0,IF(COUNTIFS($A$10:$A$89,$C362)&lt;&gt;1,"brak danych",IF(COUNTIFS($A$10:$A$89,$C362,$I$10:$I$89,"&lt;&gt;")=0,"brak danych",VLOOKUP($C362,$A$10:$J$89,9,FALSE)*$F362)))))</x:f>
      </x:c>
      <x:c r="P362" s="25" t="str">
        <x:f>IF($A362="","",IF($F362="","",IF($F362=0,0,IF(COUNTIFS($A$10:$A$89,$C362)&lt;&gt;1,"brak danych",IF(COUNTIFS($A$10:$A$89,$C362,$J$10:$J$89,"&lt;&gt;")=0,"brak danych",VLOOKUP($C362,$A$10:$J$89,10,FALSE)*$F362)))))</x:f>
      </x:c>
      <x:c r="Q362" s="18"/>
    </x:row>
    <x:row r="363" ht="25" customHeight="1">
      <x:c r="A363" s="6"/>
      <x:c r="B363" s="30"/>
      <x:c r="C363" s="5"/>
      <x:c r="D363" s="5"/>
      <x:c r="E363" s="32"/>
      <x:c r="F363" s="32"/>
      <x:c r="G363" s="24" t="str">
        <x:f>IF($A363="","",IF(AND($C363="",$E363=""),"",IF($E363="","brak danych",IF($E363=0,0,IF(COUNTIFS($A$10:$A$89,$C363)&lt;&gt;1,"brak danych",IF(COUNTIFS($A$10:$A$89,$C363,$F$10:$F$89,"&lt;&gt;")=0,"brak danych",VLOOKUP($C363,$A$10:$J$89,6,FALSE)*$E363))))))</x:f>
      </x:c>
      <x:c r="H363" s="25" t="str">
        <x:f>IF($A363="","",IF(AND($C363="",$E363=""),"",IF($E363="","brak danych",IF($E363=0,0,IF(COUNTIFS($A$10:$A$89,$C363)&lt;&gt;1,"brak danych",IF(COUNTIFS($A$10:$A$89,$C363,$G$10:$G$89,"&lt;&gt;")=0,"brak danych",VLOOKUP($C363,$A$10:$J$89,7,FALSE)*$E363))))))</x:f>
      </x:c>
      <x:c r="I363" s="25" t="str">
        <x:f>IF($A363="","",IF(AND($C363="",$E363=""),"",IF($E363="","brak danych",IF($E363=0,0,IF(COUNTIFS($A$10:$A$89,$C363)&lt;&gt;1,"brak danych",IF(COUNTIFS($A$10:$A$89,$C363,$H$10:$H$89,"&lt;&gt;")=0,"brak danych",VLOOKUP($C363,$A$10:$J$89,8,FALSE)*$E363))))))</x:f>
      </x:c>
      <x:c r="J363" s="25" t="str">
        <x:f>IF($A363="","",IF(AND($C363="",$E363=""),"",IF($E363="","brak danych",IF($E363=0,0,IF(COUNTIFS($A$10:$A$89,$C363)&lt;&gt;1,"brak danych",IF(COUNTIFS($A$10:$A$89,$C363,$I$10:$I$89,"&lt;&gt;")=0,"brak danych",VLOOKUP($C363,$A$10:$J$89,9,FALSE)*$E363))))))</x:f>
      </x:c>
      <x:c r="K363" s="25" t="str">
        <x:f>IF($A363="","",IF(AND($C363="",$E363=""),"",IF($E363="","brak danych",IF($E363=0,0,IF(COUNTIFS($A$10:$A$89,$C363)&lt;&gt;1,"brak danych",IF(COUNTIFS($A$10:$A$89,$C363,$J$10:$J$89,"&lt;&gt;")=0,"brak danych",VLOOKUP($C363,$A$10:$J$89,10,FALSE)*$E363))))))</x:f>
      </x:c>
      <x:c r="L363" s="24" t="str">
        <x:f>IF($A363="","",IF($F363="","",IF($F363=0,0,IF(COUNTIFS($A$10:$A$89,$C363)&lt;&gt;1,"brak danych",IF(COUNTIFS($A$10:$A$89,$C363,$F$10:$F$89,"&lt;&gt;")=0,"brak danych",VLOOKUP($C363,$A$10:$J$89,6,FALSE)*$F363)))))</x:f>
      </x:c>
      <x:c r="M363" s="25" t="str">
        <x:f>IF($A363="","",IF($F363="","",IF($F363=0,0,IF(COUNTIFS($A$10:$A$89,$C363)&lt;&gt;1,"brak danych",IF(COUNTIFS($A$10:$A$89,$C363,$G$10:$G$89,"&lt;&gt;")=0,"brak danych",VLOOKUP($C363,$A$10:$J$89,7,FALSE)*$F363)))))</x:f>
      </x:c>
      <x:c r="N363" s="25" t="str">
        <x:f>IF($A363="","",IF($F363="","",IF($F363=0,0,IF(COUNTIFS($A$10:$A$89,$C363)&lt;&gt;1,"brak danych",IF(COUNTIFS($A$10:$A$89,$C363,$H$10:$H$89,"&lt;&gt;")=0,"brak danych",VLOOKUP($C363,$A$10:$J$89,8,FALSE)*$F363)))))</x:f>
      </x:c>
      <x:c r="O363" s="25" t="str">
        <x:f>IF($A363="","",IF($F363="","",IF($F363=0,0,IF(COUNTIFS($A$10:$A$89,$C363)&lt;&gt;1,"brak danych",IF(COUNTIFS($A$10:$A$89,$C363,$I$10:$I$89,"&lt;&gt;")=0,"brak danych",VLOOKUP($C363,$A$10:$J$89,9,FALSE)*$F363)))))</x:f>
      </x:c>
      <x:c r="P363" s="25" t="str">
        <x:f>IF($A363="","",IF($F363="","",IF($F363=0,0,IF(COUNTIFS($A$10:$A$89,$C363)&lt;&gt;1,"brak danych",IF(COUNTIFS($A$10:$A$89,$C363,$J$10:$J$89,"&lt;&gt;")=0,"brak danych",VLOOKUP($C363,$A$10:$J$89,10,FALSE)*$F363)))))</x:f>
      </x:c>
      <x:c r="Q363" s="18"/>
    </x:row>
    <x:row r="364" ht="25" customHeight="1">
      <x:c r="A364" s="6"/>
      <x:c r="B364" s="30"/>
      <x:c r="C364" s="5"/>
      <x:c r="D364" s="5"/>
      <x:c r="E364" s="32"/>
      <x:c r="F364" s="32"/>
      <x:c r="G364" s="24" t="str">
        <x:f>IF($A364="","",IF(AND($C364="",$E364=""),"",IF($E364="","brak danych",IF($E364=0,0,IF(COUNTIFS($A$10:$A$89,$C364)&lt;&gt;1,"brak danych",IF(COUNTIFS($A$10:$A$89,$C364,$F$10:$F$89,"&lt;&gt;")=0,"brak danych",VLOOKUP($C364,$A$10:$J$89,6,FALSE)*$E364))))))</x:f>
      </x:c>
      <x:c r="H364" s="25" t="str">
        <x:f>IF($A364="","",IF(AND($C364="",$E364=""),"",IF($E364="","brak danych",IF($E364=0,0,IF(COUNTIFS($A$10:$A$89,$C364)&lt;&gt;1,"brak danych",IF(COUNTIFS($A$10:$A$89,$C364,$G$10:$G$89,"&lt;&gt;")=0,"brak danych",VLOOKUP($C364,$A$10:$J$89,7,FALSE)*$E364))))))</x:f>
      </x:c>
      <x:c r="I364" s="25" t="str">
        <x:f>IF($A364="","",IF(AND($C364="",$E364=""),"",IF($E364="","brak danych",IF($E364=0,0,IF(COUNTIFS($A$10:$A$89,$C364)&lt;&gt;1,"brak danych",IF(COUNTIFS($A$10:$A$89,$C364,$H$10:$H$89,"&lt;&gt;")=0,"brak danych",VLOOKUP($C364,$A$10:$J$89,8,FALSE)*$E364))))))</x:f>
      </x:c>
      <x:c r="J364" s="25" t="str">
        <x:f>IF($A364="","",IF(AND($C364="",$E364=""),"",IF($E364="","brak danych",IF($E364=0,0,IF(COUNTIFS($A$10:$A$89,$C364)&lt;&gt;1,"brak danych",IF(COUNTIFS($A$10:$A$89,$C364,$I$10:$I$89,"&lt;&gt;")=0,"brak danych",VLOOKUP($C364,$A$10:$J$89,9,FALSE)*$E364))))))</x:f>
      </x:c>
      <x:c r="K364" s="25" t="str">
        <x:f>IF($A364="","",IF(AND($C364="",$E364=""),"",IF($E364="","brak danych",IF($E364=0,0,IF(COUNTIFS($A$10:$A$89,$C364)&lt;&gt;1,"brak danych",IF(COUNTIFS($A$10:$A$89,$C364,$J$10:$J$89,"&lt;&gt;")=0,"brak danych",VLOOKUP($C364,$A$10:$J$89,10,FALSE)*$E364))))))</x:f>
      </x:c>
      <x:c r="L364" s="24" t="str">
        <x:f>IF($A364="","",IF($F364="","",IF($F364=0,0,IF(COUNTIFS($A$10:$A$89,$C364)&lt;&gt;1,"brak danych",IF(COUNTIFS($A$10:$A$89,$C364,$F$10:$F$89,"&lt;&gt;")=0,"brak danych",VLOOKUP($C364,$A$10:$J$89,6,FALSE)*$F364)))))</x:f>
      </x:c>
      <x:c r="M364" s="25" t="str">
        <x:f>IF($A364="","",IF($F364="","",IF($F364=0,0,IF(COUNTIFS($A$10:$A$89,$C364)&lt;&gt;1,"brak danych",IF(COUNTIFS($A$10:$A$89,$C364,$G$10:$G$89,"&lt;&gt;")=0,"brak danych",VLOOKUP($C364,$A$10:$J$89,7,FALSE)*$F364)))))</x:f>
      </x:c>
      <x:c r="N364" s="25" t="str">
        <x:f>IF($A364="","",IF($F364="","",IF($F364=0,0,IF(COUNTIFS($A$10:$A$89,$C364)&lt;&gt;1,"brak danych",IF(COUNTIFS($A$10:$A$89,$C364,$H$10:$H$89,"&lt;&gt;")=0,"brak danych",VLOOKUP($C364,$A$10:$J$89,8,FALSE)*$F364)))))</x:f>
      </x:c>
      <x:c r="O364" s="25" t="str">
        <x:f>IF($A364="","",IF($F364="","",IF($F364=0,0,IF(COUNTIFS($A$10:$A$89,$C364)&lt;&gt;1,"brak danych",IF(COUNTIFS($A$10:$A$89,$C364,$I$10:$I$89,"&lt;&gt;")=0,"brak danych",VLOOKUP($C364,$A$10:$J$89,9,FALSE)*$F364)))))</x:f>
      </x:c>
      <x:c r="P364" s="25" t="str">
        <x:f>IF($A364="","",IF($F364="","",IF($F364=0,0,IF(COUNTIFS($A$10:$A$89,$C364)&lt;&gt;1,"brak danych",IF(COUNTIFS($A$10:$A$89,$C364,$J$10:$J$89,"&lt;&gt;")=0,"brak danych",VLOOKUP($C364,$A$10:$J$89,10,FALSE)*$F364)))))</x:f>
      </x:c>
      <x:c r="Q364" s="18"/>
    </x:row>
    <x:row r="365" ht="25" customHeight="1">
      <x:c r="A365" s="6"/>
      <x:c r="B365" s="30"/>
      <x:c r="C365" s="5"/>
      <x:c r="D365" s="5"/>
      <x:c r="E365" s="32"/>
      <x:c r="F365" s="32"/>
      <x:c r="G365" s="24" t="str">
        <x:f>IF($A365="","",IF(AND($C365="",$E365=""),"",IF($E365="","brak danych",IF($E365=0,0,IF(COUNTIFS($A$10:$A$89,$C365)&lt;&gt;1,"brak danych",IF(COUNTIFS($A$10:$A$89,$C365,$F$10:$F$89,"&lt;&gt;")=0,"brak danych",VLOOKUP($C365,$A$10:$J$89,6,FALSE)*$E365))))))</x:f>
      </x:c>
      <x:c r="H365" s="25" t="str">
        <x:f>IF($A365="","",IF(AND($C365="",$E365=""),"",IF($E365="","brak danych",IF($E365=0,0,IF(COUNTIFS($A$10:$A$89,$C365)&lt;&gt;1,"brak danych",IF(COUNTIFS($A$10:$A$89,$C365,$G$10:$G$89,"&lt;&gt;")=0,"brak danych",VLOOKUP($C365,$A$10:$J$89,7,FALSE)*$E365))))))</x:f>
      </x:c>
      <x:c r="I365" s="25" t="str">
        <x:f>IF($A365="","",IF(AND($C365="",$E365=""),"",IF($E365="","brak danych",IF($E365=0,0,IF(COUNTIFS($A$10:$A$89,$C365)&lt;&gt;1,"brak danych",IF(COUNTIFS($A$10:$A$89,$C365,$H$10:$H$89,"&lt;&gt;")=0,"brak danych",VLOOKUP($C365,$A$10:$J$89,8,FALSE)*$E365))))))</x:f>
      </x:c>
      <x:c r="J365" s="25" t="str">
        <x:f>IF($A365="","",IF(AND($C365="",$E365=""),"",IF($E365="","brak danych",IF($E365=0,0,IF(COUNTIFS($A$10:$A$89,$C365)&lt;&gt;1,"brak danych",IF(COUNTIFS($A$10:$A$89,$C365,$I$10:$I$89,"&lt;&gt;")=0,"brak danych",VLOOKUP($C365,$A$10:$J$89,9,FALSE)*$E365))))))</x:f>
      </x:c>
      <x:c r="K365" s="25" t="str">
        <x:f>IF($A365="","",IF(AND($C365="",$E365=""),"",IF($E365="","brak danych",IF($E365=0,0,IF(COUNTIFS($A$10:$A$89,$C365)&lt;&gt;1,"brak danych",IF(COUNTIFS($A$10:$A$89,$C365,$J$10:$J$89,"&lt;&gt;")=0,"brak danych",VLOOKUP($C365,$A$10:$J$89,10,FALSE)*$E365))))))</x:f>
      </x:c>
      <x:c r="L365" s="24" t="str">
        <x:f>IF($A365="","",IF($F365="","",IF($F365=0,0,IF(COUNTIFS($A$10:$A$89,$C365)&lt;&gt;1,"brak danych",IF(COUNTIFS($A$10:$A$89,$C365,$F$10:$F$89,"&lt;&gt;")=0,"brak danych",VLOOKUP($C365,$A$10:$J$89,6,FALSE)*$F365)))))</x:f>
      </x:c>
      <x:c r="M365" s="25" t="str">
        <x:f>IF($A365="","",IF($F365="","",IF($F365=0,0,IF(COUNTIFS($A$10:$A$89,$C365)&lt;&gt;1,"brak danych",IF(COUNTIFS($A$10:$A$89,$C365,$G$10:$G$89,"&lt;&gt;")=0,"brak danych",VLOOKUP($C365,$A$10:$J$89,7,FALSE)*$F365)))))</x:f>
      </x:c>
      <x:c r="N365" s="25" t="str">
        <x:f>IF($A365="","",IF($F365="","",IF($F365=0,0,IF(COUNTIFS($A$10:$A$89,$C365)&lt;&gt;1,"brak danych",IF(COUNTIFS($A$10:$A$89,$C365,$H$10:$H$89,"&lt;&gt;")=0,"brak danych",VLOOKUP($C365,$A$10:$J$89,8,FALSE)*$F365)))))</x:f>
      </x:c>
      <x:c r="O365" s="25" t="str">
        <x:f>IF($A365="","",IF($F365="","",IF($F365=0,0,IF(COUNTIFS($A$10:$A$89,$C365)&lt;&gt;1,"brak danych",IF(COUNTIFS($A$10:$A$89,$C365,$I$10:$I$89,"&lt;&gt;")=0,"brak danych",VLOOKUP($C365,$A$10:$J$89,9,FALSE)*$F365)))))</x:f>
      </x:c>
      <x:c r="P365" s="25" t="str">
        <x:f>IF($A365="","",IF($F365="","",IF($F365=0,0,IF(COUNTIFS($A$10:$A$89,$C365)&lt;&gt;1,"brak danych",IF(COUNTIFS($A$10:$A$89,$C365,$J$10:$J$89,"&lt;&gt;")=0,"brak danych",VLOOKUP($C365,$A$10:$J$89,10,FALSE)*$F365)))))</x:f>
      </x:c>
      <x:c r="Q365" s="18"/>
    </x:row>
    <x:row r="366" ht="25" customHeight="1">
      <x:c r="A366" s="6"/>
      <x:c r="B366" s="30"/>
      <x:c r="C366" s="5"/>
      <x:c r="D366" s="5"/>
      <x:c r="E366" s="32"/>
      <x:c r="F366" s="32"/>
      <x:c r="G366" s="24" t="str">
        <x:f>IF($A366="","",IF(AND($C366="",$E366=""),"",IF($E366="","brak danych",IF($E366=0,0,IF(COUNTIFS($A$10:$A$89,$C366)&lt;&gt;1,"brak danych",IF(COUNTIFS($A$10:$A$89,$C366,$F$10:$F$89,"&lt;&gt;")=0,"brak danych",VLOOKUP($C366,$A$10:$J$89,6,FALSE)*$E366))))))</x:f>
      </x:c>
      <x:c r="H366" s="25" t="str">
        <x:f>IF($A366="","",IF(AND($C366="",$E366=""),"",IF($E366="","brak danych",IF($E366=0,0,IF(COUNTIFS($A$10:$A$89,$C366)&lt;&gt;1,"brak danych",IF(COUNTIFS($A$10:$A$89,$C366,$G$10:$G$89,"&lt;&gt;")=0,"brak danych",VLOOKUP($C366,$A$10:$J$89,7,FALSE)*$E366))))))</x:f>
      </x:c>
      <x:c r="I366" s="25" t="str">
        <x:f>IF($A366="","",IF(AND($C366="",$E366=""),"",IF($E366="","brak danych",IF($E366=0,0,IF(COUNTIFS($A$10:$A$89,$C366)&lt;&gt;1,"brak danych",IF(COUNTIFS($A$10:$A$89,$C366,$H$10:$H$89,"&lt;&gt;")=0,"brak danych",VLOOKUP($C366,$A$10:$J$89,8,FALSE)*$E366))))))</x:f>
      </x:c>
      <x:c r="J366" s="25" t="str">
        <x:f>IF($A366="","",IF(AND($C366="",$E366=""),"",IF($E366="","brak danych",IF($E366=0,0,IF(COUNTIFS($A$10:$A$89,$C366)&lt;&gt;1,"brak danych",IF(COUNTIFS($A$10:$A$89,$C366,$I$10:$I$89,"&lt;&gt;")=0,"brak danych",VLOOKUP($C366,$A$10:$J$89,9,FALSE)*$E366))))))</x:f>
      </x:c>
      <x:c r="K366" s="25" t="str">
        <x:f>IF($A366="","",IF(AND($C366="",$E366=""),"",IF($E366="","brak danych",IF($E366=0,0,IF(COUNTIFS($A$10:$A$89,$C366)&lt;&gt;1,"brak danych",IF(COUNTIFS($A$10:$A$89,$C366,$J$10:$J$89,"&lt;&gt;")=0,"brak danych",VLOOKUP($C366,$A$10:$J$89,10,FALSE)*$E366))))))</x:f>
      </x:c>
      <x:c r="L366" s="24" t="str">
        <x:f>IF($A366="","",IF($F366="","",IF($F366=0,0,IF(COUNTIFS($A$10:$A$89,$C366)&lt;&gt;1,"brak danych",IF(COUNTIFS($A$10:$A$89,$C366,$F$10:$F$89,"&lt;&gt;")=0,"brak danych",VLOOKUP($C366,$A$10:$J$89,6,FALSE)*$F366)))))</x:f>
      </x:c>
      <x:c r="M366" s="25" t="str">
        <x:f>IF($A366="","",IF($F366="","",IF($F366=0,0,IF(COUNTIFS($A$10:$A$89,$C366)&lt;&gt;1,"brak danych",IF(COUNTIFS($A$10:$A$89,$C366,$G$10:$G$89,"&lt;&gt;")=0,"brak danych",VLOOKUP($C366,$A$10:$J$89,7,FALSE)*$F366)))))</x:f>
      </x:c>
      <x:c r="N366" s="25" t="str">
        <x:f>IF($A366="","",IF($F366="","",IF($F366=0,0,IF(COUNTIFS($A$10:$A$89,$C366)&lt;&gt;1,"brak danych",IF(COUNTIFS($A$10:$A$89,$C366,$H$10:$H$89,"&lt;&gt;")=0,"brak danych",VLOOKUP($C366,$A$10:$J$89,8,FALSE)*$F366)))))</x:f>
      </x:c>
      <x:c r="O366" s="25" t="str">
        <x:f>IF($A366="","",IF($F366="","",IF($F366=0,0,IF(COUNTIFS($A$10:$A$89,$C366)&lt;&gt;1,"brak danych",IF(COUNTIFS($A$10:$A$89,$C366,$I$10:$I$89,"&lt;&gt;")=0,"brak danych",VLOOKUP($C366,$A$10:$J$89,9,FALSE)*$F366)))))</x:f>
      </x:c>
      <x:c r="P366" s="25" t="str">
        <x:f>IF($A366="","",IF($F366="","",IF($F366=0,0,IF(COUNTIFS($A$10:$A$89,$C366)&lt;&gt;1,"brak danych",IF(COUNTIFS($A$10:$A$89,$C366,$J$10:$J$89,"&lt;&gt;")=0,"brak danych",VLOOKUP($C366,$A$10:$J$89,10,FALSE)*$F366)))))</x:f>
      </x:c>
      <x:c r="Q366" s="18"/>
    </x:row>
    <x:row r="367" ht="25" customHeight="1">
      <x:c r="A367" s="6"/>
      <x:c r="B367" s="30"/>
      <x:c r="C367" s="5"/>
      <x:c r="D367" s="5"/>
      <x:c r="E367" s="32"/>
      <x:c r="F367" s="32"/>
      <x:c r="G367" s="24" t="str">
        <x:f>IF($A367="","",IF(AND($C367="",$E367=""),"",IF($E367="","brak danych",IF($E367=0,0,IF(COUNTIFS($A$10:$A$89,$C367)&lt;&gt;1,"brak danych",IF(COUNTIFS($A$10:$A$89,$C367,$F$10:$F$89,"&lt;&gt;")=0,"brak danych",VLOOKUP($C367,$A$10:$J$89,6,FALSE)*$E367))))))</x:f>
      </x:c>
      <x:c r="H367" s="25" t="str">
        <x:f>IF($A367="","",IF(AND($C367="",$E367=""),"",IF($E367="","brak danych",IF($E367=0,0,IF(COUNTIFS($A$10:$A$89,$C367)&lt;&gt;1,"brak danych",IF(COUNTIFS($A$10:$A$89,$C367,$G$10:$G$89,"&lt;&gt;")=0,"brak danych",VLOOKUP($C367,$A$10:$J$89,7,FALSE)*$E367))))))</x:f>
      </x:c>
      <x:c r="I367" s="25" t="str">
        <x:f>IF($A367="","",IF(AND($C367="",$E367=""),"",IF($E367="","brak danych",IF($E367=0,0,IF(COUNTIFS($A$10:$A$89,$C367)&lt;&gt;1,"brak danych",IF(COUNTIFS($A$10:$A$89,$C367,$H$10:$H$89,"&lt;&gt;")=0,"brak danych",VLOOKUP($C367,$A$10:$J$89,8,FALSE)*$E367))))))</x:f>
      </x:c>
      <x:c r="J367" s="25" t="str">
        <x:f>IF($A367="","",IF(AND($C367="",$E367=""),"",IF($E367="","brak danych",IF($E367=0,0,IF(COUNTIFS($A$10:$A$89,$C367)&lt;&gt;1,"brak danych",IF(COUNTIFS($A$10:$A$89,$C367,$I$10:$I$89,"&lt;&gt;")=0,"brak danych",VLOOKUP($C367,$A$10:$J$89,9,FALSE)*$E367))))))</x:f>
      </x:c>
      <x:c r="K367" s="25" t="str">
        <x:f>IF($A367="","",IF(AND($C367="",$E367=""),"",IF($E367="","brak danych",IF($E367=0,0,IF(COUNTIFS($A$10:$A$89,$C367)&lt;&gt;1,"brak danych",IF(COUNTIFS($A$10:$A$89,$C367,$J$10:$J$89,"&lt;&gt;")=0,"brak danych",VLOOKUP($C367,$A$10:$J$89,10,FALSE)*$E367))))))</x:f>
      </x:c>
      <x:c r="L367" s="24" t="str">
        <x:f>IF($A367="","",IF($F367="","",IF($F367=0,0,IF(COUNTIFS($A$10:$A$89,$C367)&lt;&gt;1,"brak danych",IF(COUNTIFS($A$10:$A$89,$C367,$F$10:$F$89,"&lt;&gt;")=0,"brak danych",VLOOKUP($C367,$A$10:$J$89,6,FALSE)*$F367)))))</x:f>
      </x:c>
      <x:c r="M367" s="25" t="str">
        <x:f>IF($A367="","",IF($F367="","",IF($F367=0,0,IF(COUNTIFS($A$10:$A$89,$C367)&lt;&gt;1,"brak danych",IF(COUNTIFS($A$10:$A$89,$C367,$G$10:$G$89,"&lt;&gt;")=0,"brak danych",VLOOKUP($C367,$A$10:$J$89,7,FALSE)*$F367)))))</x:f>
      </x:c>
      <x:c r="N367" s="25" t="str">
        <x:f>IF($A367="","",IF($F367="","",IF($F367=0,0,IF(COUNTIFS($A$10:$A$89,$C367)&lt;&gt;1,"brak danych",IF(COUNTIFS($A$10:$A$89,$C367,$H$10:$H$89,"&lt;&gt;")=0,"brak danych",VLOOKUP($C367,$A$10:$J$89,8,FALSE)*$F367)))))</x:f>
      </x:c>
      <x:c r="O367" s="25" t="str">
        <x:f>IF($A367="","",IF($F367="","",IF($F367=0,0,IF(COUNTIFS($A$10:$A$89,$C367)&lt;&gt;1,"brak danych",IF(COUNTIFS($A$10:$A$89,$C367,$I$10:$I$89,"&lt;&gt;")=0,"brak danych",VLOOKUP($C367,$A$10:$J$89,9,FALSE)*$F367)))))</x:f>
      </x:c>
      <x:c r="P367" s="25" t="str">
        <x:f>IF($A367="","",IF($F367="","",IF($F367=0,0,IF(COUNTIFS($A$10:$A$89,$C367)&lt;&gt;1,"brak danych",IF(COUNTIFS($A$10:$A$89,$C367,$J$10:$J$89,"&lt;&gt;")=0,"brak danych",VLOOKUP($C367,$A$10:$J$89,10,FALSE)*$F367)))))</x:f>
      </x:c>
      <x:c r="Q367" s="18"/>
    </x:row>
    <x:row r="368" ht="25" customHeight="1">
      <x:c r="A368" s="6"/>
      <x:c r="B368" s="30"/>
      <x:c r="C368" s="5"/>
      <x:c r="D368" s="5"/>
      <x:c r="E368" s="32"/>
      <x:c r="F368" s="32"/>
      <x:c r="G368" s="24" t="str">
        <x:f>IF($A368="","",IF(AND($C368="",$E368=""),"",IF($E368="","brak danych",IF($E368=0,0,IF(COUNTIFS($A$10:$A$89,$C368)&lt;&gt;1,"brak danych",IF(COUNTIFS($A$10:$A$89,$C368,$F$10:$F$89,"&lt;&gt;")=0,"brak danych",VLOOKUP($C368,$A$10:$J$89,6,FALSE)*$E368))))))</x:f>
      </x:c>
      <x:c r="H368" s="25" t="str">
        <x:f>IF($A368="","",IF(AND($C368="",$E368=""),"",IF($E368="","brak danych",IF($E368=0,0,IF(COUNTIFS($A$10:$A$89,$C368)&lt;&gt;1,"brak danych",IF(COUNTIFS($A$10:$A$89,$C368,$G$10:$G$89,"&lt;&gt;")=0,"brak danych",VLOOKUP($C368,$A$10:$J$89,7,FALSE)*$E368))))))</x:f>
      </x:c>
      <x:c r="I368" s="25" t="str">
        <x:f>IF($A368="","",IF(AND($C368="",$E368=""),"",IF($E368="","brak danych",IF($E368=0,0,IF(COUNTIFS($A$10:$A$89,$C368)&lt;&gt;1,"brak danych",IF(COUNTIFS($A$10:$A$89,$C368,$H$10:$H$89,"&lt;&gt;")=0,"brak danych",VLOOKUP($C368,$A$10:$J$89,8,FALSE)*$E368))))))</x:f>
      </x:c>
      <x:c r="J368" s="25" t="str">
        <x:f>IF($A368="","",IF(AND($C368="",$E368=""),"",IF($E368="","brak danych",IF($E368=0,0,IF(COUNTIFS($A$10:$A$89,$C368)&lt;&gt;1,"brak danych",IF(COUNTIFS($A$10:$A$89,$C368,$I$10:$I$89,"&lt;&gt;")=0,"brak danych",VLOOKUP($C368,$A$10:$J$89,9,FALSE)*$E368))))))</x:f>
      </x:c>
      <x:c r="K368" s="25" t="str">
        <x:f>IF($A368="","",IF(AND($C368="",$E368=""),"",IF($E368="","brak danych",IF($E368=0,0,IF(COUNTIFS($A$10:$A$89,$C368)&lt;&gt;1,"brak danych",IF(COUNTIFS($A$10:$A$89,$C368,$J$10:$J$89,"&lt;&gt;")=0,"brak danych",VLOOKUP($C368,$A$10:$J$89,10,FALSE)*$E368))))))</x:f>
      </x:c>
      <x:c r="L368" s="24" t="str">
        <x:f>IF($A368="","",IF($F368="","",IF($F368=0,0,IF(COUNTIFS($A$10:$A$89,$C368)&lt;&gt;1,"brak danych",IF(COUNTIFS($A$10:$A$89,$C368,$F$10:$F$89,"&lt;&gt;")=0,"brak danych",VLOOKUP($C368,$A$10:$J$89,6,FALSE)*$F368)))))</x:f>
      </x:c>
      <x:c r="M368" s="25" t="str">
        <x:f>IF($A368="","",IF($F368="","",IF($F368=0,0,IF(COUNTIFS($A$10:$A$89,$C368)&lt;&gt;1,"brak danych",IF(COUNTIFS($A$10:$A$89,$C368,$G$10:$G$89,"&lt;&gt;")=0,"brak danych",VLOOKUP($C368,$A$10:$J$89,7,FALSE)*$F368)))))</x:f>
      </x:c>
      <x:c r="N368" s="25" t="str">
        <x:f>IF($A368="","",IF($F368="","",IF($F368=0,0,IF(COUNTIFS($A$10:$A$89,$C368)&lt;&gt;1,"brak danych",IF(COUNTIFS($A$10:$A$89,$C368,$H$10:$H$89,"&lt;&gt;")=0,"brak danych",VLOOKUP($C368,$A$10:$J$89,8,FALSE)*$F368)))))</x:f>
      </x:c>
      <x:c r="O368" s="25" t="str">
        <x:f>IF($A368="","",IF($F368="","",IF($F368=0,0,IF(COUNTIFS($A$10:$A$89,$C368)&lt;&gt;1,"brak danych",IF(COUNTIFS($A$10:$A$89,$C368,$I$10:$I$89,"&lt;&gt;")=0,"brak danych",VLOOKUP($C368,$A$10:$J$89,9,FALSE)*$F368)))))</x:f>
      </x:c>
      <x:c r="P368" s="25" t="str">
        <x:f>IF($A368="","",IF($F368="","",IF($F368=0,0,IF(COUNTIFS($A$10:$A$89,$C368)&lt;&gt;1,"brak danych",IF(COUNTIFS($A$10:$A$89,$C368,$J$10:$J$89,"&lt;&gt;")=0,"brak danych",VLOOKUP($C368,$A$10:$J$89,10,FALSE)*$F368)))))</x:f>
      </x:c>
      <x:c r="Q368" s="18"/>
    </x:row>
    <x:row r="369" ht="25" customHeight="1">
      <x:c r="A369" s="6"/>
      <x:c r="B369" s="30"/>
      <x:c r="C369" s="5"/>
      <x:c r="D369" s="5"/>
      <x:c r="E369" s="32"/>
      <x:c r="F369" s="32"/>
      <x:c r="G369" s="24" t="str">
        <x:f>IF($A369="","",IF(AND($C369="",$E369=""),"",IF($E369="","brak danych",IF($E369=0,0,IF(COUNTIFS($A$10:$A$89,$C369)&lt;&gt;1,"brak danych",IF(COUNTIFS($A$10:$A$89,$C369,$F$10:$F$89,"&lt;&gt;")=0,"brak danych",VLOOKUP($C369,$A$10:$J$89,6,FALSE)*$E369))))))</x:f>
      </x:c>
      <x:c r="H369" s="25" t="str">
        <x:f>IF($A369="","",IF(AND($C369="",$E369=""),"",IF($E369="","brak danych",IF($E369=0,0,IF(COUNTIFS($A$10:$A$89,$C369)&lt;&gt;1,"brak danych",IF(COUNTIFS($A$10:$A$89,$C369,$G$10:$G$89,"&lt;&gt;")=0,"brak danych",VLOOKUP($C369,$A$10:$J$89,7,FALSE)*$E369))))))</x:f>
      </x:c>
      <x:c r="I369" s="25" t="str">
        <x:f>IF($A369="","",IF(AND($C369="",$E369=""),"",IF($E369="","brak danych",IF($E369=0,0,IF(COUNTIFS($A$10:$A$89,$C369)&lt;&gt;1,"brak danych",IF(COUNTIFS($A$10:$A$89,$C369,$H$10:$H$89,"&lt;&gt;")=0,"brak danych",VLOOKUP($C369,$A$10:$J$89,8,FALSE)*$E369))))))</x:f>
      </x:c>
      <x:c r="J369" s="25" t="str">
        <x:f>IF($A369="","",IF(AND($C369="",$E369=""),"",IF($E369="","brak danych",IF($E369=0,0,IF(COUNTIFS($A$10:$A$89,$C369)&lt;&gt;1,"brak danych",IF(COUNTIFS($A$10:$A$89,$C369,$I$10:$I$89,"&lt;&gt;")=0,"brak danych",VLOOKUP($C369,$A$10:$J$89,9,FALSE)*$E369))))))</x:f>
      </x:c>
      <x:c r="K369" s="25" t="str">
        <x:f>IF($A369="","",IF(AND($C369="",$E369=""),"",IF($E369="","brak danych",IF($E369=0,0,IF(COUNTIFS($A$10:$A$89,$C369)&lt;&gt;1,"brak danych",IF(COUNTIFS($A$10:$A$89,$C369,$J$10:$J$89,"&lt;&gt;")=0,"brak danych",VLOOKUP($C369,$A$10:$J$89,10,FALSE)*$E369))))))</x:f>
      </x:c>
      <x:c r="L369" s="24" t="str">
        <x:f>IF($A369="","",IF($F369="","",IF($F369=0,0,IF(COUNTIFS($A$10:$A$89,$C369)&lt;&gt;1,"brak danych",IF(COUNTIFS($A$10:$A$89,$C369,$F$10:$F$89,"&lt;&gt;")=0,"brak danych",VLOOKUP($C369,$A$10:$J$89,6,FALSE)*$F369)))))</x:f>
      </x:c>
      <x:c r="M369" s="25" t="str">
        <x:f>IF($A369="","",IF($F369="","",IF($F369=0,0,IF(COUNTIFS($A$10:$A$89,$C369)&lt;&gt;1,"brak danych",IF(COUNTIFS($A$10:$A$89,$C369,$G$10:$G$89,"&lt;&gt;")=0,"brak danych",VLOOKUP($C369,$A$10:$J$89,7,FALSE)*$F369)))))</x:f>
      </x:c>
      <x:c r="N369" s="25" t="str">
        <x:f>IF($A369="","",IF($F369="","",IF($F369=0,0,IF(COUNTIFS($A$10:$A$89,$C369)&lt;&gt;1,"brak danych",IF(COUNTIFS($A$10:$A$89,$C369,$H$10:$H$89,"&lt;&gt;")=0,"brak danych",VLOOKUP($C369,$A$10:$J$89,8,FALSE)*$F369)))))</x:f>
      </x:c>
      <x:c r="O369" s="25" t="str">
        <x:f>IF($A369="","",IF($F369="","",IF($F369=0,0,IF(COUNTIFS($A$10:$A$89,$C369)&lt;&gt;1,"brak danych",IF(COUNTIFS($A$10:$A$89,$C369,$I$10:$I$89,"&lt;&gt;")=0,"brak danych",VLOOKUP($C369,$A$10:$J$89,9,FALSE)*$F369)))))</x:f>
      </x:c>
      <x:c r="P369" s="25" t="str">
        <x:f>IF($A369="","",IF($F369="","",IF($F369=0,0,IF(COUNTIFS($A$10:$A$89,$C369)&lt;&gt;1,"brak danych",IF(COUNTIFS($A$10:$A$89,$C369,$J$10:$J$89,"&lt;&gt;")=0,"brak danych",VLOOKUP($C369,$A$10:$J$89,10,FALSE)*$F369)))))</x:f>
      </x:c>
      <x:c r="Q369" s="18"/>
    </x:row>
    <x:row r="370" ht="25" customHeight="1">
      <x:c r="A370" s="6"/>
      <x:c r="B370" s="30"/>
      <x:c r="C370" s="5"/>
      <x:c r="D370" s="5"/>
      <x:c r="E370" s="32"/>
      <x:c r="F370" s="32"/>
      <x:c r="G370" s="24" t="str">
        <x:f>IF($A370="","",IF(AND($C370="",$E370=""),"",IF($E370="","brak danych",IF($E370=0,0,IF(COUNTIFS($A$10:$A$89,$C370)&lt;&gt;1,"brak danych",IF(COUNTIFS($A$10:$A$89,$C370,$F$10:$F$89,"&lt;&gt;")=0,"brak danych",VLOOKUP($C370,$A$10:$J$89,6,FALSE)*$E370))))))</x:f>
      </x:c>
      <x:c r="H370" s="25" t="str">
        <x:f>IF($A370="","",IF(AND($C370="",$E370=""),"",IF($E370="","brak danych",IF($E370=0,0,IF(COUNTIFS($A$10:$A$89,$C370)&lt;&gt;1,"brak danych",IF(COUNTIFS($A$10:$A$89,$C370,$G$10:$G$89,"&lt;&gt;")=0,"brak danych",VLOOKUP($C370,$A$10:$J$89,7,FALSE)*$E370))))))</x:f>
      </x:c>
      <x:c r="I370" s="25" t="str">
        <x:f>IF($A370="","",IF(AND($C370="",$E370=""),"",IF($E370="","brak danych",IF($E370=0,0,IF(COUNTIFS($A$10:$A$89,$C370)&lt;&gt;1,"brak danych",IF(COUNTIFS($A$10:$A$89,$C370,$H$10:$H$89,"&lt;&gt;")=0,"brak danych",VLOOKUP($C370,$A$10:$J$89,8,FALSE)*$E370))))))</x:f>
      </x:c>
      <x:c r="J370" s="25" t="str">
        <x:f>IF($A370="","",IF(AND($C370="",$E370=""),"",IF($E370="","brak danych",IF($E370=0,0,IF(COUNTIFS($A$10:$A$89,$C370)&lt;&gt;1,"brak danych",IF(COUNTIFS($A$10:$A$89,$C370,$I$10:$I$89,"&lt;&gt;")=0,"brak danych",VLOOKUP($C370,$A$10:$J$89,9,FALSE)*$E370))))))</x:f>
      </x:c>
      <x:c r="K370" s="25" t="str">
        <x:f>IF($A370="","",IF(AND($C370="",$E370=""),"",IF($E370="","brak danych",IF($E370=0,0,IF(COUNTIFS($A$10:$A$89,$C370)&lt;&gt;1,"brak danych",IF(COUNTIFS($A$10:$A$89,$C370,$J$10:$J$89,"&lt;&gt;")=0,"brak danych",VLOOKUP($C370,$A$10:$J$89,10,FALSE)*$E370))))))</x:f>
      </x:c>
      <x:c r="L370" s="24" t="str">
        <x:f>IF($A370="","",IF($F370="","",IF($F370=0,0,IF(COUNTIFS($A$10:$A$89,$C370)&lt;&gt;1,"brak danych",IF(COUNTIFS($A$10:$A$89,$C370,$F$10:$F$89,"&lt;&gt;")=0,"brak danych",VLOOKUP($C370,$A$10:$J$89,6,FALSE)*$F370)))))</x:f>
      </x:c>
      <x:c r="M370" s="25" t="str">
        <x:f>IF($A370="","",IF($F370="","",IF($F370=0,0,IF(COUNTIFS($A$10:$A$89,$C370)&lt;&gt;1,"brak danych",IF(COUNTIFS($A$10:$A$89,$C370,$G$10:$G$89,"&lt;&gt;")=0,"brak danych",VLOOKUP($C370,$A$10:$J$89,7,FALSE)*$F370)))))</x:f>
      </x:c>
      <x:c r="N370" s="25" t="str">
        <x:f>IF($A370="","",IF($F370="","",IF($F370=0,0,IF(COUNTIFS($A$10:$A$89,$C370)&lt;&gt;1,"brak danych",IF(COUNTIFS($A$10:$A$89,$C370,$H$10:$H$89,"&lt;&gt;")=0,"brak danych",VLOOKUP($C370,$A$10:$J$89,8,FALSE)*$F370)))))</x:f>
      </x:c>
      <x:c r="O370" s="25" t="str">
        <x:f>IF($A370="","",IF($F370="","",IF($F370=0,0,IF(COUNTIFS($A$10:$A$89,$C370)&lt;&gt;1,"brak danych",IF(COUNTIFS($A$10:$A$89,$C370,$I$10:$I$89,"&lt;&gt;")=0,"brak danych",VLOOKUP($C370,$A$10:$J$89,9,FALSE)*$F370)))))</x:f>
      </x:c>
      <x:c r="P370" s="25" t="str">
        <x:f>IF($A370="","",IF($F370="","",IF($F370=0,0,IF(COUNTIFS($A$10:$A$89,$C370)&lt;&gt;1,"brak danych",IF(COUNTIFS($A$10:$A$89,$C370,$J$10:$J$89,"&lt;&gt;")=0,"brak danych",VLOOKUP($C370,$A$10:$J$89,10,FALSE)*$F370)))))</x:f>
      </x:c>
      <x:c r="Q370" s="18"/>
    </x:row>
    <x:row r="371" ht="25" customHeight="1">
      <x:c r="A371" s="6"/>
      <x:c r="B371" s="30"/>
      <x:c r="C371" s="5"/>
      <x:c r="D371" s="5"/>
      <x:c r="E371" s="32"/>
      <x:c r="F371" s="32"/>
      <x:c r="G371" s="24" t="str">
        <x:f>IF($A371="","",IF(AND($C371="",$E371=""),"",IF($E371="","brak danych",IF($E371=0,0,IF(COUNTIFS($A$10:$A$89,$C371)&lt;&gt;1,"brak danych",IF(COUNTIFS($A$10:$A$89,$C371,$F$10:$F$89,"&lt;&gt;")=0,"brak danych",VLOOKUP($C371,$A$10:$J$89,6,FALSE)*$E371))))))</x:f>
      </x:c>
      <x:c r="H371" s="25" t="str">
        <x:f>IF($A371="","",IF(AND($C371="",$E371=""),"",IF($E371="","brak danych",IF($E371=0,0,IF(COUNTIFS($A$10:$A$89,$C371)&lt;&gt;1,"brak danych",IF(COUNTIFS($A$10:$A$89,$C371,$G$10:$G$89,"&lt;&gt;")=0,"brak danych",VLOOKUP($C371,$A$10:$J$89,7,FALSE)*$E371))))))</x:f>
      </x:c>
      <x:c r="I371" s="25" t="str">
        <x:f>IF($A371="","",IF(AND($C371="",$E371=""),"",IF($E371="","brak danych",IF($E371=0,0,IF(COUNTIFS($A$10:$A$89,$C371)&lt;&gt;1,"brak danych",IF(COUNTIFS($A$10:$A$89,$C371,$H$10:$H$89,"&lt;&gt;")=0,"brak danych",VLOOKUP($C371,$A$10:$J$89,8,FALSE)*$E371))))))</x:f>
      </x:c>
      <x:c r="J371" s="25" t="str">
        <x:f>IF($A371="","",IF(AND($C371="",$E371=""),"",IF($E371="","brak danych",IF($E371=0,0,IF(COUNTIFS($A$10:$A$89,$C371)&lt;&gt;1,"brak danych",IF(COUNTIFS($A$10:$A$89,$C371,$I$10:$I$89,"&lt;&gt;")=0,"brak danych",VLOOKUP($C371,$A$10:$J$89,9,FALSE)*$E371))))))</x:f>
      </x:c>
      <x:c r="K371" s="25" t="str">
        <x:f>IF($A371="","",IF(AND($C371="",$E371=""),"",IF($E371="","brak danych",IF($E371=0,0,IF(COUNTIFS($A$10:$A$89,$C371)&lt;&gt;1,"brak danych",IF(COUNTIFS($A$10:$A$89,$C371,$J$10:$J$89,"&lt;&gt;")=0,"brak danych",VLOOKUP($C371,$A$10:$J$89,10,FALSE)*$E371))))))</x:f>
      </x:c>
      <x:c r="L371" s="24" t="str">
        <x:f>IF($A371="","",IF($F371="","",IF($F371=0,0,IF(COUNTIFS($A$10:$A$89,$C371)&lt;&gt;1,"brak danych",IF(COUNTIFS($A$10:$A$89,$C371,$F$10:$F$89,"&lt;&gt;")=0,"brak danych",VLOOKUP($C371,$A$10:$J$89,6,FALSE)*$F371)))))</x:f>
      </x:c>
      <x:c r="M371" s="25" t="str">
        <x:f>IF($A371="","",IF($F371="","",IF($F371=0,0,IF(COUNTIFS($A$10:$A$89,$C371)&lt;&gt;1,"brak danych",IF(COUNTIFS($A$10:$A$89,$C371,$G$10:$G$89,"&lt;&gt;")=0,"brak danych",VLOOKUP($C371,$A$10:$J$89,7,FALSE)*$F371)))))</x:f>
      </x:c>
      <x:c r="N371" s="25" t="str">
        <x:f>IF($A371="","",IF($F371="","",IF($F371=0,0,IF(COUNTIFS($A$10:$A$89,$C371)&lt;&gt;1,"brak danych",IF(COUNTIFS($A$10:$A$89,$C371,$H$10:$H$89,"&lt;&gt;")=0,"brak danych",VLOOKUP($C371,$A$10:$J$89,8,FALSE)*$F371)))))</x:f>
      </x:c>
      <x:c r="O371" s="25" t="str">
        <x:f>IF($A371="","",IF($F371="","",IF($F371=0,0,IF(COUNTIFS($A$10:$A$89,$C371)&lt;&gt;1,"brak danych",IF(COUNTIFS($A$10:$A$89,$C371,$I$10:$I$89,"&lt;&gt;")=0,"brak danych",VLOOKUP($C371,$A$10:$J$89,9,FALSE)*$F371)))))</x:f>
      </x:c>
      <x:c r="P371" s="25" t="str">
        <x:f>IF($A371="","",IF($F371="","",IF($F371=0,0,IF(COUNTIFS($A$10:$A$89,$C371)&lt;&gt;1,"brak danych",IF(COUNTIFS($A$10:$A$89,$C371,$J$10:$J$89,"&lt;&gt;")=0,"brak danych",VLOOKUP($C371,$A$10:$J$89,10,FALSE)*$F371)))))</x:f>
      </x:c>
      <x:c r="Q371" s="18"/>
    </x:row>
    <x:row r="372" ht="25" customHeight="1">
      <x:c r="A372" s="6"/>
      <x:c r="B372" s="30"/>
      <x:c r="C372" s="5"/>
      <x:c r="D372" s="5"/>
      <x:c r="E372" s="32"/>
      <x:c r="F372" s="32"/>
      <x:c r="G372" s="24" t="str">
        <x:f>IF($A372="","",IF(AND($C372="",$E372=""),"",IF($E372="","brak danych",IF($E372=0,0,IF(COUNTIFS($A$10:$A$89,$C372)&lt;&gt;1,"brak danych",IF(COUNTIFS($A$10:$A$89,$C372,$F$10:$F$89,"&lt;&gt;")=0,"brak danych",VLOOKUP($C372,$A$10:$J$89,6,FALSE)*$E372))))))</x:f>
      </x:c>
      <x:c r="H372" s="25" t="str">
        <x:f>IF($A372="","",IF(AND($C372="",$E372=""),"",IF($E372="","brak danych",IF($E372=0,0,IF(COUNTIFS($A$10:$A$89,$C372)&lt;&gt;1,"brak danych",IF(COUNTIFS($A$10:$A$89,$C372,$G$10:$G$89,"&lt;&gt;")=0,"brak danych",VLOOKUP($C372,$A$10:$J$89,7,FALSE)*$E372))))))</x:f>
      </x:c>
      <x:c r="I372" s="25" t="str">
        <x:f>IF($A372="","",IF(AND($C372="",$E372=""),"",IF($E372="","brak danych",IF($E372=0,0,IF(COUNTIFS($A$10:$A$89,$C372)&lt;&gt;1,"brak danych",IF(COUNTIFS($A$10:$A$89,$C372,$H$10:$H$89,"&lt;&gt;")=0,"brak danych",VLOOKUP($C372,$A$10:$J$89,8,FALSE)*$E372))))))</x:f>
      </x:c>
      <x:c r="J372" s="25" t="str">
        <x:f>IF($A372="","",IF(AND($C372="",$E372=""),"",IF($E372="","brak danych",IF($E372=0,0,IF(COUNTIFS($A$10:$A$89,$C372)&lt;&gt;1,"brak danych",IF(COUNTIFS($A$10:$A$89,$C372,$I$10:$I$89,"&lt;&gt;")=0,"brak danych",VLOOKUP($C372,$A$10:$J$89,9,FALSE)*$E372))))))</x:f>
      </x:c>
      <x:c r="K372" s="25" t="str">
        <x:f>IF($A372="","",IF(AND($C372="",$E372=""),"",IF($E372="","brak danych",IF($E372=0,0,IF(COUNTIFS($A$10:$A$89,$C372)&lt;&gt;1,"brak danych",IF(COUNTIFS($A$10:$A$89,$C372,$J$10:$J$89,"&lt;&gt;")=0,"brak danych",VLOOKUP($C372,$A$10:$J$89,10,FALSE)*$E372))))))</x:f>
      </x:c>
      <x:c r="L372" s="24" t="str">
        <x:f>IF($A372="","",IF($F372="","",IF($F372=0,0,IF(COUNTIFS($A$10:$A$89,$C372)&lt;&gt;1,"brak danych",IF(COUNTIFS($A$10:$A$89,$C372,$F$10:$F$89,"&lt;&gt;")=0,"brak danych",VLOOKUP($C372,$A$10:$J$89,6,FALSE)*$F372)))))</x:f>
      </x:c>
      <x:c r="M372" s="25" t="str">
        <x:f>IF($A372="","",IF($F372="","",IF($F372=0,0,IF(COUNTIFS($A$10:$A$89,$C372)&lt;&gt;1,"brak danych",IF(COUNTIFS($A$10:$A$89,$C372,$G$10:$G$89,"&lt;&gt;")=0,"brak danych",VLOOKUP($C372,$A$10:$J$89,7,FALSE)*$F372)))))</x:f>
      </x:c>
      <x:c r="N372" s="25" t="str">
        <x:f>IF($A372="","",IF($F372="","",IF($F372=0,0,IF(COUNTIFS($A$10:$A$89,$C372)&lt;&gt;1,"brak danych",IF(COUNTIFS($A$10:$A$89,$C372,$H$10:$H$89,"&lt;&gt;")=0,"brak danych",VLOOKUP($C372,$A$10:$J$89,8,FALSE)*$F372)))))</x:f>
      </x:c>
      <x:c r="O372" s="25" t="str">
        <x:f>IF($A372="","",IF($F372="","",IF($F372=0,0,IF(COUNTIFS($A$10:$A$89,$C372)&lt;&gt;1,"brak danych",IF(COUNTIFS($A$10:$A$89,$C372,$I$10:$I$89,"&lt;&gt;")=0,"brak danych",VLOOKUP($C372,$A$10:$J$89,9,FALSE)*$F372)))))</x:f>
      </x:c>
      <x:c r="P372" s="25" t="str">
        <x:f>IF($A372="","",IF($F372="","",IF($F372=0,0,IF(COUNTIFS($A$10:$A$89,$C372)&lt;&gt;1,"brak danych",IF(COUNTIFS($A$10:$A$89,$C372,$J$10:$J$89,"&lt;&gt;")=0,"brak danych",VLOOKUP($C372,$A$10:$J$89,10,FALSE)*$F372)))))</x:f>
      </x:c>
      <x:c r="Q372" s="18"/>
    </x:row>
    <x:row r="373" ht="25" customHeight="1">
      <x:c r="A373" s="6"/>
      <x:c r="B373" s="30"/>
      <x:c r="C373" s="5"/>
      <x:c r="D373" s="5"/>
      <x:c r="E373" s="32"/>
      <x:c r="F373" s="32"/>
      <x:c r="G373" s="24" t="str">
        <x:f>IF($A373="","",IF(AND($C373="",$E373=""),"",IF($E373="","brak danych",IF($E373=0,0,IF(COUNTIFS($A$10:$A$89,$C373)&lt;&gt;1,"brak danych",IF(COUNTIFS($A$10:$A$89,$C373,$F$10:$F$89,"&lt;&gt;")=0,"brak danych",VLOOKUP($C373,$A$10:$J$89,6,FALSE)*$E373))))))</x:f>
      </x:c>
      <x:c r="H373" s="25" t="str">
        <x:f>IF($A373="","",IF(AND($C373="",$E373=""),"",IF($E373="","brak danych",IF($E373=0,0,IF(COUNTIFS($A$10:$A$89,$C373)&lt;&gt;1,"brak danych",IF(COUNTIFS($A$10:$A$89,$C373,$G$10:$G$89,"&lt;&gt;")=0,"brak danych",VLOOKUP($C373,$A$10:$J$89,7,FALSE)*$E373))))))</x:f>
      </x:c>
      <x:c r="I373" s="25" t="str">
        <x:f>IF($A373="","",IF(AND($C373="",$E373=""),"",IF($E373="","brak danych",IF($E373=0,0,IF(COUNTIFS($A$10:$A$89,$C373)&lt;&gt;1,"brak danych",IF(COUNTIFS($A$10:$A$89,$C373,$H$10:$H$89,"&lt;&gt;")=0,"brak danych",VLOOKUP($C373,$A$10:$J$89,8,FALSE)*$E373))))))</x:f>
      </x:c>
      <x:c r="J373" s="25" t="str">
        <x:f>IF($A373="","",IF(AND($C373="",$E373=""),"",IF($E373="","brak danych",IF($E373=0,0,IF(COUNTIFS($A$10:$A$89,$C373)&lt;&gt;1,"brak danych",IF(COUNTIFS($A$10:$A$89,$C373,$I$10:$I$89,"&lt;&gt;")=0,"brak danych",VLOOKUP($C373,$A$10:$J$89,9,FALSE)*$E373))))))</x:f>
      </x:c>
      <x:c r="K373" s="25" t="str">
        <x:f>IF($A373="","",IF(AND($C373="",$E373=""),"",IF($E373="","brak danych",IF($E373=0,0,IF(COUNTIFS($A$10:$A$89,$C373)&lt;&gt;1,"brak danych",IF(COUNTIFS($A$10:$A$89,$C373,$J$10:$J$89,"&lt;&gt;")=0,"brak danych",VLOOKUP($C373,$A$10:$J$89,10,FALSE)*$E373))))))</x:f>
      </x:c>
      <x:c r="L373" s="24" t="str">
        <x:f>IF($A373="","",IF($F373="","",IF($F373=0,0,IF(COUNTIFS($A$10:$A$89,$C373)&lt;&gt;1,"brak danych",IF(COUNTIFS($A$10:$A$89,$C373,$F$10:$F$89,"&lt;&gt;")=0,"brak danych",VLOOKUP($C373,$A$10:$J$89,6,FALSE)*$F373)))))</x:f>
      </x:c>
      <x:c r="M373" s="25" t="str">
        <x:f>IF($A373="","",IF($F373="","",IF($F373=0,0,IF(COUNTIFS($A$10:$A$89,$C373)&lt;&gt;1,"brak danych",IF(COUNTIFS($A$10:$A$89,$C373,$G$10:$G$89,"&lt;&gt;")=0,"brak danych",VLOOKUP($C373,$A$10:$J$89,7,FALSE)*$F373)))))</x:f>
      </x:c>
      <x:c r="N373" s="25" t="str">
        <x:f>IF($A373="","",IF($F373="","",IF($F373=0,0,IF(COUNTIFS($A$10:$A$89,$C373)&lt;&gt;1,"brak danych",IF(COUNTIFS($A$10:$A$89,$C373,$H$10:$H$89,"&lt;&gt;")=0,"brak danych",VLOOKUP($C373,$A$10:$J$89,8,FALSE)*$F373)))))</x:f>
      </x:c>
      <x:c r="O373" s="25" t="str">
        <x:f>IF($A373="","",IF($F373="","",IF($F373=0,0,IF(COUNTIFS($A$10:$A$89,$C373)&lt;&gt;1,"brak danych",IF(COUNTIFS($A$10:$A$89,$C373,$I$10:$I$89,"&lt;&gt;")=0,"brak danych",VLOOKUP($C373,$A$10:$J$89,9,FALSE)*$F373)))))</x:f>
      </x:c>
      <x:c r="P373" s="25" t="str">
        <x:f>IF($A373="","",IF($F373="","",IF($F373=0,0,IF(COUNTIFS($A$10:$A$89,$C373)&lt;&gt;1,"brak danych",IF(COUNTIFS($A$10:$A$89,$C373,$J$10:$J$89,"&lt;&gt;")=0,"brak danych",VLOOKUP($C373,$A$10:$J$89,10,FALSE)*$F373)))))</x:f>
      </x:c>
      <x:c r="Q373" s="18"/>
    </x:row>
    <x:row r="374" ht="25" customHeight="1">
      <x:c r="A374" s="6"/>
      <x:c r="B374" s="30"/>
      <x:c r="C374" s="5"/>
      <x:c r="D374" s="5"/>
      <x:c r="E374" s="32"/>
      <x:c r="F374" s="32"/>
      <x:c r="G374" s="24" t="str">
        <x:f>IF($A374="","",IF(AND($C374="",$E374=""),"",IF($E374="","brak danych",IF($E374=0,0,IF(COUNTIFS($A$10:$A$89,$C374)&lt;&gt;1,"brak danych",IF(COUNTIFS($A$10:$A$89,$C374,$F$10:$F$89,"&lt;&gt;")=0,"brak danych",VLOOKUP($C374,$A$10:$J$89,6,FALSE)*$E374))))))</x:f>
      </x:c>
      <x:c r="H374" s="25" t="str">
        <x:f>IF($A374="","",IF(AND($C374="",$E374=""),"",IF($E374="","brak danych",IF($E374=0,0,IF(COUNTIFS($A$10:$A$89,$C374)&lt;&gt;1,"brak danych",IF(COUNTIFS($A$10:$A$89,$C374,$G$10:$G$89,"&lt;&gt;")=0,"brak danych",VLOOKUP($C374,$A$10:$J$89,7,FALSE)*$E374))))))</x:f>
      </x:c>
      <x:c r="I374" s="25" t="str">
        <x:f>IF($A374="","",IF(AND($C374="",$E374=""),"",IF($E374="","brak danych",IF($E374=0,0,IF(COUNTIFS($A$10:$A$89,$C374)&lt;&gt;1,"brak danych",IF(COUNTIFS($A$10:$A$89,$C374,$H$10:$H$89,"&lt;&gt;")=0,"brak danych",VLOOKUP($C374,$A$10:$J$89,8,FALSE)*$E374))))))</x:f>
      </x:c>
      <x:c r="J374" s="25" t="str">
        <x:f>IF($A374="","",IF(AND($C374="",$E374=""),"",IF($E374="","brak danych",IF($E374=0,0,IF(COUNTIFS($A$10:$A$89,$C374)&lt;&gt;1,"brak danych",IF(COUNTIFS($A$10:$A$89,$C374,$I$10:$I$89,"&lt;&gt;")=0,"brak danych",VLOOKUP($C374,$A$10:$J$89,9,FALSE)*$E374))))))</x:f>
      </x:c>
      <x:c r="K374" s="25" t="str">
        <x:f>IF($A374="","",IF(AND($C374="",$E374=""),"",IF($E374="","brak danych",IF($E374=0,0,IF(COUNTIFS($A$10:$A$89,$C374)&lt;&gt;1,"brak danych",IF(COUNTIFS($A$10:$A$89,$C374,$J$10:$J$89,"&lt;&gt;")=0,"brak danych",VLOOKUP($C374,$A$10:$J$89,10,FALSE)*$E374))))))</x:f>
      </x:c>
      <x:c r="L374" s="24" t="str">
        <x:f>IF($A374="","",IF($F374="","",IF($F374=0,0,IF(COUNTIFS($A$10:$A$89,$C374)&lt;&gt;1,"brak danych",IF(COUNTIFS($A$10:$A$89,$C374,$F$10:$F$89,"&lt;&gt;")=0,"brak danych",VLOOKUP($C374,$A$10:$J$89,6,FALSE)*$F374)))))</x:f>
      </x:c>
      <x:c r="M374" s="25" t="str">
        <x:f>IF($A374="","",IF($F374="","",IF($F374=0,0,IF(COUNTIFS($A$10:$A$89,$C374)&lt;&gt;1,"brak danych",IF(COUNTIFS($A$10:$A$89,$C374,$G$10:$G$89,"&lt;&gt;")=0,"brak danych",VLOOKUP($C374,$A$10:$J$89,7,FALSE)*$F374)))))</x:f>
      </x:c>
      <x:c r="N374" s="25" t="str">
        <x:f>IF($A374="","",IF($F374="","",IF($F374=0,0,IF(COUNTIFS($A$10:$A$89,$C374)&lt;&gt;1,"brak danych",IF(COUNTIFS($A$10:$A$89,$C374,$H$10:$H$89,"&lt;&gt;")=0,"brak danych",VLOOKUP($C374,$A$10:$J$89,8,FALSE)*$F374)))))</x:f>
      </x:c>
      <x:c r="O374" s="25" t="str">
        <x:f>IF($A374="","",IF($F374="","",IF($F374=0,0,IF(COUNTIFS($A$10:$A$89,$C374)&lt;&gt;1,"brak danych",IF(COUNTIFS($A$10:$A$89,$C374,$I$10:$I$89,"&lt;&gt;")=0,"brak danych",VLOOKUP($C374,$A$10:$J$89,9,FALSE)*$F374)))))</x:f>
      </x:c>
      <x:c r="P374" s="25" t="str">
        <x:f>IF($A374="","",IF($F374="","",IF($F374=0,0,IF(COUNTIFS($A$10:$A$89,$C374)&lt;&gt;1,"brak danych",IF(COUNTIFS($A$10:$A$89,$C374,$J$10:$J$89,"&lt;&gt;")=0,"brak danych",VLOOKUP($C374,$A$10:$J$89,10,FALSE)*$F374)))))</x:f>
      </x:c>
      <x:c r="Q374" s="18"/>
    </x:row>
    <x:row r="375" ht="25" customHeight="1">
      <x:c r="A375" s="6"/>
      <x:c r="B375" s="30"/>
      <x:c r="C375" s="5"/>
      <x:c r="D375" s="5"/>
      <x:c r="E375" s="32"/>
      <x:c r="F375" s="32"/>
      <x:c r="G375" s="24" t="str">
        <x:f>IF($A375="","",IF(AND($C375="",$E375=""),"",IF($E375="","brak danych",IF($E375=0,0,IF(COUNTIFS($A$10:$A$89,$C375)&lt;&gt;1,"brak danych",IF(COUNTIFS($A$10:$A$89,$C375,$F$10:$F$89,"&lt;&gt;")=0,"brak danych",VLOOKUP($C375,$A$10:$J$89,6,FALSE)*$E375))))))</x:f>
      </x:c>
      <x:c r="H375" s="25" t="str">
        <x:f>IF($A375="","",IF(AND($C375="",$E375=""),"",IF($E375="","brak danych",IF($E375=0,0,IF(COUNTIFS($A$10:$A$89,$C375)&lt;&gt;1,"brak danych",IF(COUNTIFS($A$10:$A$89,$C375,$G$10:$G$89,"&lt;&gt;")=0,"brak danych",VLOOKUP($C375,$A$10:$J$89,7,FALSE)*$E375))))))</x:f>
      </x:c>
      <x:c r="I375" s="25" t="str">
        <x:f>IF($A375="","",IF(AND($C375="",$E375=""),"",IF($E375="","brak danych",IF($E375=0,0,IF(COUNTIFS($A$10:$A$89,$C375)&lt;&gt;1,"brak danych",IF(COUNTIFS($A$10:$A$89,$C375,$H$10:$H$89,"&lt;&gt;")=0,"brak danych",VLOOKUP($C375,$A$10:$J$89,8,FALSE)*$E375))))))</x:f>
      </x:c>
      <x:c r="J375" s="25" t="str">
        <x:f>IF($A375="","",IF(AND($C375="",$E375=""),"",IF($E375="","brak danych",IF($E375=0,0,IF(COUNTIFS($A$10:$A$89,$C375)&lt;&gt;1,"brak danych",IF(COUNTIFS($A$10:$A$89,$C375,$I$10:$I$89,"&lt;&gt;")=0,"brak danych",VLOOKUP($C375,$A$10:$J$89,9,FALSE)*$E375))))))</x:f>
      </x:c>
      <x:c r="K375" s="25" t="str">
        <x:f>IF($A375="","",IF(AND($C375="",$E375=""),"",IF($E375="","brak danych",IF($E375=0,0,IF(COUNTIFS($A$10:$A$89,$C375)&lt;&gt;1,"brak danych",IF(COUNTIFS($A$10:$A$89,$C375,$J$10:$J$89,"&lt;&gt;")=0,"brak danych",VLOOKUP($C375,$A$10:$J$89,10,FALSE)*$E375))))))</x:f>
      </x:c>
      <x:c r="L375" s="24" t="str">
        <x:f>IF($A375="","",IF($F375="","",IF($F375=0,0,IF(COUNTIFS($A$10:$A$89,$C375)&lt;&gt;1,"brak danych",IF(COUNTIFS($A$10:$A$89,$C375,$F$10:$F$89,"&lt;&gt;")=0,"brak danych",VLOOKUP($C375,$A$10:$J$89,6,FALSE)*$F375)))))</x:f>
      </x:c>
      <x:c r="M375" s="25" t="str">
        <x:f>IF($A375="","",IF($F375="","",IF($F375=0,0,IF(COUNTIFS($A$10:$A$89,$C375)&lt;&gt;1,"brak danych",IF(COUNTIFS($A$10:$A$89,$C375,$G$10:$G$89,"&lt;&gt;")=0,"brak danych",VLOOKUP($C375,$A$10:$J$89,7,FALSE)*$F375)))))</x:f>
      </x:c>
      <x:c r="N375" s="25" t="str">
        <x:f>IF($A375="","",IF($F375="","",IF($F375=0,0,IF(COUNTIFS($A$10:$A$89,$C375)&lt;&gt;1,"brak danych",IF(COUNTIFS($A$10:$A$89,$C375,$H$10:$H$89,"&lt;&gt;")=0,"brak danych",VLOOKUP($C375,$A$10:$J$89,8,FALSE)*$F375)))))</x:f>
      </x:c>
      <x:c r="O375" s="25" t="str">
        <x:f>IF($A375="","",IF($F375="","",IF($F375=0,0,IF(COUNTIFS($A$10:$A$89,$C375)&lt;&gt;1,"brak danych",IF(COUNTIFS($A$10:$A$89,$C375,$I$10:$I$89,"&lt;&gt;")=0,"brak danych",VLOOKUP($C375,$A$10:$J$89,9,FALSE)*$F375)))))</x:f>
      </x:c>
      <x:c r="P375" s="25" t="str">
        <x:f>IF($A375="","",IF($F375="","",IF($F375=0,0,IF(COUNTIFS($A$10:$A$89,$C375)&lt;&gt;1,"brak danych",IF(COUNTIFS($A$10:$A$89,$C375,$J$10:$J$89,"&lt;&gt;")=0,"brak danych",VLOOKUP($C375,$A$10:$J$89,10,FALSE)*$F375)))))</x:f>
      </x:c>
      <x:c r="Q375" s="18"/>
    </x:row>
    <x:row r="376" ht="25" customHeight="1">
      <x:c r="A376" s="6"/>
      <x:c r="B376" s="30"/>
      <x:c r="C376" s="5"/>
      <x:c r="D376" s="5"/>
      <x:c r="E376" s="32"/>
      <x:c r="F376" s="32"/>
      <x:c r="G376" s="24" t="str">
        <x:f>IF($A376="","",IF(AND($C376="",$E376=""),"",IF($E376="","brak danych",IF($E376=0,0,IF(COUNTIFS($A$10:$A$89,$C376)&lt;&gt;1,"brak danych",IF(COUNTIFS($A$10:$A$89,$C376,$F$10:$F$89,"&lt;&gt;")=0,"brak danych",VLOOKUP($C376,$A$10:$J$89,6,FALSE)*$E376))))))</x:f>
      </x:c>
      <x:c r="H376" s="25" t="str">
        <x:f>IF($A376="","",IF(AND($C376="",$E376=""),"",IF($E376="","brak danych",IF($E376=0,0,IF(COUNTIFS($A$10:$A$89,$C376)&lt;&gt;1,"brak danych",IF(COUNTIFS($A$10:$A$89,$C376,$G$10:$G$89,"&lt;&gt;")=0,"brak danych",VLOOKUP($C376,$A$10:$J$89,7,FALSE)*$E376))))))</x:f>
      </x:c>
      <x:c r="I376" s="25" t="str">
        <x:f>IF($A376="","",IF(AND($C376="",$E376=""),"",IF($E376="","brak danych",IF($E376=0,0,IF(COUNTIFS($A$10:$A$89,$C376)&lt;&gt;1,"brak danych",IF(COUNTIFS($A$10:$A$89,$C376,$H$10:$H$89,"&lt;&gt;")=0,"brak danych",VLOOKUP($C376,$A$10:$J$89,8,FALSE)*$E376))))))</x:f>
      </x:c>
      <x:c r="J376" s="25" t="str">
        <x:f>IF($A376="","",IF(AND($C376="",$E376=""),"",IF($E376="","brak danych",IF($E376=0,0,IF(COUNTIFS($A$10:$A$89,$C376)&lt;&gt;1,"brak danych",IF(COUNTIFS($A$10:$A$89,$C376,$I$10:$I$89,"&lt;&gt;")=0,"brak danych",VLOOKUP($C376,$A$10:$J$89,9,FALSE)*$E376))))))</x:f>
      </x:c>
      <x:c r="K376" s="25" t="str">
        <x:f>IF($A376="","",IF(AND($C376="",$E376=""),"",IF($E376="","brak danych",IF($E376=0,0,IF(COUNTIFS($A$10:$A$89,$C376)&lt;&gt;1,"brak danych",IF(COUNTIFS($A$10:$A$89,$C376,$J$10:$J$89,"&lt;&gt;")=0,"brak danych",VLOOKUP($C376,$A$10:$J$89,10,FALSE)*$E376))))))</x:f>
      </x:c>
      <x:c r="L376" s="24" t="str">
        <x:f>IF($A376="","",IF($F376="","",IF($F376=0,0,IF(COUNTIFS($A$10:$A$89,$C376)&lt;&gt;1,"brak danych",IF(COUNTIFS($A$10:$A$89,$C376,$F$10:$F$89,"&lt;&gt;")=0,"brak danych",VLOOKUP($C376,$A$10:$J$89,6,FALSE)*$F376)))))</x:f>
      </x:c>
      <x:c r="M376" s="25" t="str">
        <x:f>IF($A376="","",IF($F376="","",IF($F376=0,0,IF(COUNTIFS($A$10:$A$89,$C376)&lt;&gt;1,"brak danych",IF(COUNTIFS($A$10:$A$89,$C376,$G$10:$G$89,"&lt;&gt;")=0,"brak danych",VLOOKUP($C376,$A$10:$J$89,7,FALSE)*$F376)))))</x:f>
      </x:c>
      <x:c r="N376" s="25" t="str">
        <x:f>IF($A376="","",IF($F376="","",IF($F376=0,0,IF(COUNTIFS($A$10:$A$89,$C376)&lt;&gt;1,"brak danych",IF(COUNTIFS($A$10:$A$89,$C376,$H$10:$H$89,"&lt;&gt;")=0,"brak danych",VLOOKUP($C376,$A$10:$J$89,8,FALSE)*$F376)))))</x:f>
      </x:c>
      <x:c r="O376" s="25" t="str">
        <x:f>IF($A376="","",IF($F376="","",IF($F376=0,0,IF(COUNTIFS($A$10:$A$89,$C376)&lt;&gt;1,"brak danych",IF(COUNTIFS($A$10:$A$89,$C376,$I$10:$I$89,"&lt;&gt;")=0,"brak danych",VLOOKUP($C376,$A$10:$J$89,9,FALSE)*$F376)))))</x:f>
      </x:c>
      <x:c r="P376" s="25" t="str">
        <x:f>IF($A376="","",IF($F376="","",IF($F376=0,0,IF(COUNTIFS($A$10:$A$89,$C376)&lt;&gt;1,"brak danych",IF(COUNTIFS($A$10:$A$89,$C376,$J$10:$J$89,"&lt;&gt;")=0,"brak danych",VLOOKUP($C376,$A$10:$J$89,10,FALSE)*$F376)))))</x:f>
      </x:c>
      <x:c r="Q376" s="18"/>
    </x:row>
    <x:row r="377" ht="25" customHeight="1">
      <x:c r="A377" s="6"/>
      <x:c r="B377" s="30"/>
      <x:c r="C377" s="5"/>
      <x:c r="D377" s="5"/>
      <x:c r="E377" s="32"/>
      <x:c r="F377" s="32"/>
      <x:c r="G377" s="24" t="str">
        <x:f>IF($A377="","",IF(AND($C377="",$E377=""),"",IF($E377="","brak danych",IF($E377=0,0,IF(COUNTIFS($A$10:$A$89,$C377)&lt;&gt;1,"brak danych",IF(COUNTIFS($A$10:$A$89,$C377,$F$10:$F$89,"&lt;&gt;")=0,"brak danych",VLOOKUP($C377,$A$10:$J$89,6,FALSE)*$E377))))))</x:f>
      </x:c>
      <x:c r="H377" s="25" t="str">
        <x:f>IF($A377="","",IF(AND($C377="",$E377=""),"",IF($E377="","brak danych",IF($E377=0,0,IF(COUNTIFS($A$10:$A$89,$C377)&lt;&gt;1,"brak danych",IF(COUNTIFS($A$10:$A$89,$C377,$G$10:$G$89,"&lt;&gt;")=0,"brak danych",VLOOKUP($C377,$A$10:$J$89,7,FALSE)*$E377))))))</x:f>
      </x:c>
      <x:c r="I377" s="25" t="str">
        <x:f>IF($A377="","",IF(AND($C377="",$E377=""),"",IF($E377="","brak danych",IF($E377=0,0,IF(COUNTIFS($A$10:$A$89,$C377)&lt;&gt;1,"brak danych",IF(COUNTIFS($A$10:$A$89,$C377,$H$10:$H$89,"&lt;&gt;")=0,"brak danych",VLOOKUP($C377,$A$10:$J$89,8,FALSE)*$E377))))))</x:f>
      </x:c>
      <x:c r="J377" s="25" t="str">
        <x:f>IF($A377="","",IF(AND($C377="",$E377=""),"",IF($E377="","brak danych",IF($E377=0,0,IF(COUNTIFS($A$10:$A$89,$C377)&lt;&gt;1,"brak danych",IF(COUNTIFS($A$10:$A$89,$C377,$I$10:$I$89,"&lt;&gt;")=0,"brak danych",VLOOKUP($C377,$A$10:$J$89,9,FALSE)*$E377))))))</x:f>
      </x:c>
      <x:c r="K377" s="25" t="str">
        <x:f>IF($A377="","",IF(AND($C377="",$E377=""),"",IF($E377="","brak danych",IF($E377=0,0,IF(COUNTIFS($A$10:$A$89,$C377)&lt;&gt;1,"brak danych",IF(COUNTIFS($A$10:$A$89,$C377,$J$10:$J$89,"&lt;&gt;")=0,"brak danych",VLOOKUP($C377,$A$10:$J$89,10,FALSE)*$E377))))))</x:f>
      </x:c>
      <x:c r="L377" s="24" t="str">
        <x:f>IF($A377="","",IF($F377="","",IF($F377=0,0,IF(COUNTIFS($A$10:$A$89,$C377)&lt;&gt;1,"brak danych",IF(COUNTIFS($A$10:$A$89,$C377,$F$10:$F$89,"&lt;&gt;")=0,"brak danych",VLOOKUP($C377,$A$10:$J$89,6,FALSE)*$F377)))))</x:f>
      </x:c>
      <x:c r="M377" s="25" t="str">
        <x:f>IF($A377="","",IF($F377="","",IF($F377=0,0,IF(COUNTIFS($A$10:$A$89,$C377)&lt;&gt;1,"brak danych",IF(COUNTIFS($A$10:$A$89,$C377,$G$10:$G$89,"&lt;&gt;")=0,"brak danych",VLOOKUP($C377,$A$10:$J$89,7,FALSE)*$F377)))))</x:f>
      </x:c>
      <x:c r="N377" s="25" t="str">
        <x:f>IF($A377="","",IF($F377="","",IF($F377=0,0,IF(COUNTIFS($A$10:$A$89,$C377)&lt;&gt;1,"brak danych",IF(COUNTIFS($A$10:$A$89,$C377,$H$10:$H$89,"&lt;&gt;")=0,"brak danych",VLOOKUP($C377,$A$10:$J$89,8,FALSE)*$F377)))))</x:f>
      </x:c>
      <x:c r="O377" s="25" t="str">
        <x:f>IF($A377="","",IF($F377="","",IF($F377=0,0,IF(COUNTIFS($A$10:$A$89,$C377)&lt;&gt;1,"brak danych",IF(COUNTIFS($A$10:$A$89,$C377,$I$10:$I$89,"&lt;&gt;")=0,"brak danych",VLOOKUP($C377,$A$10:$J$89,9,FALSE)*$F377)))))</x:f>
      </x:c>
      <x:c r="P377" s="25" t="str">
        <x:f>IF($A377="","",IF($F377="","",IF($F377=0,0,IF(COUNTIFS($A$10:$A$89,$C377)&lt;&gt;1,"brak danych",IF(COUNTIFS($A$10:$A$89,$C377,$J$10:$J$89,"&lt;&gt;")=0,"brak danych",VLOOKUP($C377,$A$10:$J$89,10,FALSE)*$F377)))))</x:f>
      </x:c>
      <x:c r="Q377" s="18"/>
    </x:row>
    <x:row r="378" ht="25" customHeight="1">
      <x:c r="A378" s="6"/>
      <x:c r="B378" s="30"/>
      <x:c r="C378" s="5"/>
      <x:c r="D378" s="5"/>
      <x:c r="E378" s="32"/>
      <x:c r="F378" s="32"/>
      <x:c r="G378" s="24" t="str">
        <x:f>IF($A378="","",IF(AND($C378="",$E378=""),"",IF($E378="","brak danych",IF($E378=0,0,IF(COUNTIFS($A$10:$A$89,$C378)&lt;&gt;1,"brak danych",IF(COUNTIFS($A$10:$A$89,$C378,$F$10:$F$89,"&lt;&gt;")=0,"brak danych",VLOOKUP($C378,$A$10:$J$89,6,FALSE)*$E378))))))</x:f>
      </x:c>
      <x:c r="H378" s="25" t="str">
        <x:f>IF($A378="","",IF(AND($C378="",$E378=""),"",IF($E378="","brak danych",IF($E378=0,0,IF(COUNTIFS($A$10:$A$89,$C378)&lt;&gt;1,"brak danych",IF(COUNTIFS($A$10:$A$89,$C378,$G$10:$G$89,"&lt;&gt;")=0,"brak danych",VLOOKUP($C378,$A$10:$J$89,7,FALSE)*$E378))))))</x:f>
      </x:c>
      <x:c r="I378" s="25" t="str">
        <x:f>IF($A378="","",IF(AND($C378="",$E378=""),"",IF($E378="","brak danych",IF($E378=0,0,IF(COUNTIFS($A$10:$A$89,$C378)&lt;&gt;1,"brak danych",IF(COUNTIFS($A$10:$A$89,$C378,$H$10:$H$89,"&lt;&gt;")=0,"brak danych",VLOOKUP($C378,$A$10:$J$89,8,FALSE)*$E378))))))</x:f>
      </x:c>
      <x:c r="J378" s="25" t="str">
        <x:f>IF($A378="","",IF(AND($C378="",$E378=""),"",IF($E378="","brak danych",IF($E378=0,0,IF(COUNTIFS($A$10:$A$89,$C378)&lt;&gt;1,"brak danych",IF(COUNTIFS($A$10:$A$89,$C378,$I$10:$I$89,"&lt;&gt;")=0,"brak danych",VLOOKUP($C378,$A$10:$J$89,9,FALSE)*$E378))))))</x:f>
      </x:c>
      <x:c r="K378" s="25" t="str">
        <x:f>IF($A378="","",IF(AND($C378="",$E378=""),"",IF($E378="","brak danych",IF($E378=0,0,IF(COUNTIFS($A$10:$A$89,$C378)&lt;&gt;1,"brak danych",IF(COUNTIFS($A$10:$A$89,$C378,$J$10:$J$89,"&lt;&gt;")=0,"brak danych",VLOOKUP($C378,$A$10:$J$89,10,FALSE)*$E378))))))</x:f>
      </x:c>
      <x:c r="L378" s="24" t="str">
        <x:f>IF($A378="","",IF($F378="","",IF($F378=0,0,IF(COUNTIFS($A$10:$A$89,$C378)&lt;&gt;1,"brak danych",IF(COUNTIFS($A$10:$A$89,$C378,$F$10:$F$89,"&lt;&gt;")=0,"brak danych",VLOOKUP($C378,$A$10:$J$89,6,FALSE)*$F378)))))</x:f>
      </x:c>
      <x:c r="M378" s="25" t="str">
        <x:f>IF($A378="","",IF($F378="","",IF($F378=0,0,IF(COUNTIFS($A$10:$A$89,$C378)&lt;&gt;1,"brak danych",IF(COUNTIFS($A$10:$A$89,$C378,$G$10:$G$89,"&lt;&gt;")=0,"brak danych",VLOOKUP($C378,$A$10:$J$89,7,FALSE)*$F378)))))</x:f>
      </x:c>
      <x:c r="N378" s="25" t="str">
        <x:f>IF($A378="","",IF($F378="","",IF($F378=0,0,IF(COUNTIFS($A$10:$A$89,$C378)&lt;&gt;1,"brak danych",IF(COUNTIFS($A$10:$A$89,$C378,$H$10:$H$89,"&lt;&gt;")=0,"brak danych",VLOOKUP($C378,$A$10:$J$89,8,FALSE)*$F378)))))</x:f>
      </x:c>
      <x:c r="O378" s="25" t="str">
        <x:f>IF($A378="","",IF($F378="","",IF($F378=0,0,IF(COUNTIFS($A$10:$A$89,$C378)&lt;&gt;1,"brak danych",IF(COUNTIFS($A$10:$A$89,$C378,$I$10:$I$89,"&lt;&gt;")=0,"brak danych",VLOOKUP($C378,$A$10:$J$89,9,FALSE)*$F378)))))</x:f>
      </x:c>
      <x:c r="P378" s="25" t="str">
        <x:f>IF($A378="","",IF($F378="","",IF($F378=0,0,IF(COUNTIFS($A$10:$A$89,$C378)&lt;&gt;1,"brak danych",IF(COUNTIFS($A$10:$A$89,$C378,$J$10:$J$89,"&lt;&gt;")=0,"brak danych",VLOOKUP($C378,$A$10:$J$89,10,FALSE)*$F378)))))</x:f>
      </x:c>
      <x:c r="Q378" s="18"/>
    </x:row>
    <x:row r="379" ht="25" customHeight="1">
      <x:c r="A379" s="6"/>
      <x:c r="B379" s="30"/>
      <x:c r="C379" s="5"/>
      <x:c r="D379" s="5"/>
      <x:c r="E379" s="32"/>
      <x:c r="F379" s="32"/>
      <x:c r="G379" s="24" t="str">
        <x:f>IF($A379="","",IF(AND($C379="",$E379=""),"",IF($E379="","brak danych",IF($E379=0,0,IF(COUNTIFS($A$10:$A$89,$C379)&lt;&gt;1,"brak danych",IF(COUNTIFS($A$10:$A$89,$C379,$F$10:$F$89,"&lt;&gt;")=0,"brak danych",VLOOKUP($C379,$A$10:$J$89,6,FALSE)*$E379))))))</x:f>
      </x:c>
      <x:c r="H379" s="25" t="str">
        <x:f>IF($A379="","",IF(AND($C379="",$E379=""),"",IF($E379="","brak danych",IF($E379=0,0,IF(COUNTIFS($A$10:$A$89,$C379)&lt;&gt;1,"brak danych",IF(COUNTIFS($A$10:$A$89,$C379,$G$10:$G$89,"&lt;&gt;")=0,"brak danych",VLOOKUP($C379,$A$10:$J$89,7,FALSE)*$E379))))))</x:f>
      </x:c>
      <x:c r="I379" s="25" t="str">
        <x:f>IF($A379="","",IF(AND($C379="",$E379=""),"",IF($E379="","brak danych",IF($E379=0,0,IF(COUNTIFS($A$10:$A$89,$C379)&lt;&gt;1,"brak danych",IF(COUNTIFS($A$10:$A$89,$C379,$H$10:$H$89,"&lt;&gt;")=0,"brak danych",VLOOKUP($C379,$A$10:$J$89,8,FALSE)*$E379))))))</x:f>
      </x:c>
      <x:c r="J379" s="25" t="str">
        <x:f>IF($A379="","",IF(AND($C379="",$E379=""),"",IF($E379="","brak danych",IF($E379=0,0,IF(COUNTIFS($A$10:$A$89,$C379)&lt;&gt;1,"brak danych",IF(COUNTIFS($A$10:$A$89,$C379,$I$10:$I$89,"&lt;&gt;")=0,"brak danych",VLOOKUP($C379,$A$10:$J$89,9,FALSE)*$E379))))))</x:f>
      </x:c>
      <x:c r="K379" s="25" t="str">
        <x:f>IF($A379="","",IF(AND($C379="",$E379=""),"",IF($E379="","brak danych",IF($E379=0,0,IF(COUNTIFS($A$10:$A$89,$C379)&lt;&gt;1,"brak danych",IF(COUNTIFS($A$10:$A$89,$C379,$J$10:$J$89,"&lt;&gt;")=0,"brak danych",VLOOKUP($C379,$A$10:$J$89,10,FALSE)*$E379))))))</x:f>
      </x:c>
      <x:c r="L379" s="24" t="str">
        <x:f>IF($A379="","",IF($F379="","",IF($F379=0,0,IF(COUNTIFS($A$10:$A$89,$C379)&lt;&gt;1,"brak danych",IF(COUNTIFS($A$10:$A$89,$C379,$F$10:$F$89,"&lt;&gt;")=0,"brak danych",VLOOKUP($C379,$A$10:$J$89,6,FALSE)*$F379)))))</x:f>
      </x:c>
      <x:c r="M379" s="25" t="str">
        <x:f>IF($A379="","",IF($F379="","",IF($F379=0,0,IF(COUNTIFS($A$10:$A$89,$C379)&lt;&gt;1,"brak danych",IF(COUNTIFS($A$10:$A$89,$C379,$G$10:$G$89,"&lt;&gt;")=0,"brak danych",VLOOKUP($C379,$A$10:$J$89,7,FALSE)*$F379)))))</x:f>
      </x:c>
      <x:c r="N379" s="25" t="str">
        <x:f>IF($A379="","",IF($F379="","",IF($F379=0,0,IF(COUNTIFS($A$10:$A$89,$C379)&lt;&gt;1,"brak danych",IF(COUNTIFS($A$10:$A$89,$C379,$H$10:$H$89,"&lt;&gt;")=0,"brak danych",VLOOKUP($C379,$A$10:$J$89,8,FALSE)*$F379)))))</x:f>
      </x:c>
      <x:c r="O379" s="25" t="str">
        <x:f>IF($A379="","",IF($F379="","",IF($F379=0,0,IF(COUNTIFS($A$10:$A$89,$C379)&lt;&gt;1,"brak danych",IF(COUNTIFS($A$10:$A$89,$C379,$I$10:$I$89,"&lt;&gt;")=0,"brak danych",VLOOKUP($C379,$A$10:$J$89,9,FALSE)*$F379)))))</x:f>
      </x:c>
      <x:c r="P379" s="25" t="str">
        <x:f>IF($A379="","",IF($F379="","",IF($F379=0,0,IF(COUNTIFS($A$10:$A$89,$C379)&lt;&gt;1,"brak danych",IF(COUNTIFS($A$10:$A$89,$C379,$J$10:$J$89,"&lt;&gt;")=0,"brak danych",VLOOKUP($C379,$A$10:$J$89,10,FALSE)*$F379)))))</x:f>
      </x:c>
      <x:c r="Q379" s="18"/>
    </x:row>
    <x:row r="380" ht="25" customHeight="1">
      <x:c r="A380" s="6"/>
      <x:c r="B380" s="30"/>
      <x:c r="C380" s="5"/>
      <x:c r="D380" s="5"/>
      <x:c r="E380" s="32"/>
      <x:c r="F380" s="32"/>
      <x:c r="G380" s="24" t="str">
        <x:f>IF($A380="","",IF(AND($C380="",$E380=""),"",IF($E380="","brak danych",IF($E380=0,0,IF(COUNTIFS($A$10:$A$89,$C380)&lt;&gt;1,"brak danych",IF(COUNTIFS($A$10:$A$89,$C380,$F$10:$F$89,"&lt;&gt;")=0,"brak danych",VLOOKUP($C380,$A$10:$J$89,6,FALSE)*$E380))))))</x:f>
      </x:c>
      <x:c r="H380" s="25" t="str">
        <x:f>IF($A380="","",IF(AND($C380="",$E380=""),"",IF($E380="","brak danych",IF($E380=0,0,IF(COUNTIFS($A$10:$A$89,$C380)&lt;&gt;1,"brak danych",IF(COUNTIFS($A$10:$A$89,$C380,$G$10:$G$89,"&lt;&gt;")=0,"brak danych",VLOOKUP($C380,$A$10:$J$89,7,FALSE)*$E380))))))</x:f>
      </x:c>
      <x:c r="I380" s="25" t="str">
        <x:f>IF($A380="","",IF(AND($C380="",$E380=""),"",IF($E380="","brak danych",IF($E380=0,0,IF(COUNTIFS($A$10:$A$89,$C380)&lt;&gt;1,"brak danych",IF(COUNTIFS($A$10:$A$89,$C380,$H$10:$H$89,"&lt;&gt;")=0,"brak danych",VLOOKUP($C380,$A$10:$J$89,8,FALSE)*$E380))))))</x:f>
      </x:c>
      <x:c r="J380" s="25" t="str">
        <x:f>IF($A380="","",IF(AND($C380="",$E380=""),"",IF($E380="","brak danych",IF($E380=0,0,IF(COUNTIFS($A$10:$A$89,$C380)&lt;&gt;1,"brak danych",IF(COUNTIFS($A$10:$A$89,$C380,$I$10:$I$89,"&lt;&gt;")=0,"brak danych",VLOOKUP($C380,$A$10:$J$89,9,FALSE)*$E380))))))</x:f>
      </x:c>
      <x:c r="K380" s="25" t="str">
        <x:f>IF($A380="","",IF(AND($C380="",$E380=""),"",IF($E380="","brak danych",IF($E380=0,0,IF(COUNTIFS($A$10:$A$89,$C380)&lt;&gt;1,"brak danych",IF(COUNTIFS($A$10:$A$89,$C380,$J$10:$J$89,"&lt;&gt;")=0,"brak danych",VLOOKUP($C380,$A$10:$J$89,10,FALSE)*$E380))))))</x:f>
      </x:c>
      <x:c r="L380" s="24" t="str">
        <x:f>IF($A380="","",IF($F380="","",IF($F380=0,0,IF(COUNTIFS($A$10:$A$89,$C380)&lt;&gt;1,"brak danych",IF(COUNTIFS($A$10:$A$89,$C380,$F$10:$F$89,"&lt;&gt;")=0,"brak danych",VLOOKUP($C380,$A$10:$J$89,6,FALSE)*$F380)))))</x:f>
      </x:c>
      <x:c r="M380" s="25" t="str">
        <x:f>IF($A380="","",IF($F380="","",IF($F380=0,0,IF(COUNTIFS($A$10:$A$89,$C380)&lt;&gt;1,"brak danych",IF(COUNTIFS($A$10:$A$89,$C380,$G$10:$G$89,"&lt;&gt;")=0,"brak danych",VLOOKUP($C380,$A$10:$J$89,7,FALSE)*$F380)))))</x:f>
      </x:c>
      <x:c r="N380" s="25" t="str">
        <x:f>IF($A380="","",IF($F380="","",IF($F380=0,0,IF(COUNTIFS($A$10:$A$89,$C380)&lt;&gt;1,"brak danych",IF(COUNTIFS($A$10:$A$89,$C380,$H$10:$H$89,"&lt;&gt;")=0,"brak danych",VLOOKUP($C380,$A$10:$J$89,8,FALSE)*$F380)))))</x:f>
      </x:c>
      <x:c r="O380" s="25" t="str">
        <x:f>IF($A380="","",IF($F380="","",IF($F380=0,0,IF(COUNTIFS($A$10:$A$89,$C380)&lt;&gt;1,"brak danych",IF(COUNTIFS($A$10:$A$89,$C380,$I$10:$I$89,"&lt;&gt;")=0,"brak danych",VLOOKUP($C380,$A$10:$J$89,9,FALSE)*$F380)))))</x:f>
      </x:c>
      <x:c r="P380" s="25" t="str">
        <x:f>IF($A380="","",IF($F380="","",IF($F380=0,0,IF(COUNTIFS($A$10:$A$89,$C380)&lt;&gt;1,"brak danych",IF(COUNTIFS($A$10:$A$89,$C380,$J$10:$J$89,"&lt;&gt;")=0,"brak danych",VLOOKUP($C380,$A$10:$J$89,10,FALSE)*$F380)))))</x:f>
      </x:c>
      <x:c r="Q380" s="18"/>
    </x:row>
    <x:row r="381" ht="25" customHeight="1">
      <x:c r="A381" s="6"/>
      <x:c r="B381" s="30"/>
      <x:c r="C381" s="5"/>
      <x:c r="D381" s="5"/>
      <x:c r="E381" s="32"/>
      <x:c r="F381" s="32"/>
      <x:c r="G381" s="24" t="str">
        <x:f>IF($A381="","",IF(AND($C381="",$E381=""),"",IF($E381="","brak danych",IF($E381=0,0,IF(COUNTIFS($A$10:$A$89,$C381)&lt;&gt;1,"brak danych",IF(COUNTIFS($A$10:$A$89,$C381,$F$10:$F$89,"&lt;&gt;")=0,"brak danych",VLOOKUP($C381,$A$10:$J$89,6,FALSE)*$E381))))))</x:f>
      </x:c>
      <x:c r="H381" s="25" t="str">
        <x:f>IF($A381="","",IF(AND($C381="",$E381=""),"",IF($E381="","brak danych",IF($E381=0,0,IF(COUNTIFS($A$10:$A$89,$C381)&lt;&gt;1,"brak danych",IF(COUNTIFS($A$10:$A$89,$C381,$G$10:$G$89,"&lt;&gt;")=0,"brak danych",VLOOKUP($C381,$A$10:$J$89,7,FALSE)*$E381))))))</x:f>
      </x:c>
      <x:c r="I381" s="25" t="str">
        <x:f>IF($A381="","",IF(AND($C381="",$E381=""),"",IF($E381="","brak danych",IF($E381=0,0,IF(COUNTIFS($A$10:$A$89,$C381)&lt;&gt;1,"brak danych",IF(COUNTIFS($A$10:$A$89,$C381,$H$10:$H$89,"&lt;&gt;")=0,"brak danych",VLOOKUP($C381,$A$10:$J$89,8,FALSE)*$E381))))))</x:f>
      </x:c>
      <x:c r="J381" s="25" t="str">
        <x:f>IF($A381="","",IF(AND($C381="",$E381=""),"",IF($E381="","brak danych",IF($E381=0,0,IF(COUNTIFS($A$10:$A$89,$C381)&lt;&gt;1,"brak danych",IF(COUNTIFS($A$10:$A$89,$C381,$I$10:$I$89,"&lt;&gt;")=0,"brak danych",VLOOKUP($C381,$A$10:$J$89,9,FALSE)*$E381))))))</x:f>
      </x:c>
      <x:c r="K381" s="25" t="str">
        <x:f>IF($A381="","",IF(AND($C381="",$E381=""),"",IF($E381="","brak danych",IF($E381=0,0,IF(COUNTIFS($A$10:$A$89,$C381)&lt;&gt;1,"brak danych",IF(COUNTIFS($A$10:$A$89,$C381,$J$10:$J$89,"&lt;&gt;")=0,"brak danych",VLOOKUP($C381,$A$10:$J$89,10,FALSE)*$E381))))))</x:f>
      </x:c>
      <x:c r="L381" s="24" t="str">
        <x:f>IF($A381="","",IF($F381="","",IF($F381=0,0,IF(COUNTIFS($A$10:$A$89,$C381)&lt;&gt;1,"brak danych",IF(COUNTIFS($A$10:$A$89,$C381,$F$10:$F$89,"&lt;&gt;")=0,"brak danych",VLOOKUP($C381,$A$10:$J$89,6,FALSE)*$F381)))))</x:f>
      </x:c>
      <x:c r="M381" s="25" t="str">
        <x:f>IF($A381="","",IF($F381="","",IF($F381=0,0,IF(COUNTIFS($A$10:$A$89,$C381)&lt;&gt;1,"brak danych",IF(COUNTIFS($A$10:$A$89,$C381,$G$10:$G$89,"&lt;&gt;")=0,"brak danych",VLOOKUP($C381,$A$10:$J$89,7,FALSE)*$F381)))))</x:f>
      </x:c>
      <x:c r="N381" s="25" t="str">
        <x:f>IF($A381="","",IF($F381="","",IF($F381=0,0,IF(COUNTIFS($A$10:$A$89,$C381)&lt;&gt;1,"brak danych",IF(COUNTIFS($A$10:$A$89,$C381,$H$10:$H$89,"&lt;&gt;")=0,"brak danych",VLOOKUP($C381,$A$10:$J$89,8,FALSE)*$F381)))))</x:f>
      </x:c>
      <x:c r="O381" s="25" t="str">
        <x:f>IF($A381="","",IF($F381="","",IF($F381=0,0,IF(COUNTIFS($A$10:$A$89,$C381)&lt;&gt;1,"brak danych",IF(COUNTIFS($A$10:$A$89,$C381,$I$10:$I$89,"&lt;&gt;")=0,"brak danych",VLOOKUP($C381,$A$10:$J$89,9,FALSE)*$F381)))))</x:f>
      </x:c>
      <x:c r="P381" s="25" t="str">
        <x:f>IF($A381="","",IF($F381="","",IF($F381=0,0,IF(COUNTIFS($A$10:$A$89,$C381)&lt;&gt;1,"brak danych",IF(COUNTIFS($A$10:$A$89,$C381,$J$10:$J$89,"&lt;&gt;")=0,"brak danych",VLOOKUP($C381,$A$10:$J$89,10,FALSE)*$F381)))))</x:f>
      </x:c>
      <x:c r="Q381" s="18"/>
    </x:row>
    <x:row r="382" ht="25" customHeight="1">
      <x:c r="A382" s="6"/>
      <x:c r="B382" s="30"/>
      <x:c r="C382" s="5"/>
      <x:c r="D382" s="5"/>
      <x:c r="E382" s="32"/>
      <x:c r="F382" s="32"/>
      <x:c r="G382" s="24" t="str">
        <x:f>IF($A382="","",IF(AND($C382="",$E382=""),"",IF($E382="","brak danych",IF($E382=0,0,IF(COUNTIFS($A$10:$A$89,$C382)&lt;&gt;1,"brak danych",IF(COUNTIFS($A$10:$A$89,$C382,$F$10:$F$89,"&lt;&gt;")=0,"brak danych",VLOOKUP($C382,$A$10:$J$89,6,FALSE)*$E382))))))</x:f>
      </x:c>
      <x:c r="H382" s="25" t="str">
        <x:f>IF($A382="","",IF(AND($C382="",$E382=""),"",IF($E382="","brak danych",IF($E382=0,0,IF(COUNTIFS($A$10:$A$89,$C382)&lt;&gt;1,"brak danych",IF(COUNTIFS($A$10:$A$89,$C382,$G$10:$G$89,"&lt;&gt;")=0,"brak danych",VLOOKUP($C382,$A$10:$J$89,7,FALSE)*$E382))))))</x:f>
      </x:c>
      <x:c r="I382" s="25" t="str">
        <x:f>IF($A382="","",IF(AND($C382="",$E382=""),"",IF($E382="","brak danych",IF($E382=0,0,IF(COUNTIFS($A$10:$A$89,$C382)&lt;&gt;1,"brak danych",IF(COUNTIFS($A$10:$A$89,$C382,$H$10:$H$89,"&lt;&gt;")=0,"brak danych",VLOOKUP($C382,$A$10:$J$89,8,FALSE)*$E382))))))</x:f>
      </x:c>
      <x:c r="J382" s="25" t="str">
        <x:f>IF($A382="","",IF(AND($C382="",$E382=""),"",IF($E382="","brak danych",IF($E382=0,0,IF(COUNTIFS($A$10:$A$89,$C382)&lt;&gt;1,"brak danych",IF(COUNTIFS($A$10:$A$89,$C382,$I$10:$I$89,"&lt;&gt;")=0,"brak danych",VLOOKUP($C382,$A$10:$J$89,9,FALSE)*$E382))))))</x:f>
      </x:c>
      <x:c r="K382" s="25" t="str">
        <x:f>IF($A382="","",IF(AND($C382="",$E382=""),"",IF($E382="","brak danych",IF($E382=0,0,IF(COUNTIFS($A$10:$A$89,$C382)&lt;&gt;1,"brak danych",IF(COUNTIFS($A$10:$A$89,$C382,$J$10:$J$89,"&lt;&gt;")=0,"brak danych",VLOOKUP($C382,$A$10:$J$89,10,FALSE)*$E382))))))</x:f>
      </x:c>
      <x:c r="L382" s="24" t="str">
        <x:f>IF($A382="","",IF($F382="","",IF($F382=0,0,IF(COUNTIFS($A$10:$A$89,$C382)&lt;&gt;1,"brak danych",IF(COUNTIFS($A$10:$A$89,$C382,$F$10:$F$89,"&lt;&gt;")=0,"brak danych",VLOOKUP($C382,$A$10:$J$89,6,FALSE)*$F382)))))</x:f>
      </x:c>
      <x:c r="M382" s="25" t="str">
        <x:f>IF($A382="","",IF($F382="","",IF($F382=0,0,IF(COUNTIFS($A$10:$A$89,$C382)&lt;&gt;1,"brak danych",IF(COUNTIFS($A$10:$A$89,$C382,$G$10:$G$89,"&lt;&gt;")=0,"brak danych",VLOOKUP($C382,$A$10:$J$89,7,FALSE)*$F382)))))</x:f>
      </x:c>
      <x:c r="N382" s="25" t="str">
        <x:f>IF($A382="","",IF($F382="","",IF($F382=0,0,IF(COUNTIFS($A$10:$A$89,$C382)&lt;&gt;1,"brak danych",IF(COUNTIFS($A$10:$A$89,$C382,$H$10:$H$89,"&lt;&gt;")=0,"brak danych",VLOOKUP($C382,$A$10:$J$89,8,FALSE)*$F382)))))</x:f>
      </x:c>
      <x:c r="O382" s="25" t="str">
        <x:f>IF($A382="","",IF($F382="","",IF($F382=0,0,IF(COUNTIFS($A$10:$A$89,$C382)&lt;&gt;1,"brak danych",IF(COUNTIFS($A$10:$A$89,$C382,$I$10:$I$89,"&lt;&gt;")=0,"brak danych",VLOOKUP($C382,$A$10:$J$89,9,FALSE)*$F382)))))</x:f>
      </x:c>
      <x:c r="P382" s="25" t="str">
        <x:f>IF($A382="","",IF($F382="","",IF($F382=0,0,IF(COUNTIFS($A$10:$A$89,$C382)&lt;&gt;1,"brak danych",IF(COUNTIFS($A$10:$A$89,$C382,$J$10:$J$89,"&lt;&gt;")=0,"brak danych",VLOOKUP($C382,$A$10:$J$89,10,FALSE)*$F382)))))</x:f>
      </x:c>
      <x:c r="Q382" s="18"/>
    </x:row>
    <x:row r="383" ht="25" customHeight="1">
      <x:c r="A383" s="6"/>
      <x:c r="B383" s="30"/>
      <x:c r="C383" s="5"/>
      <x:c r="D383" s="5"/>
      <x:c r="E383" s="32"/>
      <x:c r="F383" s="32"/>
      <x:c r="G383" s="24" t="str">
        <x:f>IF($A383="","",IF(AND($C383="",$E383=""),"",IF($E383="","brak danych",IF($E383=0,0,IF(COUNTIFS($A$10:$A$89,$C383)&lt;&gt;1,"brak danych",IF(COUNTIFS($A$10:$A$89,$C383,$F$10:$F$89,"&lt;&gt;")=0,"brak danych",VLOOKUP($C383,$A$10:$J$89,6,FALSE)*$E383))))))</x:f>
      </x:c>
      <x:c r="H383" s="25" t="str">
        <x:f>IF($A383="","",IF(AND($C383="",$E383=""),"",IF($E383="","brak danych",IF($E383=0,0,IF(COUNTIFS($A$10:$A$89,$C383)&lt;&gt;1,"brak danych",IF(COUNTIFS($A$10:$A$89,$C383,$G$10:$G$89,"&lt;&gt;")=0,"brak danych",VLOOKUP($C383,$A$10:$J$89,7,FALSE)*$E383))))))</x:f>
      </x:c>
      <x:c r="I383" s="25" t="str">
        <x:f>IF($A383="","",IF(AND($C383="",$E383=""),"",IF($E383="","brak danych",IF($E383=0,0,IF(COUNTIFS($A$10:$A$89,$C383)&lt;&gt;1,"brak danych",IF(COUNTIFS($A$10:$A$89,$C383,$H$10:$H$89,"&lt;&gt;")=0,"brak danych",VLOOKUP($C383,$A$10:$J$89,8,FALSE)*$E383))))))</x:f>
      </x:c>
      <x:c r="J383" s="25" t="str">
        <x:f>IF($A383="","",IF(AND($C383="",$E383=""),"",IF($E383="","brak danych",IF($E383=0,0,IF(COUNTIFS($A$10:$A$89,$C383)&lt;&gt;1,"brak danych",IF(COUNTIFS($A$10:$A$89,$C383,$I$10:$I$89,"&lt;&gt;")=0,"brak danych",VLOOKUP($C383,$A$10:$J$89,9,FALSE)*$E383))))))</x:f>
      </x:c>
      <x:c r="K383" s="25" t="str">
        <x:f>IF($A383="","",IF(AND($C383="",$E383=""),"",IF($E383="","brak danych",IF($E383=0,0,IF(COUNTIFS($A$10:$A$89,$C383)&lt;&gt;1,"brak danych",IF(COUNTIFS($A$10:$A$89,$C383,$J$10:$J$89,"&lt;&gt;")=0,"brak danych",VLOOKUP($C383,$A$10:$J$89,10,FALSE)*$E383))))))</x:f>
      </x:c>
      <x:c r="L383" s="24" t="str">
        <x:f>IF($A383="","",IF($F383="","",IF($F383=0,0,IF(COUNTIFS($A$10:$A$89,$C383)&lt;&gt;1,"brak danych",IF(COUNTIFS($A$10:$A$89,$C383,$F$10:$F$89,"&lt;&gt;")=0,"brak danych",VLOOKUP($C383,$A$10:$J$89,6,FALSE)*$F383)))))</x:f>
      </x:c>
      <x:c r="M383" s="25" t="str">
        <x:f>IF($A383="","",IF($F383="","",IF($F383=0,0,IF(COUNTIFS($A$10:$A$89,$C383)&lt;&gt;1,"brak danych",IF(COUNTIFS($A$10:$A$89,$C383,$G$10:$G$89,"&lt;&gt;")=0,"brak danych",VLOOKUP($C383,$A$10:$J$89,7,FALSE)*$F383)))))</x:f>
      </x:c>
      <x:c r="N383" s="25" t="str">
        <x:f>IF($A383="","",IF($F383="","",IF($F383=0,0,IF(COUNTIFS($A$10:$A$89,$C383)&lt;&gt;1,"brak danych",IF(COUNTIFS($A$10:$A$89,$C383,$H$10:$H$89,"&lt;&gt;")=0,"brak danych",VLOOKUP($C383,$A$10:$J$89,8,FALSE)*$F383)))))</x:f>
      </x:c>
      <x:c r="O383" s="25" t="str">
        <x:f>IF($A383="","",IF($F383="","",IF($F383=0,0,IF(COUNTIFS($A$10:$A$89,$C383)&lt;&gt;1,"brak danych",IF(COUNTIFS($A$10:$A$89,$C383,$I$10:$I$89,"&lt;&gt;")=0,"brak danych",VLOOKUP($C383,$A$10:$J$89,9,FALSE)*$F383)))))</x:f>
      </x:c>
      <x:c r="P383" s="25" t="str">
        <x:f>IF($A383="","",IF($F383="","",IF($F383=0,0,IF(COUNTIFS($A$10:$A$89,$C383)&lt;&gt;1,"brak danych",IF(COUNTIFS($A$10:$A$89,$C383,$J$10:$J$89,"&lt;&gt;")=0,"brak danych",VLOOKUP($C383,$A$10:$J$89,10,FALSE)*$F383)))))</x:f>
      </x:c>
      <x:c r="Q383" s="18"/>
    </x:row>
    <x:row r="384" ht="25" customHeight="1">
      <x:c r="A384" s="6"/>
      <x:c r="B384" s="30"/>
      <x:c r="C384" s="5"/>
      <x:c r="D384" s="5"/>
      <x:c r="E384" s="32"/>
      <x:c r="F384" s="32"/>
      <x:c r="G384" s="24" t="str">
        <x:f>IF($A384="","",IF(AND($C384="",$E384=""),"",IF($E384="","brak danych",IF($E384=0,0,IF(COUNTIFS($A$10:$A$89,$C384)&lt;&gt;1,"brak danych",IF(COUNTIFS($A$10:$A$89,$C384,$F$10:$F$89,"&lt;&gt;")=0,"brak danych",VLOOKUP($C384,$A$10:$J$89,6,FALSE)*$E384))))))</x:f>
      </x:c>
      <x:c r="H384" s="25" t="str">
        <x:f>IF($A384="","",IF(AND($C384="",$E384=""),"",IF($E384="","brak danych",IF($E384=0,0,IF(COUNTIFS($A$10:$A$89,$C384)&lt;&gt;1,"brak danych",IF(COUNTIFS($A$10:$A$89,$C384,$G$10:$G$89,"&lt;&gt;")=0,"brak danych",VLOOKUP($C384,$A$10:$J$89,7,FALSE)*$E384))))))</x:f>
      </x:c>
      <x:c r="I384" s="25" t="str">
        <x:f>IF($A384="","",IF(AND($C384="",$E384=""),"",IF($E384="","brak danych",IF($E384=0,0,IF(COUNTIFS($A$10:$A$89,$C384)&lt;&gt;1,"brak danych",IF(COUNTIFS($A$10:$A$89,$C384,$H$10:$H$89,"&lt;&gt;")=0,"brak danych",VLOOKUP($C384,$A$10:$J$89,8,FALSE)*$E384))))))</x:f>
      </x:c>
      <x:c r="J384" s="25" t="str">
        <x:f>IF($A384="","",IF(AND($C384="",$E384=""),"",IF($E384="","brak danych",IF($E384=0,0,IF(COUNTIFS($A$10:$A$89,$C384)&lt;&gt;1,"brak danych",IF(COUNTIFS($A$10:$A$89,$C384,$I$10:$I$89,"&lt;&gt;")=0,"brak danych",VLOOKUP($C384,$A$10:$J$89,9,FALSE)*$E384))))))</x:f>
      </x:c>
      <x:c r="K384" s="25" t="str">
        <x:f>IF($A384="","",IF(AND($C384="",$E384=""),"",IF($E384="","brak danych",IF($E384=0,0,IF(COUNTIFS($A$10:$A$89,$C384)&lt;&gt;1,"brak danych",IF(COUNTIFS($A$10:$A$89,$C384,$J$10:$J$89,"&lt;&gt;")=0,"brak danych",VLOOKUP($C384,$A$10:$J$89,10,FALSE)*$E384))))))</x:f>
      </x:c>
      <x:c r="L384" s="24" t="str">
        <x:f>IF($A384="","",IF($F384="","",IF($F384=0,0,IF(COUNTIFS($A$10:$A$89,$C384)&lt;&gt;1,"brak danych",IF(COUNTIFS($A$10:$A$89,$C384,$F$10:$F$89,"&lt;&gt;")=0,"brak danych",VLOOKUP($C384,$A$10:$J$89,6,FALSE)*$F384)))))</x:f>
      </x:c>
      <x:c r="M384" s="25" t="str">
        <x:f>IF($A384="","",IF($F384="","",IF($F384=0,0,IF(COUNTIFS($A$10:$A$89,$C384)&lt;&gt;1,"brak danych",IF(COUNTIFS($A$10:$A$89,$C384,$G$10:$G$89,"&lt;&gt;")=0,"brak danych",VLOOKUP($C384,$A$10:$J$89,7,FALSE)*$F384)))))</x:f>
      </x:c>
      <x:c r="N384" s="25" t="str">
        <x:f>IF($A384="","",IF($F384="","",IF($F384=0,0,IF(COUNTIFS($A$10:$A$89,$C384)&lt;&gt;1,"brak danych",IF(COUNTIFS($A$10:$A$89,$C384,$H$10:$H$89,"&lt;&gt;")=0,"brak danych",VLOOKUP($C384,$A$10:$J$89,8,FALSE)*$F384)))))</x:f>
      </x:c>
      <x:c r="O384" s="25" t="str">
        <x:f>IF($A384="","",IF($F384="","",IF($F384=0,0,IF(COUNTIFS($A$10:$A$89,$C384)&lt;&gt;1,"brak danych",IF(COUNTIFS($A$10:$A$89,$C384,$I$10:$I$89,"&lt;&gt;")=0,"brak danych",VLOOKUP($C384,$A$10:$J$89,9,FALSE)*$F384)))))</x:f>
      </x:c>
      <x:c r="P384" s="25" t="str">
        <x:f>IF($A384="","",IF($F384="","",IF($F384=0,0,IF(COUNTIFS($A$10:$A$89,$C384)&lt;&gt;1,"brak danych",IF(COUNTIFS($A$10:$A$89,$C384,$J$10:$J$89,"&lt;&gt;")=0,"brak danych",VLOOKUP($C384,$A$10:$J$89,10,FALSE)*$F384)))))</x:f>
      </x:c>
      <x:c r="Q384" s="18"/>
    </x:row>
    <x:row r="385" ht="25" customHeight="1">
      <x:c r="A385" s="6"/>
      <x:c r="B385" s="30"/>
      <x:c r="C385" s="5"/>
      <x:c r="D385" s="5"/>
      <x:c r="E385" s="32"/>
      <x:c r="F385" s="32"/>
      <x:c r="G385" s="24" t="str">
        <x:f>IF($A385="","",IF(AND($C385="",$E385=""),"",IF($E385="","brak danych",IF($E385=0,0,IF(COUNTIFS($A$10:$A$89,$C385)&lt;&gt;1,"brak danych",IF(COUNTIFS($A$10:$A$89,$C385,$F$10:$F$89,"&lt;&gt;")=0,"brak danych",VLOOKUP($C385,$A$10:$J$89,6,FALSE)*$E385))))))</x:f>
      </x:c>
      <x:c r="H385" s="25" t="str">
        <x:f>IF($A385="","",IF(AND($C385="",$E385=""),"",IF($E385="","brak danych",IF($E385=0,0,IF(COUNTIFS($A$10:$A$89,$C385)&lt;&gt;1,"brak danych",IF(COUNTIFS($A$10:$A$89,$C385,$G$10:$G$89,"&lt;&gt;")=0,"brak danych",VLOOKUP($C385,$A$10:$J$89,7,FALSE)*$E385))))))</x:f>
      </x:c>
      <x:c r="I385" s="25" t="str">
        <x:f>IF($A385="","",IF(AND($C385="",$E385=""),"",IF($E385="","brak danych",IF($E385=0,0,IF(COUNTIFS($A$10:$A$89,$C385)&lt;&gt;1,"brak danych",IF(COUNTIFS($A$10:$A$89,$C385,$H$10:$H$89,"&lt;&gt;")=0,"brak danych",VLOOKUP($C385,$A$10:$J$89,8,FALSE)*$E385))))))</x:f>
      </x:c>
      <x:c r="J385" s="25" t="str">
        <x:f>IF($A385="","",IF(AND($C385="",$E385=""),"",IF($E385="","brak danych",IF($E385=0,0,IF(COUNTIFS($A$10:$A$89,$C385)&lt;&gt;1,"brak danych",IF(COUNTIFS($A$10:$A$89,$C385,$I$10:$I$89,"&lt;&gt;")=0,"brak danych",VLOOKUP($C385,$A$10:$J$89,9,FALSE)*$E385))))))</x:f>
      </x:c>
      <x:c r="K385" s="25" t="str">
        <x:f>IF($A385="","",IF(AND($C385="",$E385=""),"",IF($E385="","brak danych",IF($E385=0,0,IF(COUNTIFS($A$10:$A$89,$C385)&lt;&gt;1,"brak danych",IF(COUNTIFS($A$10:$A$89,$C385,$J$10:$J$89,"&lt;&gt;")=0,"brak danych",VLOOKUP($C385,$A$10:$J$89,10,FALSE)*$E385))))))</x:f>
      </x:c>
      <x:c r="L385" s="24" t="str">
        <x:f>IF($A385="","",IF($F385="","",IF($F385=0,0,IF(COUNTIFS($A$10:$A$89,$C385)&lt;&gt;1,"brak danych",IF(COUNTIFS($A$10:$A$89,$C385,$F$10:$F$89,"&lt;&gt;")=0,"brak danych",VLOOKUP($C385,$A$10:$J$89,6,FALSE)*$F385)))))</x:f>
      </x:c>
      <x:c r="M385" s="25" t="str">
        <x:f>IF($A385="","",IF($F385="","",IF($F385=0,0,IF(COUNTIFS($A$10:$A$89,$C385)&lt;&gt;1,"brak danych",IF(COUNTIFS($A$10:$A$89,$C385,$G$10:$G$89,"&lt;&gt;")=0,"brak danych",VLOOKUP($C385,$A$10:$J$89,7,FALSE)*$F385)))))</x:f>
      </x:c>
      <x:c r="N385" s="25" t="str">
        <x:f>IF($A385="","",IF($F385="","",IF($F385=0,0,IF(COUNTIFS($A$10:$A$89,$C385)&lt;&gt;1,"brak danych",IF(COUNTIFS($A$10:$A$89,$C385,$H$10:$H$89,"&lt;&gt;")=0,"brak danych",VLOOKUP($C385,$A$10:$J$89,8,FALSE)*$F385)))))</x:f>
      </x:c>
      <x:c r="O385" s="25" t="str">
        <x:f>IF($A385="","",IF($F385="","",IF($F385=0,0,IF(COUNTIFS($A$10:$A$89,$C385)&lt;&gt;1,"brak danych",IF(COUNTIFS($A$10:$A$89,$C385,$I$10:$I$89,"&lt;&gt;")=0,"brak danych",VLOOKUP($C385,$A$10:$J$89,9,FALSE)*$F385)))))</x:f>
      </x:c>
      <x:c r="P385" s="25" t="str">
        <x:f>IF($A385="","",IF($F385="","",IF($F385=0,0,IF(COUNTIFS($A$10:$A$89,$C385)&lt;&gt;1,"brak danych",IF(COUNTIFS($A$10:$A$89,$C385,$J$10:$J$89,"&lt;&gt;")=0,"brak danych",VLOOKUP($C385,$A$10:$J$89,10,FALSE)*$F385)))))</x:f>
      </x:c>
      <x:c r="Q385" s="18"/>
    </x:row>
    <x:row r="386" ht="25" customHeight="1">
      <x:c r="A386" s="6"/>
      <x:c r="B386" s="30"/>
      <x:c r="C386" s="5"/>
      <x:c r="D386" s="5"/>
      <x:c r="E386" s="32"/>
      <x:c r="F386" s="32"/>
      <x:c r="G386" s="24" t="str">
        <x:f>IF($A386="","",IF(AND($C386="",$E386=""),"",IF($E386="","brak danych",IF($E386=0,0,IF(COUNTIFS($A$10:$A$89,$C386)&lt;&gt;1,"brak danych",IF(COUNTIFS($A$10:$A$89,$C386,$F$10:$F$89,"&lt;&gt;")=0,"brak danych",VLOOKUP($C386,$A$10:$J$89,6,FALSE)*$E386))))))</x:f>
      </x:c>
      <x:c r="H386" s="25" t="str">
        <x:f>IF($A386="","",IF(AND($C386="",$E386=""),"",IF($E386="","brak danych",IF($E386=0,0,IF(COUNTIFS($A$10:$A$89,$C386)&lt;&gt;1,"brak danych",IF(COUNTIFS($A$10:$A$89,$C386,$G$10:$G$89,"&lt;&gt;")=0,"brak danych",VLOOKUP($C386,$A$10:$J$89,7,FALSE)*$E386))))))</x:f>
      </x:c>
      <x:c r="I386" s="25" t="str">
        <x:f>IF($A386="","",IF(AND($C386="",$E386=""),"",IF($E386="","brak danych",IF($E386=0,0,IF(COUNTIFS($A$10:$A$89,$C386)&lt;&gt;1,"brak danych",IF(COUNTIFS($A$10:$A$89,$C386,$H$10:$H$89,"&lt;&gt;")=0,"brak danych",VLOOKUP($C386,$A$10:$J$89,8,FALSE)*$E386))))))</x:f>
      </x:c>
      <x:c r="J386" s="25" t="str">
        <x:f>IF($A386="","",IF(AND($C386="",$E386=""),"",IF($E386="","brak danych",IF($E386=0,0,IF(COUNTIFS($A$10:$A$89,$C386)&lt;&gt;1,"brak danych",IF(COUNTIFS($A$10:$A$89,$C386,$I$10:$I$89,"&lt;&gt;")=0,"brak danych",VLOOKUP($C386,$A$10:$J$89,9,FALSE)*$E386))))))</x:f>
      </x:c>
      <x:c r="K386" s="25" t="str">
        <x:f>IF($A386="","",IF(AND($C386="",$E386=""),"",IF($E386="","brak danych",IF($E386=0,0,IF(COUNTIFS($A$10:$A$89,$C386)&lt;&gt;1,"brak danych",IF(COUNTIFS($A$10:$A$89,$C386,$J$10:$J$89,"&lt;&gt;")=0,"brak danych",VLOOKUP($C386,$A$10:$J$89,10,FALSE)*$E386))))))</x:f>
      </x:c>
      <x:c r="L386" s="24" t="str">
        <x:f>IF($A386="","",IF($F386="","",IF($F386=0,0,IF(COUNTIFS($A$10:$A$89,$C386)&lt;&gt;1,"brak danych",IF(COUNTIFS($A$10:$A$89,$C386,$F$10:$F$89,"&lt;&gt;")=0,"brak danych",VLOOKUP($C386,$A$10:$J$89,6,FALSE)*$F386)))))</x:f>
      </x:c>
      <x:c r="M386" s="25" t="str">
        <x:f>IF($A386="","",IF($F386="","",IF($F386=0,0,IF(COUNTIFS($A$10:$A$89,$C386)&lt;&gt;1,"brak danych",IF(COUNTIFS($A$10:$A$89,$C386,$G$10:$G$89,"&lt;&gt;")=0,"brak danych",VLOOKUP($C386,$A$10:$J$89,7,FALSE)*$F386)))))</x:f>
      </x:c>
      <x:c r="N386" s="25" t="str">
        <x:f>IF($A386="","",IF($F386="","",IF($F386=0,0,IF(COUNTIFS($A$10:$A$89,$C386)&lt;&gt;1,"brak danych",IF(COUNTIFS($A$10:$A$89,$C386,$H$10:$H$89,"&lt;&gt;")=0,"brak danych",VLOOKUP($C386,$A$10:$J$89,8,FALSE)*$F386)))))</x:f>
      </x:c>
      <x:c r="O386" s="25" t="str">
        <x:f>IF($A386="","",IF($F386="","",IF($F386=0,0,IF(COUNTIFS($A$10:$A$89,$C386)&lt;&gt;1,"brak danych",IF(COUNTIFS($A$10:$A$89,$C386,$I$10:$I$89,"&lt;&gt;")=0,"brak danych",VLOOKUP($C386,$A$10:$J$89,9,FALSE)*$F386)))))</x:f>
      </x:c>
      <x:c r="P386" s="25" t="str">
        <x:f>IF($A386="","",IF($F386="","",IF($F386=0,0,IF(COUNTIFS($A$10:$A$89,$C386)&lt;&gt;1,"brak danych",IF(COUNTIFS($A$10:$A$89,$C386,$J$10:$J$89,"&lt;&gt;")=0,"brak danych",VLOOKUP($C386,$A$10:$J$89,10,FALSE)*$F386)))))</x:f>
      </x:c>
      <x:c r="Q386" s="18"/>
    </x:row>
    <x:row r="387" ht="25" customHeight="1">
      <x:c r="A387" s="6"/>
      <x:c r="B387" s="30"/>
      <x:c r="C387" s="5"/>
      <x:c r="D387" s="5"/>
      <x:c r="E387" s="32"/>
      <x:c r="F387" s="32"/>
      <x:c r="G387" s="24" t="str">
        <x:f>IF($A387="","",IF(AND($C387="",$E387=""),"",IF($E387="","brak danych",IF($E387=0,0,IF(COUNTIFS($A$10:$A$89,$C387)&lt;&gt;1,"brak danych",IF(COUNTIFS($A$10:$A$89,$C387,$F$10:$F$89,"&lt;&gt;")=0,"brak danych",VLOOKUP($C387,$A$10:$J$89,6,FALSE)*$E387))))))</x:f>
      </x:c>
      <x:c r="H387" s="25" t="str">
        <x:f>IF($A387="","",IF(AND($C387="",$E387=""),"",IF($E387="","brak danych",IF($E387=0,0,IF(COUNTIFS($A$10:$A$89,$C387)&lt;&gt;1,"brak danych",IF(COUNTIFS($A$10:$A$89,$C387,$G$10:$G$89,"&lt;&gt;")=0,"brak danych",VLOOKUP($C387,$A$10:$J$89,7,FALSE)*$E387))))))</x:f>
      </x:c>
      <x:c r="I387" s="25" t="str">
        <x:f>IF($A387="","",IF(AND($C387="",$E387=""),"",IF($E387="","brak danych",IF($E387=0,0,IF(COUNTIFS($A$10:$A$89,$C387)&lt;&gt;1,"brak danych",IF(COUNTIFS($A$10:$A$89,$C387,$H$10:$H$89,"&lt;&gt;")=0,"brak danych",VLOOKUP($C387,$A$10:$J$89,8,FALSE)*$E387))))))</x:f>
      </x:c>
      <x:c r="J387" s="25" t="str">
        <x:f>IF($A387="","",IF(AND($C387="",$E387=""),"",IF($E387="","brak danych",IF($E387=0,0,IF(COUNTIFS($A$10:$A$89,$C387)&lt;&gt;1,"brak danych",IF(COUNTIFS($A$10:$A$89,$C387,$I$10:$I$89,"&lt;&gt;")=0,"brak danych",VLOOKUP($C387,$A$10:$J$89,9,FALSE)*$E387))))))</x:f>
      </x:c>
      <x:c r="K387" s="25" t="str">
        <x:f>IF($A387="","",IF(AND($C387="",$E387=""),"",IF($E387="","brak danych",IF($E387=0,0,IF(COUNTIFS($A$10:$A$89,$C387)&lt;&gt;1,"brak danych",IF(COUNTIFS($A$10:$A$89,$C387,$J$10:$J$89,"&lt;&gt;")=0,"brak danych",VLOOKUP($C387,$A$10:$J$89,10,FALSE)*$E387))))))</x:f>
      </x:c>
      <x:c r="L387" s="24" t="str">
        <x:f>IF($A387="","",IF($F387="","",IF($F387=0,0,IF(COUNTIFS($A$10:$A$89,$C387)&lt;&gt;1,"brak danych",IF(COUNTIFS($A$10:$A$89,$C387,$F$10:$F$89,"&lt;&gt;")=0,"brak danych",VLOOKUP($C387,$A$10:$J$89,6,FALSE)*$F387)))))</x:f>
      </x:c>
      <x:c r="M387" s="25" t="str">
        <x:f>IF($A387="","",IF($F387="","",IF($F387=0,0,IF(COUNTIFS($A$10:$A$89,$C387)&lt;&gt;1,"brak danych",IF(COUNTIFS($A$10:$A$89,$C387,$G$10:$G$89,"&lt;&gt;")=0,"brak danych",VLOOKUP($C387,$A$10:$J$89,7,FALSE)*$F387)))))</x:f>
      </x:c>
      <x:c r="N387" s="25" t="str">
        <x:f>IF($A387="","",IF($F387="","",IF($F387=0,0,IF(COUNTIFS($A$10:$A$89,$C387)&lt;&gt;1,"brak danych",IF(COUNTIFS($A$10:$A$89,$C387,$H$10:$H$89,"&lt;&gt;")=0,"brak danych",VLOOKUP($C387,$A$10:$J$89,8,FALSE)*$F387)))))</x:f>
      </x:c>
      <x:c r="O387" s="25" t="str">
        <x:f>IF($A387="","",IF($F387="","",IF($F387=0,0,IF(COUNTIFS($A$10:$A$89,$C387)&lt;&gt;1,"brak danych",IF(COUNTIFS($A$10:$A$89,$C387,$I$10:$I$89,"&lt;&gt;")=0,"brak danych",VLOOKUP($C387,$A$10:$J$89,9,FALSE)*$F387)))))</x:f>
      </x:c>
      <x:c r="P387" s="25" t="str">
        <x:f>IF($A387="","",IF($F387="","",IF($F387=0,0,IF(COUNTIFS($A$10:$A$89,$C387)&lt;&gt;1,"brak danych",IF(COUNTIFS($A$10:$A$89,$C387,$J$10:$J$89,"&lt;&gt;")=0,"brak danych",VLOOKUP($C387,$A$10:$J$89,10,FALSE)*$F387)))))</x:f>
      </x:c>
      <x:c r="Q387" s="18"/>
    </x:row>
    <x:row r="388" ht="25" customHeight="1">
      <x:c r="A388" s="6"/>
      <x:c r="B388" s="30"/>
      <x:c r="C388" s="5"/>
      <x:c r="D388" s="5"/>
      <x:c r="E388" s="32"/>
      <x:c r="F388" s="32"/>
      <x:c r="G388" s="24" t="str">
        <x:f>IF($A388="","",IF(AND($C388="",$E388=""),"",IF($E388="","brak danych",IF($E388=0,0,IF(COUNTIFS($A$10:$A$89,$C388)&lt;&gt;1,"brak danych",IF(COUNTIFS($A$10:$A$89,$C388,$F$10:$F$89,"&lt;&gt;")=0,"brak danych",VLOOKUP($C388,$A$10:$J$89,6,FALSE)*$E388))))))</x:f>
      </x:c>
      <x:c r="H388" s="25" t="str">
        <x:f>IF($A388="","",IF(AND($C388="",$E388=""),"",IF($E388="","brak danych",IF($E388=0,0,IF(COUNTIFS($A$10:$A$89,$C388)&lt;&gt;1,"brak danych",IF(COUNTIFS($A$10:$A$89,$C388,$G$10:$G$89,"&lt;&gt;")=0,"brak danych",VLOOKUP($C388,$A$10:$J$89,7,FALSE)*$E388))))))</x:f>
      </x:c>
      <x:c r="I388" s="25" t="str">
        <x:f>IF($A388="","",IF(AND($C388="",$E388=""),"",IF($E388="","brak danych",IF($E388=0,0,IF(COUNTIFS($A$10:$A$89,$C388)&lt;&gt;1,"brak danych",IF(COUNTIFS($A$10:$A$89,$C388,$H$10:$H$89,"&lt;&gt;")=0,"brak danych",VLOOKUP($C388,$A$10:$J$89,8,FALSE)*$E388))))))</x:f>
      </x:c>
      <x:c r="J388" s="25" t="str">
        <x:f>IF($A388="","",IF(AND($C388="",$E388=""),"",IF($E388="","brak danych",IF($E388=0,0,IF(COUNTIFS($A$10:$A$89,$C388)&lt;&gt;1,"brak danych",IF(COUNTIFS($A$10:$A$89,$C388,$I$10:$I$89,"&lt;&gt;")=0,"brak danych",VLOOKUP($C388,$A$10:$J$89,9,FALSE)*$E388))))))</x:f>
      </x:c>
      <x:c r="K388" s="25" t="str">
        <x:f>IF($A388="","",IF(AND($C388="",$E388=""),"",IF($E388="","brak danych",IF($E388=0,0,IF(COUNTIFS($A$10:$A$89,$C388)&lt;&gt;1,"brak danych",IF(COUNTIFS($A$10:$A$89,$C388,$J$10:$J$89,"&lt;&gt;")=0,"brak danych",VLOOKUP($C388,$A$10:$J$89,10,FALSE)*$E388))))))</x:f>
      </x:c>
      <x:c r="L388" s="24" t="str">
        <x:f>IF($A388="","",IF($F388="","",IF($F388=0,0,IF(COUNTIFS($A$10:$A$89,$C388)&lt;&gt;1,"brak danych",IF(COUNTIFS($A$10:$A$89,$C388,$F$10:$F$89,"&lt;&gt;")=0,"brak danych",VLOOKUP($C388,$A$10:$J$89,6,FALSE)*$F388)))))</x:f>
      </x:c>
      <x:c r="M388" s="25" t="str">
        <x:f>IF($A388="","",IF($F388="","",IF($F388=0,0,IF(COUNTIFS($A$10:$A$89,$C388)&lt;&gt;1,"brak danych",IF(COUNTIFS($A$10:$A$89,$C388,$G$10:$G$89,"&lt;&gt;")=0,"brak danych",VLOOKUP($C388,$A$10:$J$89,7,FALSE)*$F388)))))</x:f>
      </x:c>
      <x:c r="N388" s="25" t="str">
        <x:f>IF($A388="","",IF($F388="","",IF($F388=0,0,IF(COUNTIFS($A$10:$A$89,$C388)&lt;&gt;1,"brak danych",IF(COUNTIFS($A$10:$A$89,$C388,$H$10:$H$89,"&lt;&gt;")=0,"brak danych",VLOOKUP($C388,$A$10:$J$89,8,FALSE)*$F388)))))</x:f>
      </x:c>
      <x:c r="O388" s="25" t="str">
        <x:f>IF($A388="","",IF($F388="","",IF($F388=0,0,IF(COUNTIFS($A$10:$A$89,$C388)&lt;&gt;1,"brak danych",IF(COUNTIFS($A$10:$A$89,$C388,$I$10:$I$89,"&lt;&gt;")=0,"brak danych",VLOOKUP($C388,$A$10:$J$89,9,FALSE)*$F388)))))</x:f>
      </x:c>
      <x:c r="P388" s="25" t="str">
        <x:f>IF($A388="","",IF($F388="","",IF($F388=0,0,IF(COUNTIFS($A$10:$A$89,$C388)&lt;&gt;1,"brak danych",IF(COUNTIFS($A$10:$A$89,$C388,$J$10:$J$89,"&lt;&gt;")=0,"brak danych",VLOOKUP($C388,$A$10:$J$89,10,FALSE)*$F388)))))</x:f>
      </x:c>
      <x:c r="Q388" s="18"/>
    </x:row>
    <x:row r="389" ht="25" customHeight="1">
      <x:c r="A389" s="6"/>
      <x:c r="B389" s="30"/>
      <x:c r="C389" s="5"/>
      <x:c r="D389" s="5"/>
      <x:c r="E389" s="32"/>
      <x:c r="F389" s="32"/>
      <x:c r="G389" s="24" t="str">
        <x:f>IF($A389="","",IF(AND($C389="",$E389=""),"",IF($E389="","brak danych",IF($E389=0,0,IF(COUNTIFS($A$10:$A$89,$C389)&lt;&gt;1,"brak danych",IF(COUNTIFS($A$10:$A$89,$C389,$F$10:$F$89,"&lt;&gt;")=0,"brak danych",VLOOKUP($C389,$A$10:$J$89,6,FALSE)*$E389))))))</x:f>
      </x:c>
      <x:c r="H389" s="25" t="str">
        <x:f>IF($A389="","",IF(AND($C389="",$E389=""),"",IF($E389="","brak danych",IF($E389=0,0,IF(COUNTIFS($A$10:$A$89,$C389)&lt;&gt;1,"brak danych",IF(COUNTIFS($A$10:$A$89,$C389,$G$10:$G$89,"&lt;&gt;")=0,"brak danych",VLOOKUP($C389,$A$10:$J$89,7,FALSE)*$E389))))))</x:f>
      </x:c>
      <x:c r="I389" s="25" t="str">
        <x:f>IF($A389="","",IF(AND($C389="",$E389=""),"",IF($E389="","brak danych",IF($E389=0,0,IF(COUNTIFS($A$10:$A$89,$C389)&lt;&gt;1,"brak danych",IF(COUNTIFS($A$10:$A$89,$C389,$H$10:$H$89,"&lt;&gt;")=0,"brak danych",VLOOKUP($C389,$A$10:$J$89,8,FALSE)*$E389))))))</x:f>
      </x:c>
      <x:c r="J389" s="25" t="str">
        <x:f>IF($A389="","",IF(AND($C389="",$E389=""),"",IF($E389="","brak danych",IF($E389=0,0,IF(COUNTIFS($A$10:$A$89,$C389)&lt;&gt;1,"brak danych",IF(COUNTIFS($A$10:$A$89,$C389,$I$10:$I$89,"&lt;&gt;")=0,"brak danych",VLOOKUP($C389,$A$10:$J$89,9,FALSE)*$E389))))))</x:f>
      </x:c>
      <x:c r="K389" s="25" t="str">
        <x:f>IF($A389="","",IF(AND($C389="",$E389=""),"",IF($E389="","brak danych",IF($E389=0,0,IF(COUNTIFS($A$10:$A$89,$C389)&lt;&gt;1,"brak danych",IF(COUNTIFS($A$10:$A$89,$C389,$J$10:$J$89,"&lt;&gt;")=0,"brak danych",VLOOKUP($C389,$A$10:$J$89,10,FALSE)*$E389))))))</x:f>
      </x:c>
      <x:c r="L389" s="24" t="str">
        <x:f>IF($A389="","",IF($F389="","",IF($F389=0,0,IF(COUNTIFS($A$10:$A$89,$C389)&lt;&gt;1,"brak danych",IF(COUNTIFS($A$10:$A$89,$C389,$F$10:$F$89,"&lt;&gt;")=0,"brak danych",VLOOKUP($C389,$A$10:$J$89,6,FALSE)*$F389)))))</x:f>
      </x:c>
      <x:c r="M389" s="25" t="str">
        <x:f>IF($A389="","",IF($F389="","",IF($F389=0,0,IF(COUNTIFS($A$10:$A$89,$C389)&lt;&gt;1,"brak danych",IF(COUNTIFS($A$10:$A$89,$C389,$G$10:$G$89,"&lt;&gt;")=0,"brak danych",VLOOKUP($C389,$A$10:$J$89,7,FALSE)*$F389)))))</x:f>
      </x:c>
      <x:c r="N389" s="25" t="str">
        <x:f>IF($A389="","",IF($F389="","",IF($F389=0,0,IF(COUNTIFS($A$10:$A$89,$C389)&lt;&gt;1,"brak danych",IF(COUNTIFS($A$10:$A$89,$C389,$H$10:$H$89,"&lt;&gt;")=0,"brak danych",VLOOKUP($C389,$A$10:$J$89,8,FALSE)*$F389)))))</x:f>
      </x:c>
      <x:c r="O389" s="25" t="str">
        <x:f>IF($A389="","",IF($F389="","",IF($F389=0,0,IF(COUNTIFS($A$10:$A$89,$C389)&lt;&gt;1,"brak danych",IF(COUNTIFS($A$10:$A$89,$C389,$I$10:$I$89,"&lt;&gt;")=0,"brak danych",VLOOKUP($C389,$A$10:$J$89,9,FALSE)*$F389)))))</x:f>
      </x:c>
      <x:c r="P389" s="25" t="str">
        <x:f>IF($A389="","",IF($F389="","",IF($F389=0,0,IF(COUNTIFS($A$10:$A$89,$C389)&lt;&gt;1,"brak danych",IF(COUNTIFS($A$10:$A$89,$C389,$J$10:$J$89,"&lt;&gt;")=0,"brak danych",VLOOKUP($C389,$A$10:$J$89,10,FALSE)*$F389)))))</x:f>
      </x:c>
      <x:c r="Q389" s="18"/>
    </x:row>
    <x:row r="390" ht="25" customHeight="1">
      <x:c r="A390" s="6"/>
      <x:c r="B390" s="30"/>
      <x:c r="C390" s="5"/>
      <x:c r="D390" s="5"/>
      <x:c r="E390" s="32"/>
      <x:c r="F390" s="32"/>
      <x:c r="G390" s="24" t="str">
        <x:f>IF($A390="","",IF(AND($C390="",$E390=""),"",IF($E390="","brak danych",IF($E390=0,0,IF(COUNTIFS($A$10:$A$89,$C390)&lt;&gt;1,"brak danych",IF(COUNTIFS($A$10:$A$89,$C390,$F$10:$F$89,"&lt;&gt;")=0,"brak danych",VLOOKUP($C390,$A$10:$J$89,6,FALSE)*$E390))))))</x:f>
      </x:c>
      <x:c r="H390" s="25" t="str">
        <x:f>IF($A390="","",IF(AND($C390="",$E390=""),"",IF($E390="","brak danych",IF($E390=0,0,IF(COUNTIFS($A$10:$A$89,$C390)&lt;&gt;1,"brak danych",IF(COUNTIFS($A$10:$A$89,$C390,$G$10:$G$89,"&lt;&gt;")=0,"brak danych",VLOOKUP($C390,$A$10:$J$89,7,FALSE)*$E390))))))</x:f>
      </x:c>
      <x:c r="I390" s="25" t="str">
        <x:f>IF($A390="","",IF(AND($C390="",$E390=""),"",IF($E390="","brak danych",IF($E390=0,0,IF(COUNTIFS($A$10:$A$89,$C390)&lt;&gt;1,"brak danych",IF(COUNTIFS($A$10:$A$89,$C390,$H$10:$H$89,"&lt;&gt;")=0,"brak danych",VLOOKUP($C390,$A$10:$J$89,8,FALSE)*$E390))))))</x:f>
      </x:c>
      <x:c r="J390" s="25" t="str">
        <x:f>IF($A390="","",IF(AND($C390="",$E390=""),"",IF($E390="","brak danych",IF($E390=0,0,IF(COUNTIFS($A$10:$A$89,$C390)&lt;&gt;1,"brak danych",IF(COUNTIFS($A$10:$A$89,$C390,$I$10:$I$89,"&lt;&gt;")=0,"brak danych",VLOOKUP($C390,$A$10:$J$89,9,FALSE)*$E390))))))</x:f>
      </x:c>
      <x:c r="K390" s="25" t="str">
        <x:f>IF($A390="","",IF(AND($C390="",$E390=""),"",IF($E390="","brak danych",IF($E390=0,0,IF(COUNTIFS($A$10:$A$89,$C390)&lt;&gt;1,"brak danych",IF(COUNTIFS($A$10:$A$89,$C390,$J$10:$J$89,"&lt;&gt;")=0,"brak danych",VLOOKUP($C390,$A$10:$J$89,10,FALSE)*$E390))))))</x:f>
      </x:c>
      <x:c r="L390" s="24" t="str">
        <x:f>IF($A390="","",IF($F390="","",IF($F390=0,0,IF(COUNTIFS($A$10:$A$89,$C390)&lt;&gt;1,"brak danych",IF(COUNTIFS($A$10:$A$89,$C390,$F$10:$F$89,"&lt;&gt;")=0,"brak danych",VLOOKUP($C390,$A$10:$J$89,6,FALSE)*$F390)))))</x:f>
      </x:c>
      <x:c r="M390" s="25" t="str">
        <x:f>IF($A390="","",IF($F390="","",IF($F390=0,0,IF(COUNTIFS($A$10:$A$89,$C390)&lt;&gt;1,"brak danych",IF(COUNTIFS($A$10:$A$89,$C390,$G$10:$G$89,"&lt;&gt;")=0,"brak danych",VLOOKUP($C390,$A$10:$J$89,7,FALSE)*$F390)))))</x:f>
      </x:c>
      <x:c r="N390" s="25" t="str">
        <x:f>IF($A390="","",IF($F390="","",IF($F390=0,0,IF(COUNTIFS($A$10:$A$89,$C390)&lt;&gt;1,"brak danych",IF(COUNTIFS($A$10:$A$89,$C390,$H$10:$H$89,"&lt;&gt;")=0,"brak danych",VLOOKUP($C390,$A$10:$J$89,8,FALSE)*$F390)))))</x:f>
      </x:c>
      <x:c r="O390" s="25" t="str">
        <x:f>IF($A390="","",IF($F390="","",IF($F390=0,0,IF(COUNTIFS($A$10:$A$89,$C390)&lt;&gt;1,"brak danych",IF(COUNTIFS($A$10:$A$89,$C390,$I$10:$I$89,"&lt;&gt;")=0,"brak danych",VLOOKUP($C390,$A$10:$J$89,9,FALSE)*$F390)))))</x:f>
      </x:c>
      <x:c r="P390" s="25" t="str">
        <x:f>IF($A390="","",IF($F390="","",IF($F390=0,0,IF(COUNTIFS($A$10:$A$89,$C390)&lt;&gt;1,"brak danych",IF(COUNTIFS($A$10:$A$89,$C390,$J$10:$J$89,"&lt;&gt;")=0,"brak danych",VLOOKUP($C390,$A$10:$J$89,10,FALSE)*$F390)))))</x:f>
      </x:c>
      <x:c r="Q390" s="18"/>
    </x:row>
    <x:row r="391" ht="25" customHeight="1">
      <x:c r="A391" s="6"/>
      <x:c r="B391" s="30"/>
      <x:c r="C391" s="5"/>
      <x:c r="D391" s="5"/>
      <x:c r="E391" s="32"/>
      <x:c r="F391" s="32"/>
      <x:c r="G391" s="24" t="str">
        <x:f>IF($A391="","",IF(AND($C391="",$E391=""),"",IF($E391="","brak danych",IF($E391=0,0,IF(COUNTIFS($A$10:$A$89,$C391)&lt;&gt;1,"brak danych",IF(COUNTIFS($A$10:$A$89,$C391,$F$10:$F$89,"&lt;&gt;")=0,"brak danych",VLOOKUP($C391,$A$10:$J$89,6,FALSE)*$E391))))))</x:f>
      </x:c>
      <x:c r="H391" s="25" t="str">
        <x:f>IF($A391="","",IF(AND($C391="",$E391=""),"",IF($E391="","brak danych",IF($E391=0,0,IF(COUNTIFS($A$10:$A$89,$C391)&lt;&gt;1,"brak danych",IF(COUNTIFS($A$10:$A$89,$C391,$G$10:$G$89,"&lt;&gt;")=0,"brak danych",VLOOKUP($C391,$A$10:$J$89,7,FALSE)*$E391))))))</x:f>
      </x:c>
      <x:c r="I391" s="25" t="str">
        <x:f>IF($A391="","",IF(AND($C391="",$E391=""),"",IF($E391="","brak danych",IF($E391=0,0,IF(COUNTIFS($A$10:$A$89,$C391)&lt;&gt;1,"brak danych",IF(COUNTIFS($A$10:$A$89,$C391,$H$10:$H$89,"&lt;&gt;")=0,"brak danych",VLOOKUP($C391,$A$10:$J$89,8,FALSE)*$E391))))))</x:f>
      </x:c>
      <x:c r="J391" s="25" t="str">
        <x:f>IF($A391="","",IF(AND($C391="",$E391=""),"",IF($E391="","brak danych",IF($E391=0,0,IF(COUNTIFS($A$10:$A$89,$C391)&lt;&gt;1,"brak danych",IF(COUNTIFS($A$10:$A$89,$C391,$I$10:$I$89,"&lt;&gt;")=0,"brak danych",VLOOKUP($C391,$A$10:$J$89,9,FALSE)*$E391))))))</x:f>
      </x:c>
      <x:c r="K391" s="25" t="str">
        <x:f>IF($A391="","",IF(AND($C391="",$E391=""),"",IF($E391="","brak danych",IF($E391=0,0,IF(COUNTIFS($A$10:$A$89,$C391)&lt;&gt;1,"brak danych",IF(COUNTIFS($A$10:$A$89,$C391,$J$10:$J$89,"&lt;&gt;")=0,"brak danych",VLOOKUP($C391,$A$10:$J$89,10,FALSE)*$E391))))))</x:f>
      </x:c>
      <x:c r="L391" s="24" t="str">
        <x:f>IF($A391="","",IF($F391="","",IF($F391=0,0,IF(COUNTIFS($A$10:$A$89,$C391)&lt;&gt;1,"brak danych",IF(COUNTIFS($A$10:$A$89,$C391,$F$10:$F$89,"&lt;&gt;")=0,"brak danych",VLOOKUP($C391,$A$10:$J$89,6,FALSE)*$F391)))))</x:f>
      </x:c>
      <x:c r="M391" s="25" t="str">
        <x:f>IF($A391="","",IF($F391="","",IF($F391=0,0,IF(COUNTIFS($A$10:$A$89,$C391)&lt;&gt;1,"brak danych",IF(COUNTIFS($A$10:$A$89,$C391,$G$10:$G$89,"&lt;&gt;")=0,"brak danych",VLOOKUP($C391,$A$10:$J$89,7,FALSE)*$F391)))))</x:f>
      </x:c>
      <x:c r="N391" s="25" t="str">
        <x:f>IF($A391="","",IF($F391="","",IF($F391=0,0,IF(COUNTIFS($A$10:$A$89,$C391)&lt;&gt;1,"brak danych",IF(COUNTIFS($A$10:$A$89,$C391,$H$10:$H$89,"&lt;&gt;")=0,"brak danych",VLOOKUP($C391,$A$10:$J$89,8,FALSE)*$F391)))))</x:f>
      </x:c>
      <x:c r="O391" s="25" t="str">
        <x:f>IF($A391="","",IF($F391="","",IF($F391=0,0,IF(COUNTIFS($A$10:$A$89,$C391)&lt;&gt;1,"brak danych",IF(COUNTIFS($A$10:$A$89,$C391,$I$10:$I$89,"&lt;&gt;")=0,"brak danych",VLOOKUP($C391,$A$10:$J$89,9,FALSE)*$F391)))))</x:f>
      </x:c>
      <x:c r="P391" s="25" t="str">
        <x:f>IF($A391="","",IF($F391="","",IF($F391=0,0,IF(COUNTIFS($A$10:$A$89,$C391)&lt;&gt;1,"brak danych",IF(COUNTIFS($A$10:$A$89,$C391,$J$10:$J$89,"&lt;&gt;")=0,"brak danych",VLOOKUP($C391,$A$10:$J$89,10,FALSE)*$F391)))))</x:f>
      </x:c>
      <x:c r="Q391" s="18"/>
    </x:row>
    <x:row r="392" ht="25" customHeight="1">
      <x:c r="A392" s="6"/>
      <x:c r="B392" s="30"/>
      <x:c r="C392" s="5"/>
      <x:c r="D392" s="5"/>
      <x:c r="E392" s="32"/>
      <x:c r="F392" s="32"/>
      <x:c r="G392" s="24" t="str">
        <x:f>IF($A392="","",IF(AND($C392="",$E392=""),"",IF($E392="","brak danych",IF($E392=0,0,IF(COUNTIFS($A$10:$A$89,$C392)&lt;&gt;1,"brak danych",IF(COUNTIFS($A$10:$A$89,$C392,$F$10:$F$89,"&lt;&gt;")=0,"brak danych",VLOOKUP($C392,$A$10:$J$89,6,FALSE)*$E392))))))</x:f>
      </x:c>
      <x:c r="H392" s="25" t="str">
        <x:f>IF($A392="","",IF(AND($C392="",$E392=""),"",IF($E392="","brak danych",IF($E392=0,0,IF(COUNTIFS($A$10:$A$89,$C392)&lt;&gt;1,"brak danych",IF(COUNTIFS($A$10:$A$89,$C392,$G$10:$G$89,"&lt;&gt;")=0,"brak danych",VLOOKUP($C392,$A$10:$J$89,7,FALSE)*$E392))))))</x:f>
      </x:c>
      <x:c r="I392" s="25" t="str">
        <x:f>IF($A392="","",IF(AND($C392="",$E392=""),"",IF($E392="","brak danych",IF($E392=0,0,IF(COUNTIFS($A$10:$A$89,$C392)&lt;&gt;1,"brak danych",IF(COUNTIFS($A$10:$A$89,$C392,$H$10:$H$89,"&lt;&gt;")=0,"brak danych",VLOOKUP($C392,$A$10:$J$89,8,FALSE)*$E392))))))</x:f>
      </x:c>
      <x:c r="J392" s="25" t="str">
        <x:f>IF($A392="","",IF(AND($C392="",$E392=""),"",IF($E392="","brak danych",IF($E392=0,0,IF(COUNTIFS($A$10:$A$89,$C392)&lt;&gt;1,"brak danych",IF(COUNTIFS($A$10:$A$89,$C392,$I$10:$I$89,"&lt;&gt;")=0,"brak danych",VLOOKUP($C392,$A$10:$J$89,9,FALSE)*$E392))))))</x:f>
      </x:c>
      <x:c r="K392" s="25" t="str">
        <x:f>IF($A392="","",IF(AND($C392="",$E392=""),"",IF($E392="","brak danych",IF($E392=0,0,IF(COUNTIFS($A$10:$A$89,$C392)&lt;&gt;1,"brak danych",IF(COUNTIFS($A$10:$A$89,$C392,$J$10:$J$89,"&lt;&gt;")=0,"brak danych",VLOOKUP($C392,$A$10:$J$89,10,FALSE)*$E392))))))</x:f>
      </x:c>
      <x:c r="L392" s="24" t="str">
        <x:f>IF($A392="","",IF($F392="","",IF($F392=0,0,IF(COUNTIFS($A$10:$A$89,$C392)&lt;&gt;1,"brak danych",IF(COUNTIFS($A$10:$A$89,$C392,$F$10:$F$89,"&lt;&gt;")=0,"brak danych",VLOOKUP($C392,$A$10:$J$89,6,FALSE)*$F392)))))</x:f>
      </x:c>
      <x:c r="M392" s="25" t="str">
        <x:f>IF($A392="","",IF($F392="","",IF($F392=0,0,IF(COUNTIFS($A$10:$A$89,$C392)&lt;&gt;1,"brak danych",IF(COUNTIFS($A$10:$A$89,$C392,$G$10:$G$89,"&lt;&gt;")=0,"brak danych",VLOOKUP($C392,$A$10:$J$89,7,FALSE)*$F392)))))</x:f>
      </x:c>
      <x:c r="N392" s="25" t="str">
        <x:f>IF($A392="","",IF($F392="","",IF($F392=0,0,IF(COUNTIFS($A$10:$A$89,$C392)&lt;&gt;1,"brak danych",IF(COUNTIFS($A$10:$A$89,$C392,$H$10:$H$89,"&lt;&gt;")=0,"brak danych",VLOOKUP($C392,$A$10:$J$89,8,FALSE)*$F392)))))</x:f>
      </x:c>
      <x:c r="O392" s="25" t="str">
        <x:f>IF($A392="","",IF($F392="","",IF($F392=0,0,IF(COUNTIFS($A$10:$A$89,$C392)&lt;&gt;1,"brak danych",IF(COUNTIFS($A$10:$A$89,$C392,$I$10:$I$89,"&lt;&gt;")=0,"brak danych",VLOOKUP($C392,$A$10:$J$89,9,FALSE)*$F392)))))</x:f>
      </x:c>
      <x:c r="P392" s="25" t="str">
        <x:f>IF($A392="","",IF($F392="","",IF($F392=0,0,IF(COUNTIFS($A$10:$A$89,$C392)&lt;&gt;1,"brak danych",IF(COUNTIFS($A$10:$A$89,$C392,$J$10:$J$89,"&lt;&gt;")=0,"brak danych",VLOOKUP($C392,$A$10:$J$89,10,FALSE)*$F392)))))</x:f>
      </x:c>
      <x:c r="Q392" s="18"/>
    </x:row>
    <x:row r="393" ht="25" customHeight="1">
      <x:c r="A393" s="6"/>
      <x:c r="B393" s="30"/>
      <x:c r="C393" s="5"/>
      <x:c r="D393" s="5"/>
      <x:c r="E393" s="32"/>
      <x:c r="F393" s="32"/>
      <x:c r="G393" s="24" t="str">
        <x:f>IF($A393="","",IF(AND($C393="",$E393=""),"",IF($E393="","brak danych",IF($E393=0,0,IF(COUNTIFS($A$10:$A$89,$C393)&lt;&gt;1,"brak danych",IF(COUNTIFS($A$10:$A$89,$C393,$F$10:$F$89,"&lt;&gt;")=0,"brak danych",VLOOKUP($C393,$A$10:$J$89,6,FALSE)*$E393))))))</x:f>
      </x:c>
      <x:c r="H393" s="25" t="str">
        <x:f>IF($A393="","",IF(AND($C393="",$E393=""),"",IF($E393="","brak danych",IF($E393=0,0,IF(COUNTIFS($A$10:$A$89,$C393)&lt;&gt;1,"brak danych",IF(COUNTIFS($A$10:$A$89,$C393,$G$10:$G$89,"&lt;&gt;")=0,"brak danych",VLOOKUP($C393,$A$10:$J$89,7,FALSE)*$E393))))))</x:f>
      </x:c>
      <x:c r="I393" s="25" t="str">
        <x:f>IF($A393="","",IF(AND($C393="",$E393=""),"",IF($E393="","brak danych",IF($E393=0,0,IF(COUNTIFS($A$10:$A$89,$C393)&lt;&gt;1,"brak danych",IF(COUNTIFS($A$10:$A$89,$C393,$H$10:$H$89,"&lt;&gt;")=0,"brak danych",VLOOKUP($C393,$A$10:$J$89,8,FALSE)*$E393))))))</x:f>
      </x:c>
      <x:c r="J393" s="25" t="str">
        <x:f>IF($A393="","",IF(AND($C393="",$E393=""),"",IF($E393="","brak danych",IF($E393=0,0,IF(COUNTIFS($A$10:$A$89,$C393)&lt;&gt;1,"brak danych",IF(COUNTIFS($A$10:$A$89,$C393,$I$10:$I$89,"&lt;&gt;")=0,"brak danych",VLOOKUP($C393,$A$10:$J$89,9,FALSE)*$E393))))))</x:f>
      </x:c>
      <x:c r="K393" s="25" t="str">
        <x:f>IF($A393="","",IF(AND($C393="",$E393=""),"",IF($E393="","brak danych",IF($E393=0,0,IF(COUNTIFS($A$10:$A$89,$C393)&lt;&gt;1,"brak danych",IF(COUNTIFS($A$10:$A$89,$C393,$J$10:$J$89,"&lt;&gt;")=0,"brak danych",VLOOKUP($C393,$A$10:$J$89,10,FALSE)*$E393))))))</x:f>
      </x:c>
      <x:c r="L393" s="24" t="str">
        <x:f>IF($A393="","",IF($F393="","",IF($F393=0,0,IF(COUNTIFS($A$10:$A$89,$C393)&lt;&gt;1,"brak danych",IF(COUNTIFS($A$10:$A$89,$C393,$F$10:$F$89,"&lt;&gt;")=0,"brak danych",VLOOKUP($C393,$A$10:$J$89,6,FALSE)*$F393)))))</x:f>
      </x:c>
      <x:c r="M393" s="25" t="str">
        <x:f>IF($A393="","",IF($F393="","",IF($F393=0,0,IF(COUNTIFS($A$10:$A$89,$C393)&lt;&gt;1,"brak danych",IF(COUNTIFS($A$10:$A$89,$C393,$G$10:$G$89,"&lt;&gt;")=0,"brak danych",VLOOKUP($C393,$A$10:$J$89,7,FALSE)*$F393)))))</x:f>
      </x:c>
      <x:c r="N393" s="25" t="str">
        <x:f>IF($A393="","",IF($F393="","",IF($F393=0,0,IF(COUNTIFS($A$10:$A$89,$C393)&lt;&gt;1,"brak danych",IF(COUNTIFS($A$10:$A$89,$C393,$H$10:$H$89,"&lt;&gt;")=0,"brak danych",VLOOKUP($C393,$A$10:$J$89,8,FALSE)*$F393)))))</x:f>
      </x:c>
      <x:c r="O393" s="25" t="str">
        <x:f>IF($A393="","",IF($F393="","",IF($F393=0,0,IF(COUNTIFS($A$10:$A$89,$C393)&lt;&gt;1,"brak danych",IF(COUNTIFS($A$10:$A$89,$C393,$I$10:$I$89,"&lt;&gt;")=0,"brak danych",VLOOKUP($C393,$A$10:$J$89,9,FALSE)*$F393)))))</x:f>
      </x:c>
      <x:c r="P393" s="25" t="str">
        <x:f>IF($A393="","",IF($F393="","",IF($F393=0,0,IF(COUNTIFS($A$10:$A$89,$C393)&lt;&gt;1,"brak danych",IF(COUNTIFS($A$10:$A$89,$C393,$J$10:$J$89,"&lt;&gt;")=0,"brak danych",VLOOKUP($C393,$A$10:$J$89,10,FALSE)*$F393)))))</x:f>
      </x:c>
      <x:c r="Q393" s="18"/>
    </x:row>
    <x:row r="394" ht="25" customHeight="1">
      <x:c r="A394" s="6"/>
      <x:c r="B394" s="30"/>
      <x:c r="C394" s="5"/>
      <x:c r="D394" s="5"/>
      <x:c r="E394" s="32"/>
      <x:c r="F394" s="32"/>
      <x:c r="G394" s="24" t="str">
        <x:f>IF($A394="","",IF(AND($C394="",$E394=""),"",IF($E394="","brak danych",IF($E394=0,0,IF(COUNTIFS($A$10:$A$89,$C394)&lt;&gt;1,"brak danych",IF(COUNTIFS($A$10:$A$89,$C394,$F$10:$F$89,"&lt;&gt;")=0,"brak danych",VLOOKUP($C394,$A$10:$J$89,6,FALSE)*$E394))))))</x:f>
      </x:c>
      <x:c r="H394" s="25" t="str">
        <x:f>IF($A394="","",IF(AND($C394="",$E394=""),"",IF($E394="","brak danych",IF($E394=0,0,IF(COUNTIFS($A$10:$A$89,$C394)&lt;&gt;1,"brak danych",IF(COUNTIFS($A$10:$A$89,$C394,$G$10:$G$89,"&lt;&gt;")=0,"brak danych",VLOOKUP($C394,$A$10:$J$89,7,FALSE)*$E394))))))</x:f>
      </x:c>
      <x:c r="I394" s="25" t="str">
        <x:f>IF($A394="","",IF(AND($C394="",$E394=""),"",IF($E394="","brak danych",IF($E394=0,0,IF(COUNTIFS($A$10:$A$89,$C394)&lt;&gt;1,"brak danych",IF(COUNTIFS($A$10:$A$89,$C394,$H$10:$H$89,"&lt;&gt;")=0,"brak danych",VLOOKUP($C394,$A$10:$J$89,8,FALSE)*$E394))))))</x:f>
      </x:c>
      <x:c r="J394" s="25" t="str">
        <x:f>IF($A394="","",IF(AND($C394="",$E394=""),"",IF($E394="","brak danych",IF($E394=0,0,IF(COUNTIFS($A$10:$A$89,$C394)&lt;&gt;1,"brak danych",IF(COUNTIFS($A$10:$A$89,$C394,$I$10:$I$89,"&lt;&gt;")=0,"brak danych",VLOOKUP($C394,$A$10:$J$89,9,FALSE)*$E394))))))</x:f>
      </x:c>
      <x:c r="K394" s="25" t="str">
        <x:f>IF($A394="","",IF(AND($C394="",$E394=""),"",IF($E394="","brak danych",IF($E394=0,0,IF(COUNTIFS($A$10:$A$89,$C394)&lt;&gt;1,"brak danych",IF(COUNTIFS($A$10:$A$89,$C394,$J$10:$J$89,"&lt;&gt;")=0,"brak danych",VLOOKUP($C394,$A$10:$J$89,10,FALSE)*$E394))))))</x:f>
      </x:c>
      <x:c r="L394" s="24" t="str">
        <x:f>IF($A394="","",IF($F394="","",IF($F394=0,0,IF(COUNTIFS($A$10:$A$89,$C394)&lt;&gt;1,"brak danych",IF(COUNTIFS($A$10:$A$89,$C394,$F$10:$F$89,"&lt;&gt;")=0,"brak danych",VLOOKUP($C394,$A$10:$J$89,6,FALSE)*$F394)))))</x:f>
      </x:c>
      <x:c r="M394" s="25" t="str">
        <x:f>IF($A394="","",IF($F394="","",IF($F394=0,0,IF(COUNTIFS($A$10:$A$89,$C394)&lt;&gt;1,"brak danych",IF(COUNTIFS($A$10:$A$89,$C394,$G$10:$G$89,"&lt;&gt;")=0,"brak danych",VLOOKUP($C394,$A$10:$J$89,7,FALSE)*$F394)))))</x:f>
      </x:c>
      <x:c r="N394" s="25" t="str">
        <x:f>IF($A394="","",IF($F394="","",IF($F394=0,0,IF(COUNTIFS($A$10:$A$89,$C394)&lt;&gt;1,"brak danych",IF(COUNTIFS($A$10:$A$89,$C394,$H$10:$H$89,"&lt;&gt;")=0,"brak danych",VLOOKUP($C394,$A$10:$J$89,8,FALSE)*$F394)))))</x:f>
      </x:c>
      <x:c r="O394" s="25" t="str">
        <x:f>IF($A394="","",IF($F394="","",IF($F394=0,0,IF(COUNTIFS($A$10:$A$89,$C394)&lt;&gt;1,"brak danych",IF(COUNTIFS($A$10:$A$89,$C394,$I$10:$I$89,"&lt;&gt;")=0,"brak danych",VLOOKUP($C394,$A$10:$J$89,9,FALSE)*$F394)))))</x:f>
      </x:c>
      <x:c r="P394" s="25" t="str">
        <x:f>IF($A394="","",IF($F394="","",IF($F394=0,0,IF(COUNTIFS($A$10:$A$89,$C394)&lt;&gt;1,"brak danych",IF(COUNTIFS($A$10:$A$89,$C394,$J$10:$J$89,"&lt;&gt;")=0,"brak danych",VLOOKUP($C394,$A$10:$J$89,10,FALSE)*$F394)))))</x:f>
      </x:c>
      <x:c r="Q394" s="18"/>
    </x:row>
    <x:row r="395" ht="25" customHeight="1">
      <x:c r="A395" s="6"/>
      <x:c r="B395" s="30"/>
      <x:c r="C395" s="5"/>
      <x:c r="D395" s="5"/>
      <x:c r="E395" s="32"/>
      <x:c r="F395" s="32"/>
      <x:c r="G395" s="24" t="str">
        <x:f>IF($A395="","",IF(AND($C395="",$E395=""),"",IF($E395="","brak danych",IF($E395=0,0,IF(COUNTIFS($A$10:$A$89,$C395)&lt;&gt;1,"brak danych",IF(COUNTIFS($A$10:$A$89,$C395,$F$10:$F$89,"&lt;&gt;")=0,"brak danych",VLOOKUP($C395,$A$10:$J$89,6,FALSE)*$E395))))))</x:f>
      </x:c>
      <x:c r="H395" s="25" t="str">
        <x:f>IF($A395="","",IF(AND($C395="",$E395=""),"",IF($E395="","brak danych",IF($E395=0,0,IF(COUNTIFS($A$10:$A$89,$C395)&lt;&gt;1,"brak danych",IF(COUNTIFS($A$10:$A$89,$C395,$G$10:$G$89,"&lt;&gt;")=0,"brak danych",VLOOKUP($C395,$A$10:$J$89,7,FALSE)*$E395))))))</x:f>
      </x:c>
      <x:c r="I395" s="25" t="str">
        <x:f>IF($A395="","",IF(AND($C395="",$E395=""),"",IF($E395="","brak danych",IF($E395=0,0,IF(COUNTIFS($A$10:$A$89,$C395)&lt;&gt;1,"brak danych",IF(COUNTIFS($A$10:$A$89,$C395,$H$10:$H$89,"&lt;&gt;")=0,"brak danych",VLOOKUP($C395,$A$10:$J$89,8,FALSE)*$E395))))))</x:f>
      </x:c>
      <x:c r="J395" s="25" t="str">
        <x:f>IF($A395="","",IF(AND($C395="",$E395=""),"",IF($E395="","brak danych",IF($E395=0,0,IF(COUNTIFS($A$10:$A$89,$C395)&lt;&gt;1,"brak danych",IF(COUNTIFS($A$10:$A$89,$C395,$I$10:$I$89,"&lt;&gt;")=0,"brak danych",VLOOKUP($C395,$A$10:$J$89,9,FALSE)*$E395))))))</x:f>
      </x:c>
      <x:c r="K395" s="25" t="str">
        <x:f>IF($A395="","",IF(AND($C395="",$E395=""),"",IF($E395="","brak danych",IF($E395=0,0,IF(COUNTIFS($A$10:$A$89,$C395)&lt;&gt;1,"brak danych",IF(COUNTIFS($A$10:$A$89,$C395,$J$10:$J$89,"&lt;&gt;")=0,"brak danych",VLOOKUP($C395,$A$10:$J$89,10,FALSE)*$E395))))))</x:f>
      </x:c>
      <x:c r="L395" s="24" t="str">
        <x:f>IF($A395="","",IF($F395="","",IF($F395=0,0,IF(COUNTIFS($A$10:$A$89,$C395)&lt;&gt;1,"brak danych",IF(COUNTIFS($A$10:$A$89,$C395,$F$10:$F$89,"&lt;&gt;")=0,"brak danych",VLOOKUP($C395,$A$10:$J$89,6,FALSE)*$F395)))))</x:f>
      </x:c>
      <x:c r="M395" s="25" t="str">
        <x:f>IF($A395="","",IF($F395="","",IF($F395=0,0,IF(COUNTIFS($A$10:$A$89,$C395)&lt;&gt;1,"brak danych",IF(COUNTIFS($A$10:$A$89,$C395,$G$10:$G$89,"&lt;&gt;")=0,"brak danych",VLOOKUP($C395,$A$10:$J$89,7,FALSE)*$F395)))))</x:f>
      </x:c>
      <x:c r="N395" s="25" t="str">
        <x:f>IF($A395="","",IF($F395="","",IF($F395=0,0,IF(COUNTIFS($A$10:$A$89,$C395)&lt;&gt;1,"brak danych",IF(COUNTIFS($A$10:$A$89,$C395,$H$10:$H$89,"&lt;&gt;")=0,"brak danych",VLOOKUP($C395,$A$10:$J$89,8,FALSE)*$F395)))))</x:f>
      </x:c>
      <x:c r="O395" s="25" t="str">
        <x:f>IF($A395="","",IF($F395="","",IF($F395=0,0,IF(COUNTIFS($A$10:$A$89,$C395)&lt;&gt;1,"brak danych",IF(COUNTIFS($A$10:$A$89,$C395,$I$10:$I$89,"&lt;&gt;")=0,"brak danych",VLOOKUP($C395,$A$10:$J$89,9,FALSE)*$F395)))))</x:f>
      </x:c>
      <x:c r="P395" s="25" t="str">
        <x:f>IF($A395="","",IF($F395="","",IF($F395=0,0,IF(COUNTIFS($A$10:$A$89,$C395)&lt;&gt;1,"brak danych",IF(COUNTIFS($A$10:$A$89,$C395,$J$10:$J$89,"&lt;&gt;")=0,"brak danych",VLOOKUP($C395,$A$10:$J$89,10,FALSE)*$F395)))))</x:f>
      </x:c>
      <x:c r="Q395" s="18"/>
    </x:row>
    <x:row r="396" ht="25" customHeight="1">
      <x:c r="A396" s="6"/>
      <x:c r="B396" s="30"/>
      <x:c r="C396" s="5"/>
      <x:c r="D396" s="5"/>
      <x:c r="E396" s="32"/>
      <x:c r="F396" s="32"/>
      <x:c r="G396" s="24" t="str">
        <x:f>IF($A396="","",IF(AND($C396="",$E396=""),"",IF($E396="","brak danych",IF($E396=0,0,IF(COUNTIFS($A$10:$A$89,$C396)&lt;&gt;1,"brak danych",IF(COUNTIFS($A$10:$A$89,$C396,$F$10:$F$89,"&lt;&gt;")=0,"brak danych",VLOOKUP($C396,$A$10:$J$89,6,FALSE)*$E396))))))</x:f>
      </x:c>
      <x:c r="H396" s="25" t="str">
        <x:f>IF($A396="","",IF(AND($C396="",$E396=""),"",IF($E396="","brak danych",IF($E396=0,0,IF(COUNTIFS($A$10:$A$89,$C396)&lt;&gt;1,"brak danych",IF(COUNTIFS($A$10:$A$89,$C396,$G$10:$G$89,"&lt;&gt;")=0,"brak danych",VLOOKUP($C396,$A$10:$J$89,7,FALSE)*$E396))))))</x:f>
      </x:c>
      <x:c r="I396" s="25" t="str">
        <x:f>IF($A396="","",IF(AND($C396="",$E396=""),"",IF($E396="","brak danych",IF($E396=0,0,IF(COUNTIFS($A$10:$A$89,$C396)&lt;&gt;1,"brak danych",IF(COUNTIFS($A$10:$A$89,$C396,$H$10:$H$89,"&lt;&gt;")=0,"brak danych",VLOOKUP($C396,$A$10:$J$89,8,FALSE)*$E396))))))</x:f>
      </x:c>
      <x:c r="J396" s="25" t="str">
        <x:f>IF($A396="","",IF(AND($C396="",$E396=""),"",IF($E396="","brak danych",IF($E396=0,0,IF(COUNTIFS($A$10:$A$89,$C396)&lt;&gt;1,"brak danych",IF(COUNTIFS($A$10:$A$89,$C396,$I$10:$I$89,"&lt;&gt;")=0,"brak danych",VLOOKUP($C396,$A$10:$J$89,9,FALSE)*$E396))))))</x:f>
      </x:c>
      <x:c r="K396" s="25" t="str">
        <x:f>IF($A396="","",IF(AND($C396="",$E396=""),"",IF($E396="","brak danych",IF($E396=0,0,IF(COUNTIFS($A$10:$A$89,$C396)&lt;&gt;1,"brak danych",IF(COUNTIFS($A$10:$A$89,$C396,$J$10:$J$89,"&lt;&gt;")=0,"brak danych",VLOOKUP($C396,$A$10:$J$89,10,FALSE)*$E396))))))</x:f>
      </x:c>
      <x:c r="L396" s="24" t="str">
        <x:f>IF($A396="","",IF($F396="","",IF($F396=0,0,IF(COUNTIFS($A$10:$A$89,$C396)&lt;&gt;1,"brak danych",IF(COUNTIFS($A$10:$A$89,$C396,$F$10:$F$89,"&lt;&gt;")=0,"brak danych",VLOOKUP($C396,$A$10:$J$89,6,FALSE)*$F396)))))</x:f>
      </x:c>
      <x:c r="M396" s="25" t="str">
        <x:f>IF($A396="","",IF($F396="","",IF($F396=0,0,IF(COUNTIFS($A$10:$A$89,$C396)&lt;&gt;1,"brak danych",IF(COUNTIFS($A$10:$A$89,$C396,$G$10:$G$89,"&lt;&gt;")=0,"brak danych",VLOOKUP($C396,$A$10:$J$89,7,FALSE)*$F396)))))</x:f>
      </x:c>
      <x:c r="N396" s="25" t="str">
        <x:f>IF($A396="","",IF($F396="","",IF($F396=0,0,IF(COUNTIFS($A$10:$A$89,$C396)&lt;&gt;1,"brak danych",IF(COUNTIFS($A$10:$A$89,$C396,$H$10:$H$89,"&lt;&gt;")=0,"brak danych",VLOOKUP($C396,$A$10:$J$89,8,FALSE)*$F396)))))</x:f>
      </x:c>
      <x:c r="O396" s="25" t="str">
        <x:f>IF($A396="","",IF($F396="","",IF($F396=0,0,IF(COUNTIFS($A$10:$A$89,$C396)&lt;&gt;1,"brak danych",IF(COUNTIFS($A$10:$A$89,$C396,$I$10:$I$89,"&lt;&gt;")=0,"brak danych",VLOOKUP($C396,$A$10:$J$89,9,FALSE)*$F396)))))</x:f>
      </x:c>
      <x:c r="P396" s="25" t="str">
        <x:f>IF($A396="","",IF($F396="","",IF($F396=0,0,IF(COUNTIFS($A$10:$A$89,$C396)&lt;&gt;1,"brak danych",IF(COUNTIFS($A$10:$A$89,$C396,$J$10:$J$89,"&lt;&gt;")=0,"brak danych",VLOOKUP($C396,$A$10:$J$89,10,FALSE)*$F396)))))</x:f>
      </x:c>
      <x:c r="Q396" s="18"/>
    </x:row>
    <x:row r="397" ht="25" customHeight="1">
      <x:c r="A397" s="6"/>
      <x:c r="B397" s="30"/>
      <x:c r="C397" s="5"/>
      <x:c r="D397" s="5"/>
      <x:c r="E397" s="32"/>
      <x:c r="F397" s="32"/>
      <x:c r="G397" s="24" t="str">
        <x:f>IF($A397="","",IF(AND($C397="",$E397=""),"",IF($E397="","brak danych",IF($E397=0,0,IF(COUNTIFS($A$10:$A$89,$C397)&lt;&gt;1,"brak danych",IF(COUNTIFS($A$10:$A$89,$C397,$F$10:$F$89,"&lt;&gt;")=0,"brak danych",VLOOKUP($C397,$A$10:$J$89,6,FALSE)*$E397))))))</x:f>
      </x:c>
      <x:c r="H397" s="25" t="str">
        <x:f>IF($A397="","",IF(AND($C397="",$E397=""),"",IF($E397="","brak danych",IF($E397=0,0,IF(COUNTIFS($A$10:$A$89,$C397)&lt;&gt;1,"brak danych",IF(COUNTIFS($A$10:$A$89,$C397,$G$10:$G$89,"&lt;&gt;")=0,"brak danych",VLOOKUP($C397,$A$10:$J$89,7,FALSE)*$E397))))))</x:f>
      </x:c>
      <x:c r="I397" s="25" t="str">
        <x:f>IF($A397="","",IF(AND($C397="",$E397=""),"",IF($E397="","brak danych",IF($E397=0,0,IF(COUNTIFS($A$10:$A$89,$C397)&lt;&gt;1,"brak danych",IF(COUNTIFS($A$10:$A$89,$C397,$H$10:$H$89,"&lt;&gt;")=0,"brak danych",VLOOKUP($C397,$A$10:$J$89,8,FALSE)*$E397))))))</x:f>
      </x:c>
      <x:c r="J397" s="25" t="str">
        <x:f>IF($A397="","",IF(AND($C397="",$E397=""),"",IF($E397="","brak danych",IF($E397=0,0,IF(COUNTIFS($A$10:$A$89,$C397)&lt;&gt;1,"brak danych",IF(COUNTIFS($A$10:$A$89,$C397,$I$10:$I$89,"&lt;&gt;")=0,"brak danych",VLOOKUP($C397,$A$10:$J$89,9,FALSE)*$E397))))))</x:f>
      </x:c>
      <x:c r="K397" s="25" t="str">
        <x:f>IF($A397="","",IF(AND($C397="",$E397=""),"",IF($E397="","brak danych",IF($E397=0,0,IF(COUNTIFS($A$10:$A$89,$C397)&lt;&gt;1,"brak danych",IF(COUNTIFS($A$10:$A$89,$C397,$J$10:$J$89,"&lt;&gt;")=0,"brak danych",VLOOKUP($C397,$A$10:$J$89,10,FALSE)*$E397))))))</x:f>
      </x:c>
      <x:c r="L397" s="24" t="str">
        <x:f>IF($A397="","",IF($F397="","",IF($F397=0,0,IF(COUNTIFS($A$10:$A$89,$C397)&lt;&gt;1,"brak danych",IF(COUNTIFS($A$10:$A$89,$C397,$F$10:$F$89,"&lt;&gt;")=0,"brak danych",VLOOKUP($C397,$A$10:$J$89,6,FALSE)*$F397)))))</x:f>
      </x:c>
      <x:c r="M397" s="25" t="str">
        <x:f>IF($A397="","",IF($F397="","",IF($F397=0,0,IF(COUNTIFS($A$10:$A$89,$C397)&lt;&gt;1,"brak danych",IF(COUNTIFS($A$10:$A$89,$C397,$G$10:$G$89,"&lt;&gt;")=0,"brak danych",VLOOKUP($C397,$A$10:$J$89,7,FALSE)*$F397)))))</x:f>
      </x:c>
      <x:c r="N397" s="25" t="str">
        <x:f>IF($A397="","",IF($F397="","",IF($F397=0,0,IF(COUNTIFS($A$10:$A$89,$C397)&lt;&gt;1,"brak danych",IF(COUNTIFS($A$10:$A$89,$C397,$H$10:$H$89,"&lt;&gt;")=0,"brak danych",VLOOKUP($C397,$A$10:$J$89,8,FALSE)*$F397)))))</x:f>
      </x:c>
      <x:c r="O397" s="25" t="str">
        <x:f>IF($A397="","",IF($F397="","",IF($F397=0,0,IF(COUNTIFS($A$10:$A$89,$C397)&lt;&gt;1,"brak danych",IF(COUNTIFS($A$10:$A$89,$C397,$I$10:$I$89,"&lt;&gt;")=0,"brak danych",VLOOKUP($C397,$A$10:$J$89,9,FALSE)*$F397)))))</x:f>
      </x:c>
      <x:c r="P397" s="25" t="str">
        <x:f>IF($A397="","",IF($F397="","",IF($F397=0,0,IF(COUNTIFS($A$10:$A$89,$C397)&lt;&gt;1,"brak danych",IF(COUNTIFS($A$10:$A$89,$C397,$J$10:$J$89,"&lt;&gt;")=0,"brak danych",VLOOKUP($C397,$A$10:$J$89,10,FALSE)*$F397)))))</x:f>
      </x:c>
      <x:c r="Q397" s="18"/>
    </x:row>
    <x:row r="398" ht="25" customHeight="1">
      <x:c r="A398" s="6"/>
      <x:c r="B398" s="30"/>
      <x:c r="C398" s="5"/>
      <x:c r="D398" s="5"/>
      <x:c r="E398" s="32"/>
      <x:c r="F398" s="32"/>
      <x:c r="G398" s="24" t="str">
        <x:f>IF($A398="","",IF(AND($C398="",$E398=""),"",IF($E398="","brak danych",IF($E398=0,0,IF(COUNTIFS($A$10:$A$89,$C398)&lt;&gt;1,"brak danych",IF(COUNTIFS($A$10:$A$89,$C398,$F$10:$F$89,"&lt;&gt;")=0,"brak danych",VLOOKUP($C398,$A$10:$J$89,6,FALSE)*$E398))))))</x:f>
      </x:c>
      <x:c r="H398" s="25" t="str">
        <x:f>IF($A398="","",IF(AND($C398="",$E398=""),"",IF($E398="","brak danych",IF($E398=0,0,IF(COUNTIFS($A$10:$A$89,$C398)&lt;&gt;1,"brak danych",IF(COUNTIFS($A$10:$A$89,$C398,$G$10:$G$89,"&lt;&gt;")=0,"brak danych",VLOOKUP($C398,$A$10:$J$89,7,FALSE)*$E398))))))</x:f>
      </x:c>
      <x:c r="I398" s="25" t="str">
        <x:f>IF($A398="","",IF(AND($C398="",$E398=""),"",IF($E398="","brak danych",IF($E398=0,0,IF(COUNTIFS($A$10:$A$89,$C398)&lt;&gt;1,"brak danych",IF(COUNTIFS($A$10:$A$89,$C398,$H$10:$H$89,"&lt;&gt;")=0,"brak danych",VLOOKUP($C398,$A$10:$J$89,8,FALSE)*$E398))))))</x:f>
      </x:c>
      <x:c r="J398" s="25" t="str">
        <x:f>IF($A398="","",IF(AND($C398="",$E398=""),"",IF($E398="","brak danych",IF($E398=0,0,IF(COUNTIFS($A$10:$A$89,$C398)&lt;&gt;1,"brak danych",IF(COUNTIFS($A$10:$A$89,$C398,$I$10:$I$89,"&lt;&gt;")=0,"brak danych",VLOOKUP($C398,$A$10:$J$89,9,FALSE)*$E398))))))</x:f>
      </x:c>
      <x:c r="K398" s="25" t="str">
        <x:f>IF($A398="","",IF(AND($C398="",$E398=""),"",IF($E398="","brak danych",IF($E398=0,0,IF(COUNTIFS($A$10:$A$89,$C398)&lt;&gt;1,"brak danych",IF(COUNTIFS($A$10:$A$89,$C398,$J$10:$J$89,"&lt;&gt;")=0,"brak danych",VLOOKUP($C398,$A$10:$J$89,10,FALSE)*$E398))))))</x:f>
      </x:c>
      <x:c r="L398" s="24" t="str">
        <x:f>IF($A398="","",IF($F398="","",IF($F398=0,0,IF(COUNTIFS($A$10:$A$89,$C398)&lt;&gt;1,"brak danych",IF(COUNTIFS($A$10:$A$89,$C398,$F$10:$F$89,"&lt;&gt;")=0,"brak danych",VLOOKUP($C398,$A$10:$J$89,6,FALSE)*$F398)))))</x:f>
      </x:c>
      <x:c r="M398" s="25" t="str">
        <x:f>IF($A398="","",IF($F398="","",IF($F398=0,0,IF(COUNTIFS($A$10:$A$89,$C398)&lt;&gt;1,"brak danych",IF(COUNTIFS($A$10:$A$89,$C398,$G$10:$G$89,"&lt;&gt;")=0,"brak danych",VLOOKUP($C398,$A$10:$J$89,7,FALSE)*$F398)))))</x:f>
      </x:c>
      <x:c r="N398" s="25" t="str">
        <x:f>IF($A398="","",IF($F398="","",IF($F398=0,0,IF(COUNTIFS($A$10:$A$89,$C398)&lt;&gt;1,"brak danych",IF(COUNTIFS($A$10:$A$89,$C398,$H$10:$H$89,"&lt;&gt;")=0,"brak danych",VLOOKUP($C398,$A$10:$J$89,8,FALSE)*$F398)))))</x:f>
      </x:c>
      <x:c r="O398" s="25" t="str">
        <x:f>IF($A398="","",IF($F398="","",IF($F398=0,0,IF(COUNTIFS($A$10:$A$89,$C398)&lt;&gt;1,"brak danych",IF(COUNTIFS($A$10:$A$89,$C398,$I$10:$I$89,"&lt;&gt;")=0,"brak danych",VLOOKUP($C398,$A$10:$J$89,9,FALSE)*$F398)))))</x:f>
      </x:c>
      <x:c r="P398" s="25" t="str">
        <x:f>IF($A398="","",IF($F398="","",IF($F398=0,0,IF(COUNTIFS($A$10:$A$89,$C398)&lt;&gt;1,"brak danych",IF(COUNTIFS($A$10:$A$89,$C398,$J$10:$J$89,"&lt;&gt;")=0,"brak danych",VLOOKUP($C398,$A$10:$J$89,10,FALSE)*$F398)))))</x:f>
      </x:c>
      <x:c r="Q398" s="18"/>
    </x:row>
    <x:row r="399" ht="25" customHeight="1">
      <x:c r="A399" s="6"/>
      <x:c r="B399" s="30"/>
      <x:c r="C399" s="5"/>
      <x:c r="D399" s="5"/>
      <x:c r="E399" s="32"/>
      <x:c r="F399" s="32"/>
      <x:c r="G399" s="24" t="str">
        <x:f>IF($A399="","",IF(AND($C399="",$E399=""),"",IF($E399="","brak danych",IF($E399=0,0,IF(COUNTIFS($A$10:$A$89,$C399)&lt;&gt;1,"brak danych",IF(COUNTIFS($A$10:$A$89,$C399,$F$10:$F$89,"&lt;&gt;")=0,"brak danych",VLOOKUP($C399,$A$10:$J$89,6,FALSE)*$E399))))))</x:f>
      </x:c>
      <x:c r="H399" s="25" t="str">
        <x:f>IF($A399="","",IF(AND($C399="",$E399=""),"",IF($E399="","brak danych",IF($E399=0,0,IF(COUNTIFS($A$10:$A$89,$C399)&lt;&gt;1,"brak danych",IF(COUNTIFS($A$10:$A$89,$C399,$G$10:$G$89,"&lt;&gt;")=0,"brak danych",VLOOKUP($C399,$A$10:$J$89,7,FALSE)*$E399))))))</x:f>
      </x:c>
      <x:c r="I399" s="25" t="str">
        <x:f>IF($A399="","",IF(AND($C399="",$E399=""),"",IF($E399="","brak danych",IF($E399=0,0,IF(COUNTIFS($A$10:$A$89,$C399)&lt;&gt;1,"brak danych",IF(COUNTIFS($A$10:$A$89,$C399,$H$10:$H$89,"&lt;&gt;")=0,"brak danych",VLOOKUP($C399,$A$10:$J$89,8,FALSE)*$E399))))))</x:f>
      </x:c>
      <x:c r="J399" s="25" t="str">
        <x:f>IF($A399="","",IF(AND($C399="",$E399=""),"",IF($E399="","brak danych",IF($E399=0,0,IF(COUNTIFS($A$10:$A$89,$C399)&lt;&gt;1,"brak danych",IF(COUNTIFS($A$10:$A$89,$C399,$I$10:$I$89,"&lt;&gt;")=0,"brak danych",VLOOKUP($C399,$A$10:$J$89,9,FALSE)*$E399))))))</x:f>
      </x:c>
      <x:c r="K399" s="25" t="str">
        <x:f>IF($A399="","",IF(AND($C399="",$E399=""),"",IF($E399="","brak danych",IF($E399=0,0,IF(COUNTIFS($A$10:$A$89,$C399)&lt;&gt;1,"brak danych",IF(COUNTIFS($A$10:$A$89,$C399,$J$10:$J$89,"&lt;&gt;")=0,"brak danych",VLOOKUP($C399,$A$10:$J$89,10,FALSE)*$E399))))))</x:f>
      </x:c>
      <x:c r="L399" s="24" t="str">
        <x:f>IF($A399="","",IF($F399="","",IF($F399=0,0,IF(COUNTIFS($A$10:$A$89,$C399)&lt;&gt;1,"brak danych",IF(COUNTIFS($A$10:$A$89,$C399,$F$10:$F$89,"&lt;&gt;")=0,"brak danych",VLOOKUP($C399,$A$10:$J$89,6,FALSE)*$F399)))))</x:f>
      </x:c>
      <x:c r="M399" s="25" t="str">
        <x:f>IF($A399="","",IF($F399="","",IF($F399=0,0,IF(COUNTIFS($A$10:$A$89,$C399)&lt;&gt;1,"brak danych",IF(COUNTIFS($A$10:$A$89,$C399,$G$10:$G$89,"&lt;&gt;")=0,"brak danych",VLOOKUP($C399,$A$10:$J$89,7,FALSE)*$F399)))))</x:f>
      </x:c>
      <x:c r="N399" s="25" t="str">
        <x:f>IF($A399="","",IF($F399="","",IF($F399=0,0,IF(COUNTIFS($A$10:$A$89,$C399)&lt;&gt;1,"brak danych",IF(COUNTIFS($A$10:$A$89,$C399,$H$10:$H$89,"&lt;&gt;")=0,"brak danych",VLOOKUP($C399,$A$10:$J$89,8,FALSE)*$F399)))))</x:f>
      </x:c>
      <x:c r="O399" s="25" t="str">
        <x:f>IF($A399="","",IF($F399="","",IF($F399=0,0,IF(COUNTIFS($A$10:$A$89,$C399)&lt;&gt;1,"brak danych",IF(COUNTIFS($A$10:$A$89,$C399,$I$10:$I$89,"&lt;&gt;")=0,"brak danych",VLOOKUP($C399,$A$10:$J$89,9,FALSE)*$F399)))))</x:f>
      </x:c>
      <x:c r="P399" s="25" t="str">
        <x:f>IF($A399="","",IF($F399="","",IF($F399=0,0,IF(COUNTIFS($A$10:$A$89,$C399)&lt;&gt;1,"brak danych",IF(COUNTIFS($A$10:$A$89,$C399,$J$10:$J$89,"&lt;&gt;")=0,"brak danych",VLOOKUP($C399,$A$10:$J$89,10,FALSE)*$F399)))))</x:f>
      </x:c>
      <x:c r="Q399" s="18"/>
    </x:row>
    <x:row r="400" ht="25" customHeight="1">
      <x:c r="A400" s="6"/>
      <x:c r="B400" s="30"/>
      <x:c r="C400" s="5"/>
      <x:c r="D400" s="5"/>
      <x:c r="E400" s="32"/>
      <x:c r="F400" s="32"/>
      <x:c r="G400" s="24" t="str">
        <x:f>IF($A400="","",IF(AND($C400="",$E400=""),"",IF($E400="","brak danych",IF($E400=0,0,IF(COUNTIFS($A$10:$A$89,$C400)&lt;&gt;1,"brak danych",IF(COUNTIFS($A$10:$A$89,$C400,$F$10:$F$89,"&lt;&gt;")=0,"brak danych",VLOOKUP($C400,$A$10:$J$89,6,FALSE)*$E400))))))</x:f>
      </x:c>
      <x:c r="H400" s="25" t="str">
        <x:f>IF($A400="","",IF(AND($C400="",$E400=""),"",IF($E400="","brak danych",IF($E400=0,0,IF(COUNTIFS($A$10:$A$89,$C400)&lt;&gt;1,"brak danych",IF(COUNTIFS($A$10:$A$89,$C400,$G$10:$G$89,"&lt;&gt;")=0,"brak danych",VLOOKUP($C400,$A$10:$J$89,7,FALSE)*$E400))))))</x:f>
      </x:c>
      <x:c r="I400" s="25" t="str">
        <x:f>IF($A400="","",IF(AND($C400="",$E400=""),"",IF($E400="","brak danych",IF($E400=0,0,IF(COUNTIFS($A$10:$A$89,$C400)&lt;&gt;1,"brak danych",IF(COUNTIFS($A$10:$A$89,$C400,$H$10:$H$89,"&lt;&gt;")=0,"brak danych",VLOOKUP($C400,$A$10:$J$89,8,FALSE)*$E400))))))</x:f>
      </x:c>
      <x:c r="J400" s="25" t="str">
        <x:f>IF($A400="","",IF(AND($C400="",$E400=""),"",IF($E400="","brak danych",IF($E400=0,0,IF(COUNTIFS($A$10:$A$89,$C400)&lt;&gt;1,"brak danych",IF(COUNTIFS($A$10:$A$89,$C400,$I$10:$I$89,"&lt;&gt;")=0,"brak danych",VLOOKUP($C400,$A$10:$J$89,9,FALSE)*$E400))))))</x:f>
      </x:c>
      <x:c r="K400" s="25" t="str">
        <x:f>IF($A400="","",IF(AND($C400="",$E400=""),"",IF($E400="","brak danych",IF($E400=0,0,IF(COUNTIFS($A$10:$A$89,$C400)&lt;&gt;1,"brak danych",IF(COUNTIFS($A$10:$A$89,$C400,$J$10:$J$89,"&lt;&gt;")=0,"brak danych",VLOOKUP($C400,$A$10:$J$89,10,FALSE)*$E400))))))</x:f>
      </x:c>
      <x:c r="L400" s="24" t="str">
        <x:f>IF($A400="","",IF($F400="","",IF($F400=0,0,IF(COUNTIFS($A$10:$A$89,$C400)&lt;&gt;1,"brak danych",IF(COUNTIFS($A$10:$A$89,$C400,$F$10:$F$89,"&lt;&gt;")=0,"brak danych",VLOOKUP($C400,$A$10:$J$89,6,FALSE)*$F400)))))</x:f>
      </x:c>
      <x:c r="M400" s="25" t="str">
        <x:f>IF($A400="","",IF($F400="","",IF($F400=0,0,IF(COUNTIFS($A$10:$A$89,$C400)&lt;&gt;1,"brak danych",IF(COUNTIFS($A$10:$A$89,$C400,$G$10:$G$89,"&lt;&gt;")=0,"brak danych",VLOOKUP($C400,$A$10:$J$89,7,FALSE)*$F400)))))</x:f>
      </x:c>
      <x:c r="N400" s="25" t="str">
        <x:f>IF($A400="","",IF($F400="","",IF($F400=0,0,IF(COUNTIFS($A$10:$A$89,$C400)&lt;&gt;1,"brak danych",IF(COUNTIFS($A$10:$A$89,$C400,$H$10:$H$89,"&lt;&gt;")=0,"brak danych",VLOOKUP($C400,$A$10:$J$89,8,FALSE)*$F400)))))</x:f>
      </x:c>
      <x:c r="O400" s="25" t="str">
        <x:f>IF($A400="","",IF($F400="","",IF($F400=0,0,IF(COUNTIFS($A$10:$A$89,$C400)&lt;&gt;1,"brak danych",IF(COUNTIFS($A$10:$A$89,$C400,$I$10:$I$89,"&lt;&gt;")=0,"brak danych",VLOOKUP($C400,$A$10:$J$89,9,FALSE)*$F400)))))</x:f>
      </x:c>
      <x:c r="P400" s="25" t="str">
        <x:f>IF($A400="","",IF($F400="","",IF($F400=0,0,IF(COUNTIFS($A$10:$A$89,$C400)&lt;&gt;1,"brak danych",IF(COUNTIFS($A$10:$A$89,$C400,$J$10:$J$89,"&lt;&gt;")=0,"brak danych",VLOOKUP($C400,$A$10:$J$89,10,FALSE)*$F400)))))</x:f>
      </x:c>
      <x:c r="Q400" s="18"/>
    </x:row>
    <x:row r="401" ht="25" customHeight="1">
      <x:c r="A401" s="6"/>
      <x:c r="B401" s="30"/>
      <x:c r="C401" s="5"/>
      <x:c r="D401" s="5"/>
      <x:c r="E401" s="32"/>
      <x:c r="F401" s="32"/>
      <x:c r="G401" s="24" t="str">
        <x:f>IF($A401="","",IF(AND($C401="",$E401=""),"",IF($E401="","brak danych",IF($E401=0,0,IF(COUNTIFS($A$10:$A$89,$C401)&lt;&gt;1,"brak danych",IF(COUNTIFS($A$10:$A$89,$C401,$F$10:$F$89,"&lt;&gt;")=0,"brak danych",VLOOKUP($C401,$A$10:$J$89,6,FALSE)*$E401))))))</x:f>
      </x:c>
      <x:c r="H401" s="25" t="str">
        <x:f>IF($A401="","",IF(AND($C401="",$E401=""),"",IF($E401="","brak danych",IF($E401=0,0,IF(COUNTIFS($A$10:$A$89,$C401)&lt;&gt;1,"brak danych",IF(COUNTIFS($A$10:$A$89,$C401,$G$10:$G$89,"&lt;&gt;")=0,"brak danych",VLOOKUP($C401,$A$10:$J$89,7,FALSE)*$E401))))))</x:f>
      </x:c>
      <x:c r="I401" s="25" t="str">
        <x:f>IF($A401="","",IF(AND($C401="",$E401=""),"",IF($E401="","brak danych",IF($E401=0,0,IF(COUNTIFS($A$10:$A$89,$C401)&lt;&gt;1,"brak danych",IF(COUNTIFS($A$10:$A$89,$C401,$H$10:$H$89,"&lt;&gt;")=0,"brak danych",VLOOKUP($C401,$A$10:$J$89,8,FALSE)*$E401))))))</x:f>
      </x:c>
      <x:c r="J401" s="25" t="str">
        <x:f>IF($A401="","",IF(AND($C401="",$E401=""),"",IF($E401="","brak danych",IF($E401=0,0,IF(COUNTIFS($A$10:$A$89,$C401)&lt;&gt;1,"brak danych",IF(COUNTIFS($A$10:$A$89,$C401,$I$10:$I$89,"&lt;&gt;")=0,"brak danych",VLOOKUP($C401,$A$10:$J$89,9,FALSE)*$E401))))))</x:f>
      </x:c>
      <x:c r="K401" s="25" t="str">
        <x:f>IF($A401="","",IF(AND($C401="",$E401=""),"",IF($E401="","brak danych",IF($E401=0,0,IF(COUNTIFS($A$10:$A$89,$C401)&lt;&gt;1,"brak danych",IF(COUNTIFS($A$10:$A$89,$C401,$J$10:$J$89,"&lt;&gt;")=0,"brak danych",VLOOKUP($C401,$A$10:$J$89,10,FALSE)*$E401))))))</x:f>
      </x:c>
      <x:c r="L401" s="24" t="str">
        <x:f>IF($A401="","",IF($F401="","",IF($F401=0,0,IF(COUNTIFS($A$10:$A$89,$C401)&lt;&gt;1,"brak danych",IF(COUNTIFS($A$10:$A$89,$C401,$F$10:$F$89,"&lt;&gt;")=0,"brak danych",VLOOKUP($C401,$A$10:$J$89,6,FALSE)*$F401)))))</x:f>
      </x:c>
      <x:c r="M401" s="25" t="str">
        <x:f>IF($A401="","",IF($F401="","",IF($F401=0,0,IF(COUNTIFS($A$10:$A$89,$C401)&lt;&gt;1,"brak danych",IF(COUNTIFS($A$10:$A$89,$C401,$G$10:$G$89,"&lt;&gt;")=0,"brak danych",VLOOKUP($C401,$A$10:$J$89,7,FALSE)*$F401)))))</x:f>
      </x:c>
      <x:c r="N401" s="25" t="str">
        <x:f>IF($A401="","",IF($F401="","",IF($F401=0,0,IF(COUNTIFS($A$10:$A$89,$C401)&lt;&gt;1,"brak danych",IF(COUNTIFS($A$10:$A$89,$C401,$H$10:$H$89,"&lt;&gt;")=0,"brak danych",VLOOKUP($C401,$A$10:$J$89,8,FALSE)*$F401)))))</x:f>
      </x:c>
      <x:c r="O401" s="25" t="str">
        <x:f>IF($A401="","",IF($F401="","",IF($F401=0,0,IF(COUNTIFS($A$10:$A$89,$C401)&lt;&gt;1,"brak danych",IF(COUNTIFS($A$10:$A$89,$C401,$I$10:$I$89,"&lt;&gt;")=0,"brak danych",VLOOKUP($C401,$A$10:$J$89,9,FALSE)*$F401)))))</x:f>
      </x:c>
      <x:c r="P401" s="25" t="str">
        <x:f>IF($A401="","",IF($F401="","",IF($F401=0,0,IF(COUNTIFS($A$10:$A$89,$C401)&lt;&gt;1,"brak danych",IF(COUNTIFS($A$10:$A$89,$C401,$J$10:$J$89,"&lt;&gt;")=0,"brak danych",VLOOKUP($C401,$A$10:$J$89,10,FALSE)*$F401)))))</x:f>
      </x:c>
      <x:c r="Q401" s="18"/>
    </x:row>
    <x:row r="402" ht="25" customHeight="1">
      <x:c r="A402" s="6"/>
      <x:c r="B402" s="30"/>
      <x:c r="C402" s="5"/>
      <x:c r="D402" s="5"/>
      <x:c r="E402" s="32"/>
      <x:c r="F402" s="32"/>
      <x:c r="G402" s="24" t="str">
        <x:f>IF($A402="","",IF(AND($C402="",$E402=""),"",IF($E402="","brak danych",IF($E402=0,0,IF(COUNTIFS($A$10:$A$89,$C402)&lt;&gt;1,"brak danych",IF(COUNTIFS($A$10:$A$89,$C402,$F$10:$F$89,"&lt;&gt;")=0,"brak danych",VLOOKUP($C402,$A$10:$J$89,6,FALSE)*$E402))))))</x:f>
      </x:c>
      <x:c r="H402" s="25" t="str">
        <x:f>IF($A402="","",IF(AND($C402="",$E402=""),"",IF($E402="","brak danych",IF($E402=0,0,IF(COUNTIFS($A$10:$A$89,$C402)&lt;&gt;1,"brak danych",IF(COUNTIFS($A$10:$A$89,$C402,$G$10:$G$89,"&lt;&gt;")=0,"brak danych",VLOOKUP($C402,$A$10:$J$89,7,FALSE)*$E402))))))</x:f>
      </x:c>
      <x:c r="I402" s="25" t="str">
        <x:f>IF($A402="","",IF(AND($C402="",$E402=""),"",IF($E402="","brak danych",IF($E402=0,0,IF(COUNTIFS($A$10:$A$89,$C402)&lt;&gt;1,"brak danych",IF(COUNTIFS($A$10:$A$89,$C402,$H$10:$H$89,"&lt;&gt;")=0,"brak danych",VLOOKUP($C402,$A$10:$J$89,8,FALSE)*$E402))))))</x:f>
      </x:c>
      <x:c r="J402" s="25" t="str">
        <x:f>IF($A402="","",IF(AND($C402="",$E402=""),"",IF($E402="","brak danych",IF($E402=0,0,IF(COUNTIFS($A$10:$A$89,$C402)&lt;&gt;1,"brak danych",IF(COUNTIFS($A$10:$A$89,$C402,$I$10:$I$89,"&lt;&gt;")=0,"brak danych",VLOOKUP($C402,$A$10:$J$89,9,FALSE)*$E402))))))</x:f>
      </x:c>
      <x:c r="K402" s="25" t="str">
        <x:f>IF($A402="","",IF(AND($C402="",$E402=""),"",IF($E402="","brak danych",IF($E402=0,0,IF(COUNTIFS($A$10:$A$89,$C402)&lt;&gt;1,"brak danych",IF(COUNTIFS($A$10:$A$89,$C402,$J$10:$J$89,"&lt;&gt;")=0,"brak danych",VLOOKUP($C402,$A$10:$J$89,10,FALSE)*$E402))))))</x:f>
      </x:c>
      <x:c r="L402" s="24" t="str">
        <x:f>IF($A402="","",IF($F402="","",IF($F402=0,0,IF(COUNTIFS($A$10:$A$89,$C402)&lt;&gt;1,"brak danych",IF(COUNTIFS($A$10:$A$89,$C402,$F$10:$F$89,"&lt;&gt;")=0,"brak danych",VLOOKUP($C402,$A$10:$J$89,6,FALSE)*$F402)))))</x:f>
      </x:c>
      <x:c r="M402" s="25" t="str">
        <x:f>IF($A402="","",IF($F402="","",IF($F402=0,0,IF(COUNTIFS($A$10:$A$89,$C402)&lt;&gt;1,"brak danych",IF(COUNTIFS($A$10:$A$89,$C402,$G$10:$G$89,"&lt;&gt;")=0,"brak danych",VLOOKUP($C402,$A$10:$J$89,7,FALSE)*$F402)))))</x:f>
      </x:c>
      <x:c r="N402" s="25" t="str">
        <x:f>IF($A402="","",IF($F402="","",IF($F402=0,0,IF(COUNTIFS($A$10:$A$89,$C402)&lt;&gt;1,"brak danych",IF(COUNTIFS($A$10:$A$89,$C402,$H$10:$H$89,"&lt;&gt;")=0,"brak danych",VLOOKUP($C402,$A$10:$J$89,8,FALSE)*$F402)))))</x:f>
      </x:c>
      <x:c r="O402" s="25" t="str">
        <x:f>IF($A402="","",IF($F402="","",IF($F402=0,0,IF(COUNTIFS($A$10:$A$89,$C402)&lt;&gt;1,"brak danych",IF(COUNTIFS($A$10:$A$89,$C402,$I$10:$I$89,"&lt;&gt;")=0,"brak danych",VLOOKUP($C402,$A$10:$J$89,9,FALSE)*$F402)))))</x:f>
      </x:c>
      <x:c r="P402" s="25" t="str">
        <x:f>IF($A402="","",IF($F402="","",IF($F402=0,0,IF(COUNTIFS($A$10:$A$89,$C402)&lt;&gt;1,"brak danych",IF(COUNTIFS($A$10:$A$89,$C402,$J$10:$J$89,"&lt;&gt;")=0,"brak danych",VLOOKUP($C402,$A$10:$J$89,10,FALSE)*$F402)))))</x:f>
      </x:c>
      <x:c r="Q402" s="18"/>
    </x:row>
    <x:row r="403" ht="25" customHeight="1">
      <x:c r="A403" s="6"/>
      <x:c r="B403" s="30"/>
      <x:c r="C403" s="5"/>
      <x:c r="D403" s="5"/>
      <x:c r="E403" s="32"/>
      <x:c r="F403" s="32"/>
      <x:c r="G403" s="24" t="str">
        <x:f>IF($A403="","",IF(AND($C403="",$E403=""),"",IF($E403="","brak danych",IF($E403=0,0,IF(COUNTIFS($A$10:$A$89,$C403)&lt;&gt;1,"brak danych",IF(COUNTIFS($A$10:$A$89,$C403,$F$10:$F$89,"&lt;&gt;")=0,"brak danych",VLOOKUP($C403,$A$10:$J$89,6,FALSE)*$E403))))))</x:f>
      </x:c>
      <x:c r="H403" s="25" t="str">
        <x:f>IF($A403="","",IF(AND($C403="",$E403=""),"",IF($E403="","brak danych",IF($E403=0,0,IF(COUNTIFS($A$10:$A$89,$C403)&lt;&gt;1,"brak danych",IF(COUNTIFS($A$10:$A$89,$C403,$G$10:$G$89,"&lt;&gt;")=0,"brak danych",VLOOKUP($C403,$A$10:$J$89,7,FALSE)*$E403))))))</x:f>
      </x:c>
      <x:c r="I403" s="25" t="str">
        <x:f>IF($A403="","",IF(AND($C403="",$E403=""),"",IF($E403="","brak danych",IF($E403=0,0,IF(COUNTIFS($A$10:$A$89,$C403)&lt;&gt;1,"brak danych",IF(COUNTIFS($A$10:$A$89,$C403,$H$10:$H$89,"&lt;&gt;")=0,"brak danych",VLOOKUP($C403,$A$10:$J$89,8,FALSE)*$E403))))))</x:f>
      </x:c>
      <x:c r="J403" s="25" t="str">
        <x:f>IF($A403="","",IF(AND($C403="",$E403=""),"",IF($E403="","brak danych",IF($E403=0,0,IF(COUNTIFS($A$10:$A$89,$C403)&lt;&gt;1,"brak danych",IF(COUNTIFS($A$10:$A$89,$C403,$I$10:$I$89,"&lt;&gt;")=0,"brak danych",VLOOKUP($C403,$A$10:$J$89,9,FALSE)*$E403))))))</x:f>
      </x:c>
      <x:c r="K403" s="25" t="str">
        <x:f>IF($A403="","",IF(AND($C403="",$E403=""),"",IF($E403="","brak danych",IF($E403=0,0,IF(COUNTIFS($A$10:$A$89,$C403)&lt;&gt;1,"brak danych",IF(COUNTIFS($A$10:$A$89,$C403,$J$10:$J$89,"&lt;&gt;")=0,"brak danych",VLOOKUP($C403,$A$10:$J$89,10,FALSE)*$E403))))))</x:f>
      </x:c>
      <x:c r="L403" s="24" t="str">
        <x:f>IF($A403="","",IF($F403="","",IF($F403=0,0,IF(COUNTIFS($A$10:$A$89,$C403)&lt;&gt;1,"brak danych",IF(COUNTIFS($A$10:$A$89,$C403,$F$10:$F$89,"&lt;&gt;")=0,"brak danych",VLOOKUP($C403,$A$10:$J$89,6,FALSE)*$F403)))))</x:f>
      </x:c>
      <x:c r="M403" s="25" t="str">
        <x:f>IF($A403="","",IF($F403="","",IF($F403=0,0,IF(COUNTIFS($A$10:$A$89,$C403)&lt;&gt;1,"brak danych",IF(COUNTIFS($A$10:$A$89,$C403,$G$10:$G$89,"&lt;&gt;")=0,"brak danych",VLOOKUP($C403,$A$10:$J$89,7,FALSE)*$F403)))))</x:f>
      </x:c>
      <x:c r="N403" s="25" t="str">
        <x:f>IF($A403="","",IF($F403="","",IF($F403=0,0,IF(COUNTIFS($A$10:$A$89,$C403)&lt;&gt;1,"brak danych",IF(COUNTIFS($A$10:$A$89,$C403,$H$10:$H$89,"&lt;&gt;")=0,"brak danych",VLOOKUP($C403,$A$10:$J$89,8,FALSE)*$F403)))))</x:f>
      </x:c>
      <x:c r="O403" s="25" t="str">
        <x:f>IF($A403="","",IF($F403="","",IF($F403=0,0,IF(COUNTIFS($A$10:$A$89,$C403)&lt;&gt;1,"brak danych",IF(COUNTIFS($A$10:$A$89,$C403,$I$10:$I$89,"&lt;&gt;")=0,"brak danych",VLOOKUP($C403,$A$10:$J$89,9,FALSE)*$F403)))))</x:f>
      </x:c>
      <x:c r="P403" s="25" t="str">
        <x:f>IF($A403="","",IF($F403="","",IF($F403=0,0,IF(COUNTIFS($A$10:$A$89,$C403)&lt;&gt;1,"brak danych",IF(COUNTIFS($A$10:$A$89,$C403,$J$10:$J$89,"&lt;&gt;")=0,"brak danych",VLOOKUP($C403,$A$10:$J$89,10,FALSE)*$F403)))))</x:f>
      </x:c>
      <x:c r="Q403" s="18"/>
    </x:row>
    <x:row r="404" ht="25" customHeight="1">
      <x:c r="A404" s="6"/>
      <x:c r="B404" s="30"/>
      <x:c r="C404" s="5"/>
      <x:c r="D404" s="5"/>
      <x:c r="E404" s="32"/>
      <x:c r="F404" s="32"/>
      <x:c r="G404" s="24" t="str">
        <x:f>IF($A404="","",IF(AND($C404="",$E404=""),"",IF($E404="","brak danych",IF($E404=0,0,IF(COUNTIFS($A$10:$A$89,$C404)&lt;&gt;1,"brak danych",IF(COUNTIFS($A$10:$A$89,$C404,$F$10:$F$89,"&lt;&gt;")=0,"brak danych",VLOOKUP($C404,$A$10:$J$89,6,FALSE)*$E404))))))</x:f>
      </x:c>
      <x:c r="H404" s="25" t="str">
        <x:f>IF($A404="","",IF(AND($C404="",$E404=""),"",IF($E404="","brak danych",IF($E404=0,0,IF(COUNTIFS($A$10:$A$89,$C404)&lt;&gt;1,"brak danych",IF(COUNTIFS($A$10:$A$89,$C404,$G$10:$G$89,"&lt;&gt;")=0,"brak danych",VLOOKUP($C404,$A$10:$J$89,7,FALSE)*$E404))))))</x:f>
      </x:c>
      <x:c r="I404" s="25" t="str">
        <x:f>IF($A404="","",IF(AND($C404="",$E404=""),"",IF($E404="","brak danych",IF($E404=0,0,IF(COUNTIFS($A$10:$A$89,$C404)&lt;&gt;1,"brak danych",IF(COUNTIFS($A$10:$A$89,$C404,$H$10:$H$89,"&lt;&gt;")=0,"brak danych",VLOOKUP($C404,$A$10:$J$89,8,FALSE)*$E404))))))</x:f>
      </x:c>
      <x:c r="J404" s="25" t="str">
        <x:f>IF($A404="","",IF(AND($C404="",$E404=""),"",IF($E404="","brak danych",IF($E404=0,0,IF(COUNTIFS($A$10:$A$89,$C404)&lt;&gt;1,"brak danych",IF(COUNTIFS($A$10:$A$89,$C404,$I$10:$I$89,"&lt;&gt;")=0,"brak danych",VLOOKUP($C404,$A$10:$J$89,9,FALSE)*$E404))))))</x:f>
      </x:c>
      <x:c r="K404" s="25" t="str">
        <x:f>IF($A404="","",IF(AND($C404="",$E404=""),"",IF($E404="","brak danych",IF($E404=0,0,IF(COUNTIFS($A$10:$A$89,$C404)&lt;&gt;1,"brak danych",IF(COUNTIFS($A$10:$A$89,$C404,$J$10:$J$89,"&lt;&gt;")=0,"brak danych",VLOOKUP($C404,$A$10:$J$89,10,FALSE)*$E404))))))</x:f>
      </x:c>
      <x:c r="L404" s="24" t="str">
        <x:f>IF($A404="","",IF($F404="","",IF($F404=0,0,IF(COUNTIFS($A$10:$A$89,$C404)&lt;&gt;1,"brak danych",IF(COUNTIFS($A$10:$A$89,$C404,$F$10:$F$89,"&lt;&gt;")=0,"brak danych",VLOOKUP($C404,$A$10:$J$89,6,FALSE)*$F404)))))</x:f>
      </x:c>
      <x:c r="M404" s="25" t="str">
        <x:f>IF($A404="","",IF($F404="","",IF($F404=0,0,IF(COUNTIFS($A$10:$A$89,$C404)&lt;&gt;1,"brak danych",IF(COUNTIFS($A$10:$A$89,$C404,$G$10:$G$89,"&lt;&gt;")=0,"brak danych",VLOOKUP($C404,$A$10:$J$89,7,FALSE)*$F404)))))</x:f>
      </x:c>
      <x:c r="N404" s="25" t="str">
        <x:f>IF($A404="","",IF($F404="","",IF($F404=0,0,IF(COUNTIFS($A$10:$A$89,$C404)&lt;&gt;1,"brak danych",IF(COUNTIFS($A$10:$A$89,$C404,$H$10:$H$89,"&lt;&gt;")=0,"brak danych",VLOOKUP($C404,$A$10:$J$89,8,FALSE)*$F404)))))</x:f>
      </x:c>
      <x:c r="O404" s="25" t="str">
        <x:f>IF($A404="","",IF($F404="","",IF($F404=0,0,IF(COUNTIFS($A$10:$A$89,$C404)&lt;&gt;1,"brak danych",IF(COUNTIFS($A$10:$A$89,$C404,$I$10:$I$89,"&lt;&gt;")=0,"brak danych",VLOOKUP($C404,$A$10:$J$89,9,FALSE)*$F404)))))</x:f>
      </x:c>
      <x:c r="P404" s="25" t="str">
        <x:f>IF($A404="","",IF($F404="","",IF($F404=0,0,IF(COUNTIFS($A$10:$A$89,$C404)&lt;&gt;1,"brak danych",IF(COUNTIFS($A$10:$A$89,$C404,$J$10:$J$89,"&lt;&gt;")=0,"brak danych",VLOOKUP($C404,$A$10:$J$89,10,FALSE)*$F404)))))</x:f>
      </x:c>
      <x:c r="Q404" s="18"/>
    </x:row>
    <x:row r="405" ht="25" customHeight="1">
      <x:c r="A405" s="6"/>
      <x:c r="B405" s="30"/>
      <x:c r="C405" s="5"/>
      <x:c r="D405" s="5"/>
      <x:c r="E405" s="32"/>
      <x:c r="F405" s="32"/>
      <x:c r="G405" s="24" t="str">
        <x:f>IF($A405="","",IF(AND($C405="",$E405=""),"",IF($E405="","brak danych",IF($E405=0,0,IF(COUNTIFS($A$10:$A$89,$C405)&lt;&gt;1,"brak danych",IF(COUNTIFS($A$10:$A$89,$C405,$F$10:$F$89,"&lt;&gt;")=0,"brak danych",VLOOKUP($C405,$A$10:$J$89,6,FALSE)*$E405))))))</x:f>
      </x:c>
      <x:c r="H405" s="25" t="str">
        <x:f>IF($A405="","",IF(AND($C405="",$E405=""),"",IF($E405="","brak danych",IF($E405=0,0,IF(COUNTIFS($A$10:$A$89,$C405)&lt;&gt;1,"brak danych",IF(COUNTIFS($A$10:$A$89,$C405,$G$10:$G$89,"&lt;&gt;")=0,"brak danych",VLOOKUP($C405,$A$10:$J$89,7,FALSE)*$E405))))))</x:f>
      </x:c>
      <x:c r="I405" s="25" t="str">
        <x:f>IF($A405="","",IF(AND($C405="",$E405=""),"",IF($E405="","brak danych",IF($E405=0,0,IF(COUNTIFS($A$10:$A$89,$C405)&lt;&gt;1,"brak danych",IF(COUNTIFS($A$10:$A$89,$C405,$H$10:$H$89,"&lt;&gt;")=0,"brak danych",VLOOKUP($C405,$A$10:$J$89,8,FALSE)*$E405))))))</x:f>
      </x:c>
      <x:c r="J405" s="25" t="str">
        <x:f>IF($A405="","",IF(AND($C405="",$E405=""),"",IF($E405="","brak danych",IF($E405=0,0,IF(COUNTIFS($A$10:$A$89,$C405)&lt;&gt;1,"brak danych",IF(COUNTIFS($A$10:$A$89,$C405,$I$10:$I$89,"&lt;&gt;")=0,"brak danych",VLOOKUP($C405,$A$10:$J$89,9,FALSE)*$E405))))))</x:f>
      </x:c>
      <x:c r="K405" s="25" t="str">
        <x:f>IF($A405="","",IF(AND($C405="",$E405=""),"",IF($E405="","brak danych",IF($E405=0,0,IF(COUNTIFS($A$10:$A$89,$C405)&lt;&gt;1,"brak danych",IF(COUNTIFS($A$10:$A$89,$C405,$J$10:$J$89,"&lt;&gt;")=0,"brak danych",VLOOKUP($C405,$A$10:$J$89,10,FALSE)*$E405))))))</x:f>
      </x:c>
      <x:c r="L405" s="24" t="str">
        <x:f>IF($A405="","",IF($F405="","",IF($F405=0,0,IF(COUNTIFS($A$10:$A$89,$C405)&lt;&gt;1,"brak danych",IF(COUNTIFS($A$10:$A$89,$C405,$F$10:$F$89,"&lt;&gt;")=0,"brak danych",VLOOKUP($C405,$A$10:$J$89,6,FALSE)*$F405)))))</x:f>
      </x:c>
      <x:c r="M405" s="25" t="str">
        <x:f>IF($A405="","",IF($F405="","",IF($F405=0,0,IF(COUNTIFS($A$10:$A$89,$C405)&lt;&gt;1,"brak danych",IF(COUNTIFS($A$10:$A$89,$C405,$G$10:$G$89,"&lt;&gt;")=0,"brak danych",VLOOKUP($C405,$A$10:$J$89,7,FALSE)*$F405)))))</x:f>
      </x:c>
      <x:c r="N405" s="25" t="str">
        <x:f>IF($A405="","",IF($F405="","",IF($F405=0,0,IF(COUNTIFS($A$10:$A$89,$C405)&lt;&gt;1,"brak danych",IF(COUNTIFS($A$10:$A$89,$C405,$H$10:$H$89,"&lt;&gt;")=0,"brak danych",VLOOKUP($C405,$A$10:$J$89,8,FALSE)*$F405)))))</x:f>
      </x:c>
      <x:c r="O405" s="25" t="str">
        <x:f>IF($A405="","",IF($F405="","",IF($F405=0,0,IF(COUNTIFS($A$10:$A$89,$C405)&lt;&gt;1,"brak danych",IF(COUNTIFS($A$10:$A$89,$C405,$I$10:$I$89,"&lt;&gt;")=0,"brak danych",VLOOKUP($C405,$A$10:$J$89,9,FALSE)*$F405)))))</x:f>
      </x:c>
      <x:c r="P405" s="25" t="str">
        <x:f>IF($A405="","",IF($F405="","",IF($F405=0,0,IF(COUNTIFS($A$10:$A$89,$C405)&lt;&gt;1,"brak danych",IF(COUNTIFS($A$10:$A$89,$C405,$J$10:$J$89,"&lt;&gt;")=0,"brak danych",VLOOKUP($C405,$A$10:$J$89,10,FALSE)*$F405)))))</x:f>
      </x:c>
      <x:c r="Q405" s="18"/>
    </x:row>
    <x:row r="406" ht="25" customHeight="1">
      <x:c r="A406" s="6"/>
      <x:c r="B406" s="30"/>
      <x:c r="C406" s="5"/>
      <x:c r="D406" s="5"/>
      <x:c r="E406" s="32"/>
      <x:c r="F406" s="32"/>
      <x:c r="G406" s="24" t="str">
        <x:f>IF($A406="","",IF(AND($C406="",$E406=""),"",IF($E406="","brak danych",IF($E406=0,0,IF(COUNTIFS($A$10:$A$89,$C406)&lt;&gt;1,"brak danych",IF(COUNTIFS($A$10:$A$89,$C406,$F$10:$F$89,"&lt;&gt;")=0,"brak danych",VLOOKUP($C406,$A$10:$J$89,6,FALSE)*$E406))))))</x:f>
      </x:c>
      <x:c r="H406" s="25" t="str">
        <x:f>IF($A406="","",IF(AND($C406="",$E406=""),"",IF($E406="","brak danych",IF($E406=0,0,IF(COUNTIFS($A$10:$A$89,$C406)&lt;&gt;1,"brak danych",IF(COUNTIFS($A$10:$A$89,$C406,$G$10:$G$89,"&lt;&gt;")=0,"brak danych",VLOOKUP($C406,$A$10:$J$89,7,FALSE)*$E406))))))</x:f>
      </x:c>
      <x:c r="I406" s="25" t="str">
        <x:f>IF($A406="","",IF(AND($C406="",$E406=""),"",IF($E406="","brak danych",IF($E406=0,0,IF(COUNTIFS($A$10:$A$89,$C406)&lt;&gt;1,"brak danych",IF(COUNTIFS($A$10:$A$89,$C406,$H$10:$H$89,"&lt;&gt;")=0,"brak danych",VLOOKUP($C406,$A$10:$J$89,8,FALSE)*$E406))))))</x:f>
      </x:c>
      <x:c r="J406" s="25" t="str">
        <x:f>IF($A406="","",IF(AND($C406="",$E406=""),"",IF($E406="","brak danych",IF($E406=0,0,IF(COUNTIFS($A$10:$A$89,$C406)&lt;&gt;1,"brak danych",IF(COUNTIFS($A$10:$A$89,$C406,$I$10:$I$89,"&lt;&gt;")=0,"brak danych",VLOOKUP($C406,$A$10:$J$89,9,FALSE)*$E406))))))</x:f>
      </x:c>
      <x:c r="K406" s="25" t="str">
        <x:f>IF($A406="","",IF(AND($C406="",$E406=""),"",IF($E406="","brak danych",IF($E406=0,0,IF(COUNTIFS($A$10:$A$89,$C406)&lt;&gt;1,"brak danych",IF(COUNTIFS($A$10:$A$89,$C406,$J$10:$J$89,"&lt;&gt;")=0,"brak danych",VLOOKUP($C406,$A$10:$J$89,10,FALSE)*$E406))))))</x:f>
      </x:c>
      <x:c r="L406" s="24" t="str">
        <x:f>IF($A406="","",IF($F406="","",IF($F406=0,0,IF(COUNTIFS($A$10:$A$89,$C406)&lt;&gt;1,"brak danych",IF(COUNTIFS($A$10:$A$89,$C406,$F$10:$F$89,"&lt;&gt;")=0,"brak danych",VLOOKUP($C406,$A$10:$J$89,6,FALSE)*$F406)))))</x:f>
      </x:c>
      <x:c r="M406" s="25" t="str">
        <x:f>IF($A406="","",IF($F406="","",IF($F406=0,0,IF(COUNTIFS($A$10:$A$89,$C406)&lt;&gt;1,"brak danych",IF(COUNTIFS($A$10:$A$89,$C406,$G$10:$G$89,"&lt;&gt;")=0,"brak danych",VLOOKUP($C406,$A$10:$J$89,7,FALSE)*$F406)))))</x:f>
      </x:c>
      <x:c r="N406" s="25" t="str">
        <x:f>IF($A406="","",IF($F406="","",IF($F406=0,0,IF(COUNTIFS($A$10:$A$89,$C406)&lt;&gt;1,"brak danych",IF(COUNTIFS($A$10:$A$89,$C406,$H$10:$H$89,"&lt;&gt;")=0,"brak danych",VLOOKUP($C406,$A$10:$J$89,8,FALSE)*$F406)))))</x:f>
      </x:c>
      <x:c r="O406" s="25" t="str">
        <x:f>IF($A406="","",IF($F406="","",IF($F406=0,0,IF(COUNTIFS($A$10:$A$89,$C406)&lt;&gt;1,"brak danych",IF(COUNTIFS($A$10:$A$89,$C406,$I$10:$I$89,"&lt;&gt;")=0,"brak danych",VLOOKUP($C406,$A$10:$J$89,9,FALSE)*$F406)))))</x:f>
      </x:c>
      <x:c r="P406" s="25" t="str">
        <x:f>IF($A406="","",IF($F406="","",IF($F406=0,0,IF(COUNTIFS($A$10:$A$89,$C406)&lt;&gt;1,"brak danych",IF(COUNTIFS($A$10:$A$89,$C406,$J$10:$J$89,"&lt;&gt;")=0,"brak danych",VLOOKUP($C406,$A$10:$J$89,10,FALSE)*$F406)))))</x:f>
      </x:c>
      <x:c r="Q406" s="18"/>
    </x:row>
    <x:row r="407" ht="25" customHeight="1">
      <x:c r="A407" s="6"/>
      <x:c r="B407" s="30"/>
      <x:c r="C407" s="5"/>
      <x:c r="D407" s="5"/>
      <x:c r="E407" s="32"/>
      <x:c r="F407" s="32"/>
      <x:c r="G407" s="24" t="str">
        <x:f>IF($A407="","",IF(AND($C407="",$E407=""),"",IF($E407="","brak danych",IF($E407=0,0,IF(COUNTIFS($A$10:$A$89,$C407)&lt;&gt;1,"brak danych",IF(COUNTIFS($A$10:$A$89,$C407,$F$10:$F$89,"&lt;&gt;")=0,"brak danych",VLOOKUP($C407,$A$10:$J$89,6,FALSE)*$E407))))))</x:f>
      </x:c>
      <x:c r="H407" s="25" t="str">
        <x:f>IF($A407="","",IF(AND($C407="",$E407=""),"",IF($E407="","brak danych",IF($E407=0,0,IF(COUNTIFS($A$10:$A$89,$C407)&lt;&gt;1,"brak danych",IF(COUNTIFS($A$10:$A$89,$C407,$G$10:$G$89,"&lt;&gt;")=0,"brak danych",VLOOKUP($C407,$A$10:$J$89,7,FALSE)*$E407))))))</x:f>
      </x:c>
      <x:c r="I407" s="25" t="str">
        <x:f>IF($A407="","",IF(AND($C407="",$E407=""),"",IF($E407="","brak danych",IF($E407=0,0,IF(COUNTIFS($A$10:$A$89,$C407)&lt;&gt;1,"brak danych",IF(COUNTIFS($A$10:$A$89,$C407,$H$10:$H$89,"&lt;&gt;")=0,"brak danych",VLOOKUP($C407,$A$10:$J$89,8,FALSE)*$E407))))))</x:f>
      </x:c>
      <x:c r="J407" s="25" t="str">
        <x:f>IF($A407="","",IF(AND($C407="",$E407=""),"",IF($E407="","brak danych",IF($E407=0,0,IF(COUNTIFS($A$10:$A$89,$C407)&lt;&gt;1,"brak danych",IF(COUNTIFS($A$10:$A$89,$C407,$I$10:$I$89,"&lt;&gt;")=0,"brak danych",VLOOKUP($C407,$A$10:$J$89,9,FALSE)*$E407))))))</x:f>
      </x:c>
      <x:c r="K407" s="25" t="str">
        <x:f>IF($A407="","",IF(AND($C407="",$E407=""),"",IF($E407="","brak danych",IF($E407=0,0,IF(COUNTIFS($A$10:$A$89,$C407)&lt;&gt;1,"brak danych",IF(COUNTIFS($A$10:$A$89,$C407,$J$10:$J$89,"&lt;&gt;")=0,"brak danych",VLOOKUP($C407,$A$10:$J$89,10,FALSE)*$E407))))))</x:f>
      </x:c>
      <x:c r="L407" s="24" t="str">
        <x:f>IF($A407="","",IF($F407="","",IF($F407=0,0,IF(COUNTIFS($A$10:$A$89,$C407)&lt;&gt;1,"brak danych",IF(COUNTIFS($A$10:$A$89,$C407,$F$10:$F$89,"&lt;&gt;")=0,"brak danych",VLOOKUP($C407,$A$10:$J$89,6,FALSE)*$F407)))))</x:f>
      </x:c>
      <x:c r="M407" s="25" t="str">
        <x:f>IF($A407="","",IF($F407="","",IF($F407=0,0,IF(COUNTIFS($A$10:$A$89,$C407)&lt;&gt;1,"brak danych",IF(COUNTIFS($A$10:$A$89,$C407,$G$10:$G$89,"&lt;&gt;")=0,"brak danych",VLOOKUP($C407,$A$10:$J$89,7,FALSE)*$F407)))))</x:f>
      </x:c>
      <x:c r="N407" s="25" t="str">
        <x:f>IF($A407="","",IF($F407="","",IF($F407=0,0,IF(COUNTIFS($A$10:$A$89,$C407)&lt;&gt;1,"brak danych",IF(COUNTIFS($A$10:$A$89,$C407,$H$10:$H$89,"&lt;&gt;")=0,"brak danych",VLOOKUP($C407,$A$10:$J$89,8,FALSE)*$F407)))))</x:f>
      </x:c>
      <x:c r="O407" s="25" t="str">
        <x:f>IF($A407="","",IF($F407="","",IF($F407=0,0,IF(COUNTIFS($A$10:$A$89,$C407)&lt;&gt;1,"brak danych",IF(COUNTIFS($A$10:$A$89,$C407,$I$10:$I$89,"&lt;&gt;")=0,"brak danych",VLOOKUP($C407,$A$10:$J$89,9,FALSE)*$F407)))))</x:f>
      </x:c>
      <x:c r="P407" s="25" t="str">
        <x:f>IF($A407="","",IF($F407="","",IF($F407=0,0,IF(COUNTIFS($A$10:$A$89,$C407)&lt;&gt;1,"brak danych",IF(COUNTIFS($A$10:$A$89,$C407,$J$10:$J$89,"&lt;&gt;")=0,"brak danych",VLOOKUP($C407,$A$10:$J$89,10,FALSE)*$F407)))))</x:f>
      </x:c>
      <x:c r="Q407" s="18"/>
    </x:row>
    <x:row r="408" ht="25" customHeight="1">
      <x:c r="A408" s="6"/>
      <x:c r="B408" s="30"/>
      <x:c r="C408" s="5"/>
      <x:c r="D408" s="5"/>
      <x:c r="E408" s="32"/>
      <x:c r="F408" s="32"/>
      <x:c r="G408" s="24" t="str">
        <x:f>IF($A408="","",IF(AND($C408="",$E408=""),"",IF($E408="","brak danych",IF($E408=0,0,IF(COUNTIFS($A$10:$A$89,$C408)&lt;&gt;1,"brak danych",IF(COUNTIFS($A$10:$A$89,$C408,$F$10:$F$89,"&lt;&gt;")=0,"brak danych",VLOOKUP($C408,$A$10:$J$89,6,FALSE)*$E408))))))</x:f>
      </x:c>
      <x:c r="H408" s="25" t="str">
        <x:f>IF($A408="","",IF(AND($C408="",$E408=""),"",IF($E408="","brak danych",IF($E408=0,0,IF(COUNTIFS($A$10:$A$89,$C408)&lt;&gt;1,"brak danych",IF(COUNTIFS($A$10:$A$89,$C408,$G$10:$G$89,"&lt;&gt;")=0,"brak danych",VLOOKUP($C408,$A$10:$J$89,7,FALSE)*$E408))))))</x:f>
      </x:c>
      <x:c r="I408" s="25" t="str">
        <x:f>IF($A408="","",IF(AND($C408="",$E408=""),"",IF($E408="","brak danych",IF($E408=0,0,IF(COUNTIFS($A$10:$A$89,$C408)&lt;&gt;1,"brak danych",IF(COUNTIFS($A$10:$A$89,$C408,$H$10:$H$89,"&lt;&gt;")=0,"brak danych",VLOOKUP($C408,$A$10:$J$89,8,FALSE)*$E408))))))</x:f>
      </x:c>
      <x:c r="J408" s="25" t="str">
        <x:f>IF($A408="","",IF(AND($C408="",$E408=""),"",IF($E408="","brak danych",IF($E408=0,0,IF(COUNTIFS($A$10:$A$89,$C408)&lt;&gt;1,"brak danych",IF(COUNTIFS($A$10:$A$89,$C408,$I$10:$I$89,"&lt;&gt;")=0,"brak danych",VLOOKUP($C408,$A$10:$J$89,9,FALSE)*$E408))))))</x:f>
      </x:c>
      <x:c r="K408" s="25" t="str">
        <x:f>IF($A408="","",IF(AND($C408="",$E408=""),"",IF($E408="","brak danych",IF($E408=0,0,IF(COUNTIFS($A$10:$A$89,$C408)&lt;&gt;1,"brak danych",IF(COUNTIFS($A$10:$A$89,$C408,$J$10:$J$89,"&lt;&gt;")=0,"brak danych",VLOOKUP($C408,$A$10:$J$89,10,FALSE)*$E408))))))</x:f>
      </x:c>
      <x:c r="L408" s="24" t="str">
        <x:f>IF($A408="","",IF($F408="","",IF($F408=0,0,IF(COUNTIFS($A$10:$A$89,$C408)&lt;&gt;1,"brak danych",IF(COUNTIFS($A$10:$A$89,$C408,$F$10:$F$89,"&lt;&gt;")=0,"brak danych",VLOOKUP($C408,$A$10:$J$89,6,FALSE)*$F408)))))</x:f>
      </x:c>
      <x:c r="M408" s="25" t="str">
        <x:f>IF($A408="","",IF($F408="","",IF($F408=0,0,IF(COUNTIFS($A$10:$A$89,$C408)&lt;&gt;1,"brak danych",IF(COUNTIFS($A$10:$A$89,$C408,$G$10:$G$89,"&lt;&gt;")=0,"brak danych",VLOOKUP($C408,$A$10:$J$89,7,FALSE)*$F408)))))</x:f>
      </x:c>
      <x:c r="N408" s="25" t="str">
        <x:f>IF($A408="","",IF($F408="","",IF($F408=0,0,IF(COUNTIFS($A$10:$A$89,$C408)&lt;&gt;1,"brak danych",IF(COUNTIFS($A$10:$A$89,$C408,$H$10:$H$89,"&lt;&gt;")=0,"brak danych",VLOOKUP($C408,$A$10:$J$89,8,FALSE)*$F408)))))</x:f>
      </x:c>
      <x:c r="O408" s="25" t="str">
        <x:f>IF($A408="","",IF($F408="","",IF($F408=0,0,IF(COUNTIFS($A$10:$A$89,$C408)&lt;&gt;1,"brak danych",IF(COUNTIFS($A$10:$A$89,$C408,$I$10:$I$89,"&lt;&gt;")=0,"brak danych",VLOOKUP($C408,$A$10:$J$89,9,FALSE)*$F408)))))</x:f>
      </x:c>
      <x:c r="P408" s="25" t="str">
        <x:f>IF($A408="","",IF($F408="","",IF($F408=0,0,IF(COUNTIFS($A$10:$A$89,$C408)&lt;&gt;1,"brak danych",IF(COUNTIFS($A$10:$A$89,$C408,$J$10:$J$89,"&lt;&gt;")=0,"brak danych",VLOOKUP($C408,$A$10:$J$89,10,FALSE)*$F408)))))</x:f>
      </x:c>
      <x:c r="Q408" s="18"/>
    </x:row>
    <x:row r="409" ht="25" customHeight="1">
      <x:c r="A409" s="6"/>
      <x:c r="B409" s="30"/>
      <x:c r="C409" s="5"/>
      <x:c r="D409" s="5"/>
      <x:c r="E409" s="32"/>
      <x:c r="F409" s="32"/>
      <x:c r="G409" s="24" t="str">
        <x:f>IF($A409="","",IF(AND($C409="",$E409=""),"",IF($E409="","brak danych",IF($E409=0,0,IF(COUNTIFS($A$10:$A$89,$C409)&lt;&gt;1,"brak danych",IF(COUNTIFS($A$10:$A$89,$C409,$F$10:$F$89,"&lt;&gt;")=0,"brak danych",VLOOKUP($C409,$A$10:$J$89,6,FALSE)*$E409))))))</x:f>
      </x:c>
      <x:c r="H409" s="25" t="str">
        <x:f>IF($A409="","",IF(AND($C409="",$E409=""),"",IF($E409="","brak danych",IF($E409=0,0,IF(COUNTIFS($A$10:$A$89,$C409)&lt;&gt;1,"brak danych",IF(COUNTIFS($A$10:$A$89,$C409,$G$10:$G$89,"&lt;&gt;")=0,"brak danych",VLOOKUP($C409,$A$10:$J$89,7,FALSE)*$E409))))))</x:f>
      </x:c>
      <x:c r="I409" s="25" t="str">
        <x:f>IF($A409="","",IF(AND($C409="",$E409=""),"",IF($E409="","brak danych",IF($E409=0,0,IF(COUNTIFS($A$10:$A$89,$C409)&lt;&gt;1,"brak danych",IF(COUNTIFS($A$10:$A$89,$C409,$H$10:$H$89,"&lt;&gt;")=0,"brak danych",VLOOKUP($C409,$A$10:$J$89,8,FALSE)*$E409))))))</x:f>
      </x:c>
      <x:c r="J409" s="25" t="str">
        <x:f>IF($A409="","",IF(AND($C409="",$E409=""),"",IF($E409="","brak danych",IF($E409=0,0,IF(COUNTIFS($A$10:$A$89,$C409)&lt;&gt;1,"brak danych",IF(COUNTIFS($A$10:$A$89,$C409,$I$10:$I$89,"&lt;&gt;")=0,"brak danych",VLOOKUP($C409,$A$10:$J$89,9,FALSE)*$E409))))))</x:f>
      </x:c>
      <x:c r="K409" s="25" t="str">
        <x:f>IF($A409="","",IF(AND($C409="",$E409=""),"",IF($E409="","brak danych",IF($E409=0,0,IF(COUNTIFS($A$10:$A$89,$C409)&lt;&gt;1,"brak danych",IF(COUNTIFS($A$10:$A$89,$C409,$J$10:$J$89,"&lt;&gt;")=0,"brak danych",VLOOKUP($C409,$A$10:$J$89,10,FALSE)*$E409))))))</x:f>
      </x:c>
      <x:c r="L409" s="24" t="str">
        <x:f>IF($A409="","",IF($F409="","",IF($F409=0,0,IF(COUNTIFS($A$10:$A$89,$C409)&lt;&gt;1,"brak danych",IF(COUNTIFS($A$10:$A$89,$C409,$F$10:$F$89,"&lt;&gt;")=0,"brak danych",VLOOKUP($C409,$A$10:$J$89,6,FALSE)*$F409)))))</x:f>
      </x:c>
      <x:c r="M409" s="25" t="str">
        <x:f>IF($A409="","",IF($F409="","",IF($F409=0,0,IF(COUNTIFS($A$10:$A$89,$C409)&lt;&gt;1,"brak danych",IF(COUNTIFS($A$10:$A$89,$C409,$G$10:$G$89,"&lt;&gt;")=0,"brak danych",VLOOKUP($C409,$A$10:$J$89,7,FALSE)*$F409)))))</x:f>
      </x:c>
      <x:c r="N409" s="25" t="str">
        <x:f>IF($A409="","",IF($F409="","",IF($F409=0,0,IF(COUNTIFS($A$10:$A$89,$C409)&lt;&gt;1,"brak danych",IF(COUNTIFS($A$10:$A$89,$C409,$H$10:$H$89,"&lt;&gt;")=0,"brak danych",VLOOKUP($C409,$A$10:$J$89,8,FALSE)*$F409)))))</x:f>
      </x:c>
      <x:c r="O409" s="25" t="str">
        <x:f>IF($A409="","",IF($F409="","",IF($F409=0,0,IF(COUNTIFS($A$10:$A$89,$C409)&lt;&gt;1,"brak danych",IF(COUNTIFS($A$10:$A$89,$C409,$I$10:$I$89,"&lt;&gt;")=0,"brak danych",VLOOKUP($C409,$A$10:$J$89,9,FALSE)*$F409)))))</x:f>
      </x:c>
      <x:c r="P409" s="25" t="str">
        <x:f>IF($A409="","",IF($F409="","",IF($F409=0,0,IF(COUNTIFS($A$10:$A$89,$C409)&lt;&gt;1,"brak danych",IF(COUNTIFS($A$10:$A$89,$C409,$J$10:$J$89,"&lt;&gt;")=0,"brak danych",VLOOKUP($C409,$A$10:$J$89,10,FALSE)*$F409)))))</x:f>
      </x:c>
      <x:c r="Q409" s="18"/>
    </x:row>
    <x:row r="410" ht="25" customHeight="1">
      <x:c r="A410" s="6"/>
      <x:c r="B410" s="30"/>
      <x:c r="C410" s="5"/>
      <x:c r="D410" s="5"/>
      <x:c r="E410" s="32"/>
      <x:c r="F410" s="32"/>
      <x:c r="G410" s="24" t="str">
        <x:f>IF($A410="","",IF(AND($C410="",$E410=""),"",IF($E410="","brak danych",IF($E410=0,0,IF(COUNTIFS($A$10:$A$89,$C410)&lt;&gt;1,"brak danych",IF(COUNTIFS($A$10:$A$89,$C410,$F$10:$F$89,"&lt;&gt;")=0,"brak danych",VLOOKUP($C410,$A$10:$J$89,6,FALSE)*$E410))))))</x:f>
      </x:c>
      <x:c r="H410" s="25" t="str">
        <x:f>IF($A410="","",IF(AND($C410="",$E410=""),"",IF($E410="","brak danych",IF($E410=0,0,IF(COUNTIFS($A$10:$A$89,$C410)&lt;&gt;1,"brak danych",IF(COUNTIFS($A$10:$A$89,$C410,$G$10:$G$89,"&lt;&gt;")=0,"brak danych",VLOOKUP($C410,$A$10:$J$89,7,FALSE)*$E410))))))</x:f>
      </x:c>
      <x:c r="I410" s="25" t="str">
        <x:f>IF($A410="","",IF(AND($C410="",$E410=""),"",IF($E410="","brak danych",IF($E410=0,0,IF(COUNTIFS($A$10:$A$89,$C410)&lt;&gt;1,"brak danych",IF(COUNTIFS($A$10:$A$89,$C410,$H$10:$H$89,"&lt;&gt;")=0,"brak danych",VLOOKUP($C410,$A$10:$J$89,8,FALSE)*$E410))))))</x:f>
      </x:c>
      <x:c r="J410" s="25" t="str">
        <x:f>IF($A410="","",IF(AND($C410="",$E410=""),"",IF($E410="","brak danych",IF($E410=0,0,IF(COUNTIFS($A$10:$A$89,$C410)&lt;&gt;1,"brak danych",IF(COUNTIFS($A$10:$A$89,$C410,$I$10:$I$89,"&lt;&gt;")=0,"brak danych",VLOOKUP($C410,$A$10:$J$89,9,FALSE)*$E410))))))</x:f>
      </x:c>
      <x:c r="K410" s="25" t="str">
        <x:f>IF($A410="","",IF(AND($C410="",$E410=""),"",IF($E410="","brak danych",IF($E410=0,0,IF(COUNTIFS($A$10:$A$89,$C410)&lt;&gt;1,"brak danych",IF(COUNTIFS($A$10:$A$89,$C410,$J$10:$J$89,"&lt;&gt;")=0,"brak danych",VLOOKUP($C410,$A$10:$J$89,10,FALSE)*$E410))))))</x:f>
      </x:c>
      <x:c r="L410" s="24" t="str">
        <x:f>IF($A410="","",IF($F410="","",IF($F410=0,0,IF(COUNTIFS($A$10:$A$89,$C410)&lt;&gt;1,"brak danych",IF(COUNTIFS($A$10:$A$89,$C410,$F$10:$F$89,"&lt;&gt;")=0,"brak danych",VLOOKUP($C410,$A$10:$J$89,6,FALSE)*$F410)))))</x:f>
      </x:c>
      <x:c r="M410" s="25" t="str">
        <x:f>IF($A410="","",IF($F410="","",IF($F410=0,0,IF(COUNTIFS($A$10:$A$89,$C410)&lt;&gt;1,"brak danych",IF(COUNTIFS($A$10:$A$89,$C410,$G$10:$G$89,"&lt;&gt;")=0,"brak danych",VLOOKUP($C410,$A$10:$J$89,7,FALSE)*$F410)))))</x:f>
      </x:c>
      <x:c r="N410" s="25" t="str">
        <x:f>IF($A410="","",IF($F410="","",IF($F410=0,0,IF(COUNTIFS($A$10:$A$89,$C410)&lt;&gt;1,"brak danych",IF(COUNTIFS($A$10:$A$89,$C410,$H$10:$H$89,"&lt;&gt;")=0,"brak danych",VLOOKUP($C410,$A$10:$J$89,8,FALSE)*$F410)))))</x:f>
      </x:c>
      <x:c r="O410" s="25" t="str">
        <x:f>IF($A410="","",IF($F410="","",IF($F410=0,0,IF(COUNTIFS($A$10:$A$89,$C410)&lt;&gt;1,"brak danych",IF(COUNTIFS($A$10:$A$89,$C410,$I$10:$I$89,"&lt;&gt;")=0,"brak danych",VLOOKUP($C410,$A$10:$J$89,9,FALSE)*$F410)))))</x:f>
      </x:c>
      <x:c r="P410" s="25" t="str">
        <x:f>IF($A410="","",IF($F410="","",IF($F410=0,0,IF(COUNTIFS($A$10:$A$89,$C410)&lt;&gt;1,"brak danych",IF(COUNTIFS($A$10:$A$89,$C410,$J$10:$J$89,"&lt;&gt;")=0,"brak danych",VLOOKUP($C410,$A$10:$J$89,10,FALSE)*$F410)))))</x:f>
      </x:c>
      <x:c r="Q410" s="18"/>
    </x:row>
    <x:row r="411" ht="25" customHeight="1">
      <x:c r="A411" s="6"/>
      <x:c r="B411" s="30"/>
      <x:c r="C411" s="5"/>
      <x:c r="D411" s="5"/>
      <x:c r="E411" s="32"/>
      <x:c r="F411" s="32"/>
      <x:c r="G411" s="24" t="str">
        <x:f>IF($A411="","",IF(AND($C411="",$E411=""),"",IF($E411="","brak danych",IF($E411=0,0,IF(COUNTIFS($A$10:$A$89,$C411)&lt;&gt;1,"brak danych",IF(COUNTIFS($A$10:$A$89,$C411,$F$10:$F$89,"&lt;&gt;")=0,"brak danych",VLOOKUP($C411,$A$10:$J$89,6,FALSE)*$E411))))))</x:f>
      </x:c>
      <x:c r="H411" s="25" t="str">
        <x:f>IF($A411="","",IF(AND($C411="",$E411=""),"",IF($E411="","brak danych",IF($E411=0,0,IF(COUNTIFS($A$10:$A$89,$C411)&lt;&gt;1,"brak danych",IF(COUNTIFS($A$10:$A$89,$C411,$G$10:$G$89,"&lt;&gt;")=0,"brak danych",VLOOKUP($C411,$A$10:$J$89,7,FALSE)*$E411))))))</x:f>
      </x:c>
      <x:c r="I411" s="25" t="str">
        <x:f>IF($A411="","",IF(AND($C411="",$E411=""),"",IF($E411="","brak danych",IF($E411=0,0,IF(COUNTIFS($A$10:$A$89,$C411)&lt;&gt;1,"brak danych",IF(COUNTIFS($A$10:$A$89,$C411,$H$10:$H$89,"&lt;&gt;")=0,"brak danych",VLOOKUP($C411,$A$10:$J$89,8,FALSE)*$E411))))))</x:f>
      </x:c>
      <x:c r="J411" s="25" t="str">
        <x:f>IF($A411="","",IF(AND($C411="",$E411=""),"",IF($E411="","brak danych",IF($E411=0,0,IF(COUNTIFS($A$10:$A$89,$C411)&lt;&gt;1,"brak danych",IF(COUNTIFS($A$10:$A$89,$C411,$I$10:$I$89,"&lt;&gt;")=0,"brak danych",VLOOKUP($C411,$A$10:$J$89,9,FALSE)*$E411))))))</x:f>
      </x:c>
      <x:c r="K411" s="25" t="str">
        <x:f>IF($A411="","",IF(AND($C411="",$E411=""),"",IF($E411="","brak danych",IF($E411=0,0,IF(COUNTIFS($A$10:$A$89,$C411)&lt;&gt;1,"brak danych",IF(COUNTIFS($A$10:$A$89,$C411,$J$10:$J$89,"&lt;&gt;")=0,"brak danych",VLOOKUP($C411,$A$10:$J$89,10,FALSE)*$E411))))))</x:f>
      </x:c>
      <x:c r="L411" s="24" t="str">
        <x:f>IF($A411="","",IF($F411="","",IF($F411=0,0,IF(COUNTIFS($A$10:$A$89,$C411)&lt;&gt;1,"brak danych",IF(COUNTIFS($A$10:$A$89,$C411,$F$10:$F$89,"&lt;&gt;")=0,"brak danych",VLOOKUP($C411,$A$10:$J$89,6,FALSE)*$F411)))))</x:f>
      </x:c>
      <x:c r="M411" s="25" t="str">
        <x:f>IF($A411="","",IF($F411="","",IF($F411=0,0,IF(COUNTIFS($A$10:$A$89,$C411)&lt;&gt;1,"brak danych",IF(COUNTIFS($A$10:$A$89,$C411,$G$10:$G$89,"&lt;&gt;")=0,"brak danych",VLOOKUP($C411,$A$10:$J$89,7,FALSE)*$F411)))))</x:f>
      </x:c>
      <x:c r="N411" s="25" t="str">
        <x:f>IF($A411="","",IF($F411="","",IF($F411=0,0,IF(COUNTIFS($A$10:$A$89,$C411)&lt;&gt;1,"brak danych",IF(COUNTIFS($A$10:$A$89,$C411,$H$10:$H$89,"&lt;&gt;")=0,"brak danych",VLOOKUP($C411,$A$10:$J$89,8,FALSE)*$F411)))))</x:f>
      </x:c>
      <x:c r="O411" s="25" t="str">
        <x:f>IF($A411="","",IF($F411="","",IF($F411=0,0,IF(COUNTIFS($A$10:$A$89,$C411)&lt;&gt;1,"brak danych",IF(COUNTIFS($A$10:$A$89,$C411,$I$10:$I$89,"&lt;&gt;")=0,"brak danych",VLOOKUP($C411,$A$10:$J$89,9,FALSE)*$F411)))))</x:f>
      </x:c>
      <x:c r="P411" s="25" t="str">
        <x:f>IF($A411="","",IF($F411="","",IF($F411=0,0,IF(COUNTIFS($A$10:$A$89,$C411)&lt;&gt;1,"brak danych",IF(COUNTIFS($A$10:$A$89,$C411,$J$10:$J$89,"&lt;&gt;")=0,"brak danych",VLOOKUP($C411,$A$10:$J$89,10,FALSE)*$F411)))))</x:f>
      </x:c>
      <x:c r="Q411" s="18"/>
    </x:row>
    <x:row r="412" ht="25" customHeight="1">
      <x:c r="A412" s="6"/>
      <x:c r="B412" s="30"/>
      <x:c r="C412" s="5"/>
      <x:c r="D412" s="5"/>
      <x:c r="E412" s="32"/>
      <x:c r="F412" s="32"/>
      <x:c r="G412" s="24" t="str">
        <x:f>IF($A412="","",IF(AND($C412="",$E412=""),"",IF($E412="","brak danych",IF($E412=0,0,IF(COUNTIFS($A$10:$A$89,$C412)&lt;&gt;1,"brak danych",IF(COUNTIFS($A$10:$A$89,$C412,$F$10:$F$89,"&lt;&gt;")=0,"brak danych",VLOOKUP($C412,$A$10:$J$89,6,FALSE)*$E412))))))</x:f>
      </x:c>
      <x:c r="H412" s="25" t="str">
        <x:f>IF($A412="","",IF(AND($C412="",$E412=""),"",IF($E412="","brak danych",IF($E412=0,0,IF(COUNTIFS($A$10:$A$89,$C412)&lt;&gt;1,"brak danych",IF(COUNTIFS($A$10:$A$89,$C412,$G$10:$G$89,"&lt;&gt;")=0,"brak danych",VLOOKUP($C412,$A$10:$J$89,7,FALSE)*$E412))))))</x:f>
      </x:c>
      <x:c r="I412" s="25" t="str">
        <x:f>IF($A412="","",IF(AND($C412="",$E412=""),"",IF($E412="","brak danych",IF($E412=0,0,IF(COUNTIFS($A$10:$A$89,$C412)&lt;&gt;1,"brak danych",IF(COUNTIFS($A$10:$A$89,$C412,$H$10:$H$89,"&lt;&gt;")=0,"brak danych",VLOOKUP($C412,$A$10:$J$89,8,FALSE)*$E412))))))</x:f>
      </x:c>
      <x:c r="J412" s="25" t="str">
        <x:f>IF($A412="","",IF(AND($C412="",$E412=""),"",IF($E412="","brak danych",IF($E412=0,0,IF(COUNTIFS($A$10:$A$89,$C412)&lt;&gt;1,"brak danych",IF(COUNTIFS($A$10:$A$89,$C412,$I$10:$I$89,"&lt;&gt;")=0,"brak danych",VLOOKUP($C412,$A$10:$J$89,9,FALSE)*$E412))))))</x:f>
      </x:c>
      <x:c r="K412" s="25" t="str">
        <x:f>IF($A412="","",IF(AND($C412="",$E412=""),"",IF($E412="","brak danych",IF($E412=0,0,IF(COUNTIFS($A$10:$A$89,$C412)&lt;&gt;1,"brak danych",IF(COUNTIFS($A$10:$A$89,$C412,$J$10:$J$89,"&lt;&gt;")=0,"brak danych",VLOOKUP($C412,$A$10:$J$89,10,FALSE)*$E412))))))</x:f>
      </x:c>
      <x:c r="L412" s="24" t="str">
        <x:f>IF($A412="","",IF($F412="","",IF($F412=0,0,IF(COUNTIFS($A$10:$A$89,$C412)&lt;&gt;1,"brak danych",IF(COUNTIFS($A$10:$A$89,$C412,$F$10:$F$89,"&lt;&gt;")=0,"brak danych",VLOOKUP($C412,$A$10:$J$89,6,FALSE)*$F412)))))</x:f>
      </x:c>
      <x:c r="M412" s="25" t="str">
        <x:f>IF($A412="","",IF($F412="","",IF($F412=0,0,IF(COUNTIFS($A$10:$A$89,$C412)&lt;&gt;1,"brak danych",IF(COUNTIFS($A$10:$A$89,$C412,$G$10:$G$89,"&lt;&gt;")=0,"brak danych",VLOOKUP($C412,$A$10:$J$89,7,FALSE)*$F412)))))</x:f>
      </x:c>
      <x:c r="N412" s="25" t="str">
        <x:f>IF($A412="","",IF($F412="","",IF($F412=0,0,IF(COUNTIFS($A$10:$A$89,$C412)&lt;&gt;1,"brak danych",IF(COUNTIFS($A$10:$A$89,$C412,$H$10:$H$89,"&lt;&gt;")=0,"brak danych",VLOOKUP($C412,$A$10:$J$89,8,FALSE)*$F412)))))</x:f>
      </x:c>
      <x:c r="O412" s="25" t="str">
        <x:f>IF($A412="","",IF($F412="","",IF($F412=0,0,IF(COUNTIFS($A$10:$A$89,$C412)&lt;&gt;1,"brak danych",IF(COUNTIFS($A$10:$A$89,$C412,$I$10:$I$89,"&lt;&gt;")=0,"brak danych",VLOOKUP($C412,$A$10:$J$89,9,FALSE)*$F412)))))</x:f>
      </x:c>
      <x:c r="P412" s="25" t="str">
        <x:f>IF($A412="","",IF($F412="","",IF($F412=0,0,IF(COUNTIFS($A$10:$A$89,$C412)&lt;&gt;1,"brak danych",IF(COUNTIFS($A$10:$A$89,$C412,$J$10:$J$89,"&lt;&gt;")=0,"brak danych",VLOOKUP($C412,$A$10:$J$89,10,FALSE)*$F412)))))</x:f>
      </x:c>
      <x:c r="Q412" s="18"/>
    </x:row>
    <x:row r="413" ht="25" customHeight="1">
      <x:c r="A413" s="6"/>
      <x:c r="B413" s="30"/>
      <x:c r="C413" s="5"/>
      <x:c r="D413" s="5"/>
      <x:c r="E413" s="32"/>
      <x:c r="F413" s="32"/>
      <x:c r="G413" s="24" t="str">
        <x:f>IF($A413="","",IF(AND($C413="",$E413=""),"",IF($E413="","brak danych",IF($E413=0,0,IF(COUNTIFS($A$10:$A$89,$C413)&lt;&gt;1,"brak danych",IF(COUNTIFS($A$10:$A$89,$C413,$F$10:$F$89,"&lt;&gt;")=0,"brak danych",VLOOKUP($C413,$A$10:$J$89,6,FALSE)*$E413))))))</x:f>
      </x:c>
      <x:c r="H413" s="25" t="str">
        <x:f>IF($A413="","",IF(AND($C413="",$E413=""),"",IF($E413="","brak danych",IF($E413=0,0,IF(COUNTIFS($A$10:$A$89,$C413)&lt;&gt;1,"brak danych",IF(COUNTIFS($A$10:$A$89,$C413,$G$10:$G$89,"&lt;&gt;")=0,"brak danych",VLOOKUP($C413,$A$10:$J$89,7,FALSE)*$E413))))))</x:f>
      </x:c>
      <x:c r="I413" s="25" t="str">
        <x:f>IF($A413="","",IF(AND($C413="",$E413=""),"",IF($E413="","brak danych",IF($E413=0,0,IF(COUNTIFS($A$10:$A$89,$C413)&lt;&gt;1,"brak danych",IF(COUNTIFS($A$10:$A$89,$C413,$H$10:$H$89,"&lt;&gt;")=0,"brak danych",VLOOKUP($C413,$A$10:$J$89,8,FALSE)*$E413))))))</x:f>
      </x:c>
      <x:c r="J413" s="25" t="str">
        <x:f>IF($A413="","",IF(AND($C413="",$E413=""),"",IF($E413="","brak danych",IF($E413=0,0,IF(COUNTIFS($A$10:$A$89,$C413)&lt;&gt;1,"brak danych",IF(COUNTIFS($A$10:$A$89,$C413,$I$10:$I$89,"&lt;&gt;")=0,"brak danych",VLOOKUP($C413,$A$10:$J$89,9,FALSE)*$E413))))))</x:f>
      </x:c>
      <x:c r="K413" s="25" t="str">
        <x:f>IF($A413="","",IF(AND($C413="",$E413=""),"",IF($E413="","brak danych",IF($E413=0,0,IF(COUNTIFS($A$10:$A$89,$C413)&lt;&gt;1,"brak danych",IF(COUNTIFS($A$10:$A$89,$C413,$J$10:$J$89,"&lt;&gt;")=0,"brak danych",VLOOKUP($C413,$A$10:$J$89,10,FALSE)*$E413))))))</x:f>
      </x:c>
      <x:c r="L413" s="24" t="str">
        <x:f>IF($A413="","",IF($F413="","",IF($F413=0,0,IF(COUNTIFS($A$10:$A$89,$C413)&lt;&gt;1,"brak danych",IF(COUNTIFS($A$10:$A$89,$C413,$F$10:$F$89,"&lt;&gt;")=0,"brak danych",VLOOKUP($C413,$A$10:$J$89,6,FALSE)*$F413)))))</x:f>
      </x:c>
      <x:c r="M413" s="25" t="str">
        <x:f>IF($A413="","",IF($F413="","",IF($F413=0,0,IF(COUNTIFS($A$10:$A$89,$C413)&lt;&gt;1,"brak danych",IF(COUNTIFS($A$10:$A$89,$C413,$G$10:$G$89,"&lt;&gt;")=0,"brak danych",VLOOKUP($C413,$A$10:$J$89,7,FALSE)*$F413)))))</x:f>
      </x:c>
      <x:c r="N413" s="25" t="str">
        <x:f>IF($A413="","",IF($F413="","",IF($F413=0,0,IF(COUNTIFS($A$10:$A$89,$C413)&lt;&gt;1,"brak danych",IF(COUNTIFS($A$10:$A$89,$C413,$H$10:$H$89,"&lt;&gt;")=0,"brak danych",VLOOKUP($C413,$A$10:$J$89,8,FALSE)*$F413)))))</x:f>
      </x:c>
      <x:c r="O413" s="25" t="str">
        <x:f>IF($A413="","",IF($F413="","",IF($F413=0,0,IF(COUNTIFS($A$10:$A$89,$C413)&lt;&gt;1,"brak danych",IF(COUNTIFS($A$10:$A$89,$C413,$I$10:$I$89,"&lt;&gt;")=0,"brak danych",VLOOKUP($C413,$A$10:$J$89,9,FALSE)*$F413)))))</x:f>
      </x:c>
      <x:c r="P413" s="25" t="str">
        <x:f>IF($A413="","",IF($F413="","",IF($F413=0,0,IF(COUNTIFS($A$10:$A$89,$C413)&lt;&gt;1,"brak danych",IF(COUNTIFS($A$10:$A$89,$C413,$J$10:$J$89,"&lt;&gt;")=0,"brak danych",VLOOKUP($C413,$A$10:$J$89,10,FALSE)*$F413)))))</x:f>
      </x:c>
      <x:c r="Q413" s="18"/>
    </x:row>
    <x:row r="414" ht="25" customHeight="1">
      <x:c r="A414" s="6"/>
      <x:c r="B414" s="30"/>
      <x:c r="C414" s="5"/>
      <x:c r="D414" s="5"/>
      <x:c r="E414" s="32"/>
      <x:c r="F414" s="32"/>
      <x:c r="G414" s="24" t="str">
        <x:f>IF($A414="","",IF(AND($C414="",$E414=""),"",IF($E414="","brak danych",IF($E414=0,0,IF(COUNTIFS($A$10:$A$89,$C414)&lt;&gt;1,"brak danych",IF(COUNTIFS($A$10:$A$89,$C414,$F$10:$F$89,"&lt;&gt;")=0,"brak danych",VLOOKUP($C414,$A$10:$J$89,6,FALSE)*$E414))))))</x:f>
      </x:c>
      <x:c r="H414" s="25" t="str">
        <x:f>IF($A414="","",IF(AND($C414="",$E414=""),"",IF($E414="","brak danych",IF($E414=0,0,IF(COUNTIFS($A$10:$A$89,$C414)&lt;&gt;1,"brak danych",IF(COUNTIFS($A$10:$A$89,$C414,$G$10:$G$89,"&lt;&gt;")=0,"brak danych",VLOOKUP($C414,$A$10:$J$89,7,FALSE)*$E414))))))</x:f>
      </x:c>
      <x:c r="I414" s="25" t="str">
        <x:f>IF($A414="","",IF(AND($C414="",$E414=""),"",IF($E414="","brak danych",IF($E414=0,0,IF(COUNTIFS($A$10:$A$89,$C414)&lt;&gt;1,"brak danych",IF(COUNTIFS($A$10:$A$89,$C414,$H$10:$H$89,"&lt;&gt;")=0,"brak danych",VLOOKUP($C414,$A$10:$J$89,8,FALSE)*$E414))))))</x:f>
      </x:c>
      <x:c r="J414" s="25" t="str">
        <x:f>IF($A414="","",IF(AND($C414="",$E414=""),"",IF($E414="","brak danych",IF($E414=0,0,IF(COUNTIFS($A$10:$A$89,$C414)&lt;&gt;1,"brak danych",IF(COUNTIFS($A$10:$A$89,$C414,$I$10:$I$89,"&lt;&gt;")=0,"brak danych",VLOOKUP($C414,$A$10:$J$89,9,FALSE)*$E414))))))</x:f>
      </x:c>
      <x:c r="K414" s="25" t="str">
        <x:f>IF($A414="","",IF(AND($C414="",$E414=""),"",IF($E414="","brak danych",IF($E414=0,0,IF(COUNTIFS($A$10:$A$89,$C414)&lt;&gt;1,"brak danych",IF(COUNTIFS($A$10:$A$89,$C414,$J$10:$J$89,"&lt;&gt;")=0,"brak danych",VLOOKUP($C414,$A$10:$J$89,10,FALSE)*$E414))))))</x:f>
      </x:c>
      <x:c r="L414" s="24" t="str">
        <x:f>IF($A414="","",IF($F414="","",IF($F414=0,0,IF(COUNTIFS($A$10:$A$89,$C414)&lt;&gt;1,"brak danych",IF(COUNTIFS($A$10:$A$89,$C414,$F$10:$F$89,"&lt;&gt;")=0,"brak danych",VLOOKUP($C414,$A$10:$J$89,6,FALSE)*$F414)))))</x:f>
      </x:c>
      <x:c r="M414" s="25" t="str">
        <x:f>IF($A414="","",IF($F414="","",IF($F414=0,0,IF(COUNTIFS($A$10:$A$89,$C414)&lt;&gt;1,"brak danych",IF(COUNTIFS($A$10:$A$89,$C414,$G$10:$G$89,"&lt;&gt;")=0,"brak danych",VLOOKUP($C414,$A$10:$J$89,7,FALSE)*$F414)))))</x:f>
      </x:c>
      <x:c r="N414" s="25" t="str">
        <x:f>IF($A414="","",IF($F414="","",IF($F414=0,0,IF(COUNTIFS($A$10:$A$89,$C414)&lt;&gt;1,"brak danych",IF(COUNTIFS($A$10:$A$89,$C414,$H$10:$H$89,"&lt;&gt;")=0,"brak danych",VLOOKUP($C414,$A$10:$J$89,8,FALSE)*$F414)))))</x:f>
      </x:c>
      <x:c r="O414" s="25" t="str">
        <x:f>IF($A414="","",IF($F414="","",IF($F414=0,0,IF(COUNTIFS($A$10:$A$89,$C414)&lt;&gt;1,"brak danych",IF(COUNTIFS($A$10:$A$89,$C414,$I$10:$I$89,"&lt;&gt;")=0,"brak danych",VLOOKUP($C414,$A$10:$J$89,9,FALSE)*$F414)))))</x:f>
      </x:c>
      <x:c r="P414" s="25" t="str">
        <x:f>IF($A414="","",IF($F414="","",IF($F414=0,0,IF(COUNTIFS($A$10:$A$89,$C414)&lt;&gt;1,"brak danych",IF(COUNTIFS($A$10:$A$89,$C414,$J$10:$J$89,"&lt;&gt;")=0,"brak danych",VLOOKUP($C414,$A$10:$J$89,10,FALSE)*$F414)))))</x:f>
      </x:c>
      <x:c r="Q414" s="18"/>
    </x:row>
    <x:row r="415" ht="25" customHeight="1">
      <x:c r="A415" s="6"/>
      <x:c r="B415" s="30"/>
      <x:c r="C415" s="5"/>
      <x:c r="D415" s="5"/>
      <x:c r="E415" s="32"/>
      <x:c r="F415" s="32"/>
      <x:c r="G415" s="24" t="str">
        <x:f>IF($A415="","",IF(AND($C415="",$E415=""),"",IF($E415="","brak danych",IF($E415=0,0,IF(COUNTIFS($A$10:$A$89,$C415)&lt;&gt;1,"brak danych",IF(COUNTIFS($A$10:$A$89,$C415,$F$10:$F$89,"&lt;&gt;")=0,"brak danych",VLOOKUP($C415,$A$10:$J$89,6,FALSE)*$E415))))))</x:f>
      </x:c>
      <x:c r="H415" s="25" t="str">
        <x:f>IF($A415="","",IF(AND($C415="",$E415=""),"",IF($E415="","brak danych",IF($E415=0,0,IF(COUNTIFS($A$10:$A$89,$C415)&lt;&gt;1,"brak danych",IF(COUNTIFS($A$10:$A$89,$C415,$G$10:$G$89,"&lt;&gt;")=0,"brak danych",VLOOKUP($C415,$A$10:$J$89,7,FALSE)*$E415))))))</x:f>
      </x:c>
      <x:c r="I415" s="25" t="str">
        <x:f>IF($A415="","",IF(AND($C415="",$E415=""),"",IF($E415="","brak danych",IF($E415=0,0,IF(COUNTIFS($A$10:$A$89,$C415)&lt;&gt;1,"brak danych",IF(COUNTIFS($A$10:$A$89,$C415,$H$10:$H$89,"&lt;&gt;")=0,"brak danych",VLOOKUP($C415,$A$10:$J$89,8,FALSE)*$E415))))))</x:f>
      </x:c>
      <x:c r="J415" s="25" t="str">
        <x:f>IF($A415="","",IF(AND($C415="",$E415=""),"",IF($E415="","brak danych",IF($E415=0,0,IF(COUNTIFS($A$10:$A$89,$C415)&lt;&gt;1,"brak danych",IF(COUNTIFS($A$10:$A$89,$C415,$I$10:$I$89,"&lt;&gt;")=0,"brak danych",VLOOKUP($C415,$A$10:$J$89,9,FALSE)*$E415))))))</x:f>
      </x:c>
      <x:c r="K415" s="25" t="str">
        <x:f>IF($A415="","",IF(AND($C415="",$E415=""),"",IF($E415="","brak danych",IF($E415=0,0,IF(COUNTIFS($A$10:$A$89,$C415)&lt;&gt;1,"brak danych",IF(COUNTIFS($A$10:$A$89,$C415,$J$10:$J$89,"&lt;&gt;")=0,"brak danych",VLOOKUP($C415,$A$10:$J$89,10,FALSE)*$E415))))))</x:f>
      </x:c>
      <x:c r="L415" s="24" t="str">
        <x:f>IF($A415="","",IF($F415="","",IF($F415=0,0,IF(COUNTIFS($A$10:$A$89,$C415)&lt;&gt;1,"brak danych",IF(COUNTIFS($A$10:$A$89,$C415,$F$10:$F$89,"&lt;&gt;")=0,"brak danych",VLOOKUP($C415,$A$10:$J$89,6,FALSE)*$F415)))))</x:f>
      </x:c>
      <x:c r="M415" s="25" t="str">
        <x:f>IF($A415="","",IF($F415="","",IF($F415=0,0,IF(COUNTIFS($A$10:$A$89,$C415)&lt;&gt;1,"brak danych",IF(COUNTIFS($A$10:$A$89,$C415,$G$10:$G$89,"&lt;&gt;")=0,"brak danych",VLOOKUP($C415,$A$10:$J$89,7,FALSE)*$F415)))))</x:f>
      </x:c>
      <x:c r="N415" s="25" t="str">
        <x:f>IF($A415="","",IF($F415="","",IF($F415=0,0,IF(COUNTIFS($A$10:$A$89,$C415)&lt;&gt;1,"brak danych",IF(COUNTIFS($A$10:$A$89,$C415,$H$10:$H$89,"&lt;&gt;")=0,"brak danych",VLOOKUP($C415,$A$10:$J$89,8,FALSE)*$F415)))))</x:f>
      </x:c>
      <x:c r="O415" s="25" t="str">
        <x:f>IF($A415="","",IF($F415="","",IF($F415=0,0,IF(COUNTIFS($A$10:$A$89,$C415)&lt;&gt;1,"brak danych",IF(COUNTIFS($A$10:$A$89,$C415,$I$10:$I$89,"&lt;&gt;")=0,"brak danych",VLOOKUP($C415,$A$10:$J$89,9,FALSE)*$F415)))))</x:f>
      </x:c>
      <x:c r="P415" s="25" t="str">
        <x:f>IF($A415="","",IF($F415="","",IF($F415=0,0,IF(COUNTIFS($A$10:$A$89,$C415)&lt;&gt;1,"brak danych",IF(COUNTIFS($A$10:$A$89,$C415,$J$10:$J$89,"&lt;&gt;")=0,"brak danych",VLOOKUP($C415,$A$10:$J$89,10,FALSE)*$F415)))))</x:f>
      </x:c>
      <x:c r="Q415" s="18"/>
    </x:row>
    <x:row r="416" ht="25" customHeight="1">
      <x:c r="A416" s="6"/>
      <x:c r="B416" s="30"/>
      <x:c r="C416" s="5"/>
      <x:c r="D416" s="5"/>
      <x:c r="E416" s="32"/>
      <x:c r="F416" s="32"/>
      <x:c r="G416" s="24" t="str">
        <x:f>IF($A416="","",IF(AND($C416="",$E416=""),"",IF($E416="","brak danych",IF($E416=0,0,IF(COUNTIFS($A$10:$A$89,$C416)&lt;&gt;1,"brak danych",IF(COUNTIFS($A$10:$A$89,$C416,$F$10:$F$89,"&lt;&gt;")=0,"brak danych",VLOOKUP($C416,$A$10:$J$89,6,FALSE)*$E416))))))</x:f>
      </x:c>
      <x:c r="H416" s="25" t="str">
        <x:f>IF($A416="","",IF(AND($C416="",$E416=""),"",IF($E416="","brak danych",IF($E416=0,0,IF(COUNTIFS($A$10:$A$89,$C416)&lt;&gt;1,"brak danych",IF(COUNTIFS($A$10:$A$89,$C416,$G$10:$G$89,"&lt;&gt;")=0,"brak danych",VLOOKUP($C416,$A$10:$J$89,7,FALSE)*$E416))))))</x:f>
      </x:c>
      <x:c r="I416" s="25" t="str">
        <x:f>IF($A416="","",IF(AND($C416="",$E416=""),"",IF($E416="","brak danych",IF($E416=0,0,IF(COUNTIFS($A$10:$A$89,$C416)&lt;&gt;1,"brak danych",IF(COUNTIFS($A$10:$A$89,$C416,$H$10:$H$89,"&lt;&gt;")=0,"brak danych",VLOOKUP($C416,$A$10:$J$89,8,FALSE)*$E416))))))</x:f>
      </x:c>
      <x:c r="J416" s="25" t="str">
        <x:f>IF($A416="","",IF(AND($C416="",$E416=""),"",IF($E416="","brak danych",IF($E416=0,0,IF(COUNTIFS($A$10:$A$89,$C416)&lt;&gt;1,"brak danych",IF(COUNTIFS($A$10:$A$89,$C416,$I$10:$I$89,"&lt;&gt;")=0,"brak danych",VLOOKUP($C416,$A$10:$J$89,9,FALSE)*$E416))))))</x:f>
      </x:c>
      <x:c r="K416" s="25" t="str">
        <x:f>IF($A416="","",IF(AND($C416="",$E416=""),"",IF($E416="","brak danych",IF($E416=0,0,IF(COUNTIFS($A$10:$A$89,$C416)&lt;&gt;1,"brak danych",IF(COUNTIFS($A$10:$A$89,$C416,$J$10:$J$89,"&lt;&gt;")=0,"brak danych",VLOOKUP($C416,$A$10:$J$89,10,FALSE)*$E416))))))</x:f>
      </x:c>
      <x:c r="L416" s="24" t="str">
        <x:f>IF($A416="","",IF($F416="","",IF($F416=0,0,IF(COUNTIFS($A$10:$A$89,$C416)&lt;&gt;1,"brak danych",IF(COUNTIFS($A$10:$A$89,$C416,$F$10:$F$89,"&lt;&gt;")=0,"brak danych",VLOOKUP($C416,$A$10:$J$89,6,FALSE)*$F416)))))</x:f>
      </x:c>
      <x:c r="M416" s="25" t="str">
        <x:f>IF($A416="","",IF($F416="","",IF($F416=0,0,IF(COUNTIFS($A$10:$A$89,$C416)&lt;&gt;1,"brak danych",IF(COUNTIFS($A$10:$A$89,$C416,$G$10:$G$89,"&lt;&gt;")=0,"brak danych",VLOOKUP($C416,$A$10:$J$89,7,FALSE)*$F416)))))</x:f>
      </x:c>
      <x:c r="N416" s="25" t="str">
        <x:f>IF($A416="","",IF($F416="","",IF($F416=0,0,IF(COUNTIFS($A$10:$A$89,$C416)&lt;&gt;1,"brak danych",IF(COUNTIFS($A$10:$A$89,$C416,$H$10:$H$89,"&lt;&gt;")=0,"brak danych",VLOOKUP($C416,$A$10:$J$89,8,FALSE)*$F416)))))</x:f>
      </x:c>
      <x:c r="O416" s="25" t="str">
        <x:f>IF($A416="","",IF($F416="","",IF($F416=0,0,IF(COUNTIFS($A$10:$A$89,$C416)&lt;&gt;1,"brak danych",IF(COUNTIFS($A$10:$A$89,$C416,$I$10:$I$89,"&lt;&gt;")=0,"brak danych",VLOOKUP($C416,$A$10:$J$89,9,FALSE)*$F416)))))</x:f>
      </x:c>
      <x:c r="P416" s="25" t="str">
        <x:f>IF($A416="","",IF($F416="","",IF($F416=0,0,IF(COUNTIFS($A$10:$A$89,$C416)&lt;&gt;1,"brak danych",IF(COUNTIFS($A$10:$A$89,$C416,$J$10:$J$89,"&lt;&gt;")=0,"brak danych",VLOOKUP($C416,$A$10:$J$89,10,FALSE)*$F416)))))</x:f>
      </x:c>
      <x:c r="Q416" s="18"/>
    </x:row>
    <x:row r="417" ht="25" customHeight="1">
      <x:c r="A417" s="6"/>
      <x:c r="B417" s="30"/>
      <x:c r="C417" s="5"/>
      <x:c r="D417" s="5"/>
      <x:c r="E417" s="32"/>
      <x:c r="F417" s="32"/>
      <x:c r="G417" s="24" t="str">
        <x:f>IF($A417="","",IF(AND($C417="",$E417=""),"",IF($E417="","brak danych",IF($E417=0,0,IF(COUNTIFS($A$10:$A$89,$C417)&lt;&gt;1,"brak danych",IF(COUNTIFS($A$10:$A$89,$C417,$F$10:$F$89,"&lt;&gt;")=0,"brak danych",VLOOKUP($C417,$A$10:$J$89,6,FALSE)*$E417))))))</x:f>
      </x:c>
      <x:c r="H417" s="25" t="str">
        <x:f>IF($A417="","",IF(AND($C417="",$E417=""),"",IF($E417="","brak danych",IF($E417=0,0,IF(COUNTIFS($A$10:$A$89,$C417)&lt;&gt;1,"brak danych",IF(COUNTIFS($A$10:$A$89,$C417,$G$10:$G$89,"&lt;&gt;")=0,"brak danych",VLOOKUP($C417,$A$10:$J$89,7,FALSE)*$E417))))))</x:f>
      </x:c>
      <x:c r="I417" s="25" t="str">
        <x:f>IF($A417="","",IF(AND($C417="",$E417=""),"",IF($E417="","brak danych",IF($E417=0,0,IF(COUNTIFS($A$10:$A$89,$C417)&lt;&gt;1,"brak danych",IF(COUNTIFS($A$10:$A$89,$C417,$H$10:$H$89,"&lt;&gt;")=0,"brak danych",VLOOKUP($C417,$A$10:$J$89,8,FALSE)*$E417))))))</x:f>
      </x:c>
      <x:c r="J417" s="25" t="str">
        <x:f>IF($A417="","",IF(AND($C417="",$E417=""),"",IF($E417="","brak danych",IF($E417=0,0,IF(COUNTIFS($A$10:$A$89,$C417)&lt;&gt;1,"brak danych",IF(COUNTIFS($A$10:$A$89,$C417,$I$10:$I$89,"&lt;&gt;")=0,"brak danych",VLOOKUP($C417,$A$10:$J$89,9,FALSE)*$E417))))))</x:f>
      </x:c>
      <x:c r="K417" s="25" t="str">
        <x:f>IF($A417="","",IF(AND($C417="",$E417=""),"",IF($E417="","brak danych",IF($E417=0,0,IF(COUNTIFS($A$10:$A$89,$C417)&lt;&gt;1,"brak danych",IF(COUNTIFS($A$10:$A$89,$C417,$J$10:$J$89,"&lt;&gt;")=0,"brak danych",VLOOKUP($C417,$A$10:$J$89,10,FALSE)*$E417))))))</x:f>
      </x:c>
      <x:c r="L417" s="24" t="str">
        <x:f>IF($A417="","",IF($F417="","",IF($F417=0,0,IF(COUNTIFS($A$10:$A$89,$C417)&lt;&gt;1,"brak danych",IF(COUNTIFS($A$10:$A$89,$C417,$F$10:$F$89,"&lt;&gt;")=0,"brak danych",VLOOKUP($C417,$A$10:$J$89,6,FALSE)*$F417)))))</x:f>
      </x:c>
      <x:c r="M417" s="25" t="str">
        <x:f>IF($A417="","",IF($F417="","",IF($F417=0,0,IF(COUNTIFS($A$10:$A$89,$C417)&lt;&gt;1,"brak danych",IF(COUNTIFS($A$10:$A$89,$C417,$G$10:$G$89,"&lt;&gt;")=0,"brak danych",VLOOKUP($C417,$A$10:$J$89,7,FALSE)*$F417)))))</x:f>
      </x:c>
      <x:c r="N417" s="25" t="str">
        <x:f>IF($A417="","",IF($F417="","",IF($F417=0,0,IF(COUNTIFS($A$10:$A$89,$C417)&lt;&gt;1,"brak danych",IF(COUNTIFS($A$10:$A$89,$C417,$H$10:$H$89,"&lt;&gt;")=0,"brak danych",VLOOKUP($C417,$A$10:$J$89,8,FALSE)*$F417)))))</x:f>
      </x:c>
      <x:c r="O417" s="25" t="str">
        <x:f>IF($A417="","",IF($F417="","",IF($F417=0,0,IF(COUNTIFS($A$10:$A$89,$C417)&lt;&gt;1,"brak danych",IF(COUNTIFS($A$10:$A$89,$C417,$I$10:$I$89,"&lt;&gt;")=0,"brak danych",VLOOKUP($C417,$A$10:$J$89,9,FALSE)*$F417)))))</x:f>
      </x:c>
      <x:c r="P417" s="25" t="str">
        <x:f>IF($A417="","",IF($F417="","",IF($F417=0,0,IF(COUNTIFS($A$10:$A$89,$C417)&lt;&gt;1,"brak danych",IF(COUNTIFS($A$10:$A$89,$C417,$J$10:$J$89,"&lt;&gt;")=0,"brak danych",VLOOKUP($C417,$A$10:$J$89,10,FALSE)*$F417)))))</x:f>
      </x:c>
      <x:c r="Q417" s="18"/>
    </x:row>
    <x:row r="418" ht="25" customHeight="1">
      <x:c r="A418" s="6"/>
      <x:c r="B418" s="30"/>
      <x:c r="C418" s="5"/>
      <x:c r="D418" s="5"/>
      <x:c r="E418" s="32"/>
      <x:c r="F418" s="32"/>
      <x:c r="G418" s="24" t="str">
        <x:f>IF($A418="","",IF(AND($C418="",$E418=""),"",IF($E418="","brak danych",IF($E418=0,0,IF(COUNTIFS($A$10:$A$89,$C418)&lt;&gt;1,"brak danych",IF(COUNTIFS($A$10:$A$89,$C418,$F$10:$F$89,"&lt;&gt;")=0,"brak danych",VLOOKUP($C418,$A$10:$J$89,6,FALSE)*$E418))))))</x:f>
      </x:c>
      <x:c r="H418" s="25" t="str">
        <x:f>IF($A418="","",IF(AND($C418="",$E418=""),"",IF($E418="","brak danych",IF($E418=0,0,IF(COUNTIFS($A$10:$A$89,$C418)&lt;&gt;1,"brak danych",IF(COUNTIFS($A$10:$A$89,$C418,$G$10:$G$89,"&lt;&gt;")=0,"brak danych",VLOOKUP($C418,$A$10:$J$89,7,FALSE)*$E418))))))</x:f>
      </x:c>
      <x:c r="I418" s="25" t="str">
        <x:f>IF($A418="","",IF(AND($C418="",$E418=""),"",IF($E418="","brak danych",IF($E418=0,0,IF(COUNTIFS($A$10:$A$89,$C418)&lt;&gt;1,"brak danych",IF(COUNTIFS($A$10:$A$89,$C418,$H$10:$H$89,"&lt;&gt;")=0,"brak danych",VLOOKUP($C418,$A$10:$J$89,8,FALSE)*$E418))))))</x:f>
      </x:c>
      <x:c r="J418" s="25" t="str">
        <x:f>IF($A418="","",IF(AND($C418="",$E418=""),"",IF($E418="","brak danych",IF($E418=0,0,IF(COUNTIFS($A$10:$A$89,$C418)&lt;&gt;1,"brak danych",IF(COUNTIFS($A$10:$A$89,$C418,$I$10:$I$89,"&lt;&gt;")=0,"brak danych",VLOOKUP($C418,$A$10:$J$89,9,FALSE)*$E418))))))</x:f>
      </x:c>
      <x:c r="K418" s="25" t="str">
        <x:f>IF($A418="","",IF(AND($C418="",$E418=""),"",IF($E418="","brak danych",IF($E418=0,0,IF(COUNTIFS($A$10:$A$89,$C418)&lt;&gt;1,"brak danych",IF(COUNTIFS($A$10:$A$89,$C418,$J$10:$J$89,"&lt;&gt;")=0,"brak danych",VLOOKUP($C418,$A$10:$J$89,10,FALSE)*$E418))))))</x:f>
      </x:c>
      <x:c r="L418" s="24" t="str">
        <x:f>IF($A418="","",IF($F418="","",IF($F418=0,0,IF(COUNTIFS($A$10:$A$89,$C418)&lt;&gt;1,"brak danych",IF(COUNTIFS($A$10:$A$89,$C418,$F$10:$F$89,"&lt;&gt;")=0,"brak danych",VLOOKUP($C418,$A$10:$J$89,6,FALSE)*$F418)))))</x:f>
      </x:c>
      <x:c r="M418" s="25" t="str">
        <x:f>IF($A418="","",IF($F418="","",IF($F418=0,0,IF(COUNTIFS($A$10:$A$89,$C418)&lt;&gt;1,"brak danych",IF(COUNTIFS($A$10:$A$89,$C418,$G$10:$G$89,"&lt;&gt;")=0,"brak danych",VLOOKUP($C418,$A$10:$J$89,7,FALSE)*$F418)))))</x:f>
      </x:c>
      <x:c r="N418" s="25" t="str">
        <x:f>IF($A418="","",IF($F418="","",IF($F418=0,0,IF(COUNTIFS($A$10:$A$89,$C418)&lt;&gt;1,"brak danych",IF(COUNTIFS($A$10:$A$89,$C418,$H$10:$H$89,"&lt;&gt;")=0,"brak danych",VLOOKUP($C418,$A$10:$J$89,8,FALSE)*$F418)))))</x:f>
      </x:c>
      <x:c r="O418" s="25" t="str">
        <x:f>IF($A418="","",IF($F418="","",IF($F418=0,0,IF(COUNTIFS($A$10:$A$89,$C418)&lt;&gt;1,"brak danych",IF(COUNTIFS($A$10:$A$89,$C418,$I$10:$I$89,"&lt;&gt;")=0,"brak danych",VLOOKUP($C418,$A$10:$J$89,9,FALSE)*$F418)))))</x:f>
      </x:c>
      <x:c r="P418" s="25" t="str">
        <x:f>IF($A418="","",IF($F418="","",IF($F418=0,0,IF(COUNTIFS($A$10:$A$89,$C418)&lt;&gt;1,"brak danych",IF(COUNTIFS($A$10:$A$89,$C418,$J$10:$J$89,"&lt;&gt;")=0,"brak danych",VLOOKUP($C418,$A$10:$J$89,10,FALSE)*$F418)))))</x:f>
      </x:c>
      <x:c r="Q418" s="18"/>
    </x:row>
    <x:row r="419" ht="25" customHeight="1">
      <x:c r="A419" s="6"/>
      <x:c r="B419" s="30"/>
      <x:c r="C419" s="5"/>
      <x:c r="D419" s="5"/>
      <x:c r="E419" s="32"/>
      <x:c r="F419" s="32"/>
      <x:c r="G419" s="24" t="str">
        <x:f>IF($A419="","",IF(AND($C419="",$E419=""),"",IF($E419="","brak danych",IF($E419=0,0,IF(COUNTIFS($A$10:$A$89,$C419)&lt;&gt;1,"brak danych",IF(COUNTIFS($A$10:$A$89,$C419,$F$10:$F$89,"&lt;&gt;")=0,"brak danych",VLOOKUP($C419,$A$10:$J$89,6,FALSE)*$E419))))))</x:f>
      </x:c>
      <x:c r="H419" s="25" t="str">
        <x:f>IF($A419="","",IF(AND($C419="",$E419=""),"",IF($E419="","brak danych",IF($E419=0,0,IF(COUNTIFS($A$10:$A$89,$C419)&lt;&gt;1,"brak danych",IF(COUNTIFS($A$10:$A$89,$C419,$G$10:$G$89,"&lt;&gt;")=0,"brak danych",VLOOKUP($C419,$A$10:$J$89,7,FALSE)*$E419))))))</x:f>
      </x:c>
      <x:c r="I419" s="25" t="str">
        <x:f>IF($A419="","",IF(AND($C419="",$E419=""),"",IF($E419="","brak danych",IF($E419=0,0,IF(COUNTIFS($A$10:$A$89,$C419)&lt;&gt;1,"brak danych",IF(COUNTIFS($A$10:$A$89,$C419,$H$10:$H$89,"&lt;&gt;")=0,"brak danych",VLOOKUP($C419,$A$10:$J$89,8,FALSE)*$E419))))))</x:f>
      </x:c>
      <x:c r="J419" s="25" t="str">
        <x:f>IF($A419="","",IF(AND($C419="",$E419=""),"",IF($E419="","brak danych",IF($E419=0,0,IF(COUNTIFS($A$10:$A$89,$C419)&lt;&gt;1,"brak danych",IF(COUNTIFS($A$10:$A$89,$C419,$I$10:$I$89,"&lt;&gt;")=0,"brak danych",VLOOKUP($C419,$A$10:$J$89,9,FALSE)*$E419))))))</x:f>
      </x:c>
      <x:c r="K419" s="25" t="str">
        <x:f>IF($A419="","",IF(AND($C419="",$E419=""),"",IF($E419="","brak danych",IF($E419=0,0,IF(COUNTIFS($A$10:$A$89,$C419)&lt;&gt;1,"brak danych",IF(COUNTIFS($A$10:$A$89,$C419,$J$10:$J$89,"&lt;&gt;")=0,"brak danych",VLOOKUP($C419,$A$10:$J$89,10,FALSE)*$E419))))))</x:f>
      </x:c>
      <x:c r="L419" s="24" t="str">
        <x:f>IF($A419="","",IF($F419="","",IF($F419=0,0,IF(COUNTIFS($A$10:$A$89,$C419)&lt;&gt;1,"brak danych",IF(COUNTIFS($A$10:$A$89,$C419,$F$10:$F$89,"&lt;&gt;")=0,"brak danych",VLOOKUP($C419,$A$10:$J$89,6,FALSE)*$F419)))))</x:f>
      </x:c>
      <x:c r="M419" s="25" t="str">
        <x:f>IF($A419="","",IF($F419="","",IF($F419=0,0,IF(COUNTIFS($A$10:$A$89,$C419)&lt;&gt;1,"brak danych",IF(COUNTIFS($A$10:$A$89,$C419,$G$10:$G$89,"&lt;&gt;")=0,"brak danych",VLOOKUP($C419,$A$10:$J$89,7,FALSE)*$F419)))))</x:f>
      </x:c>
      <x:c r="N419" s="25" t="str">
        <x:f>IF($A419="","",IF($F419="","",IF($F419=0,0,IF(COUNTIFS($A$10:$A$89,$C419)&lt;&gt;1,"brak danych",IF(COUNTIFS($A$10:$A$89,$C419,$H$10:$H$89,"&lt;&gt;")=0,"brak danych",VLOOKUP($C419,$A$10:$J$89,8,FALSE)*$F419)))))</x:f>
      </x:c>
      <x:c r="O419" s="25" t="str">
        <x:f>IF($A419="","",IF($F419="","",IF($F419=0,0,IF(COUNTIFS($A$10:$A$89,$C419)&lt;&gt;1,"brak danych",IF(COUNTIFS($A$10:$A$89,$C419,$I$10:$I$89,"&lt;&gt;")=0,"brak danych",VLOOKUP($C419,$A$10:$J$89,9,FALSE)*$F419)))))</x:f>
      </x:c>
      <x:c r="P419" s="25" t="str">
        <x:f>IF($A419="","",IF($F419="","",IF($F419=0,0,IF(COUNTIFS($A$10:$A$89,$C419)&lt;&gt;1,"brak danych",IF(COUNTIFS($A$10:$A$89,$C419,$J$10:$J$89,"&lt;&gt;")=0,"brak danych",VLOOKUP($C419,$A$10:$J$89,10,FALSE)*$F419)))))</x:f>
      </x:c>
      <x:c r="Q419" s="18"/>
    </x:row>
    <x:row r="420" ht="25" customHeight="1">
      <x:c r="A420" s="6"/>
      <x:c r="B420" s="30"/>
      <x:c r="C420" s="5"/>
      <x:c r="D420" s="5"/>
      <x:c r="E420" s="32"/>
      <x:c r="F420" s="32"/>
      <x:c r="G420" s="24" t="str">
        <x:f>IF($A420="","",IF(AND($C420="",$E420=""),"",IF($E420="","brak danych",IF($E420=0,0,IF(COUNTIFS($A$10:$A$89,$C420)&lt;&gt;1,"brak danych",IF(COUNTIFS($A$10:$A$89,$C420,$F$10:$F$89,"&lt;&gt;")=0,"brak danych",VLOOKUP($C420,$A$10:$J$89,6,FALSE)*$E420))))))</x:f>
      </x:c>
      <x:c r="H420" s="25" t="str">
        <x:f>IF($A420="","",IF(AND($C420="",$E420=""),"",IF($E420="","brak danych",IF($E420=0,0,IF(COUNTIFS($A$10:$A$89,$C420)&lt;&gt;1,"brak danych",IF(COUNTIFS($A$10:$A$89,$C420,$G$10:$G$89,"&lt;&gt;")=0,"brak danych",VLOOKUP($C420,$A$10:$J$89,7,FALSE)*$E420))))))</x:f>
      </x:c>
      <x:c r="I420" s="25" t="str">
        <x:f>IF($A420="","",IF(AND($C420="",$E420=""),"",IF($E420="","brak danych",IF($E420=0,0,IF(COUNTIFS($A$10:$A$89,$C420)&lt;&gt;1,"brak danych",IF(COUNTIFS($A$10:$A$89,$C420,$H$10:$H$89,"&lt;&gt;")=0,"brak danych",VLOOKUP($C420,$A$10:$J$89,8,FALSE)*$E420))))))</x:f>
      </x:c>
      <x:c r="J420" s="25" t="str">
        <x:f>IF($A420="","",IF(AND($C420="",$E420=""),"",IF($E420="","brak danych",IF($E420=0,0,IF(COUNTIFS($A$10:$A$89,$C420)&lt;&gt;1,"brak danych",IF(COUNTIFS($A$10:$A$89,$C420,$I$10:$I$89,"&lt;&gt;")=0,"brak danych",VLOOKUP($C420,$A$10:$J$89,9,FALSE)*$E420))))))</x:f>
      </x:c>
      <x:c r="K420" s="25" t="str">
        <x:f>IF($A420="","",IF(AND($C420="",$E420=""),"",IF($E420="","brak danych",IF($E420=0,0,IF(COUNTIFS($A$10:$A$89,$C420)&lt;&gt;1,"brak danych",IF(COUNTIFS($A$10:$A$89,$C420,$J$10:$J$89,"&lt;&gt;")=0,"brak danych",VLOOKUP($C420,$A$10:$J$89,10,FALSE)*$E420))))))</x:f>
      </x:c>
      <x:c r="L420" s="24" t="str">
        <x:f>IF($A420="","",IF($F420="","",IF($F420=0,0,IF(COUNTIFS($A$10:$A$89,$C420)&lt;&gt;1,"brak danych",IF(COUNTIFS($A$10:$A$89,$C420,$F$10:$F$89,"&lt;&gt;")=0,"brak danych",VLOOKUP($C420,$A$10:$J$89,6,FALSE)*$F420)))))</x:f>
      </x:c>
      <x:c r="M420" s="25" t="str">
        <x:f>IF($A420="","",IF($F420="","",IF($F420=0,0,IF(COUNTIFS($A$10:$A$89,$C420)&lt;&gt;1,"brak danych",IF(COUNTIFS($A$10:$A$89,$C420,$G$10:$G$89,"&lt;&gt;")=0,"brak danych",VLOOKUP($C420,$A$10:$J$89,7,FALSE)*$F420)))))</x:f>
      </x:c>
      <x:c r="N420" s="25" t="str">
        <x:f>IF($A420="","",IF($F420="","",IF($F420=0,0,IF(COUNTIFS($A$10:$A$89,$C420)&lt;&gt;1,"brak danych",IF(COUNTIFS($A$10:$A$89,$C420,$H$10:$H$89,"&lt;&gt;")=0,"brak danych",VLOOKUP($C420,$A$10:$J$89,8,FALSE)*$F420)))))</x:f>
      </x:c>
      <x:c r="O420" s="25" t="str">
        <x:f>IF($A420="","",IF($F420="","",IF($F420=0,0,IF(COUNTIFS($A$10:$A$89,$C420)&lt;&gt;1,"brak danych",IF(COUNTIFS($A$10:$A$89,$C420,$I$10:$I$89,"&lt;&gt;")=0,"brak danych",VLOOKUP($C420,$A$10:$J$89,9,FALSE)*$F420)))))</x:f>
      </x:c>
      <x:c r="P420" s="25" t="str">
        <x:f>IF($A420="","",IF($F420="","",IF($F420=0,0,IF(COUNTIFS($A$10:$A$89,$C420)&lt;&gt;1,"brak danych",IF(COUNTIFS($A$10:$A$89,$C420,$J$10:$J$89,"&lt;&gt;")=0,"brak danych",VLOOKUP($C420,$A$10:$J$89,10,FALSE)*$F420)))))</x:f>
      </x:c>
      <x:c r="Q420" s="18"/>
    </x:row>
    <x:row r="421" ht="25" customHeight="1">
      <x:c r="A421" s="6"/>
      <x:c r="B421" s="30"/>
      <x:c r="C421" s="5"/>
      <x:c r="D421" s="5"/>
      <x:c r="E421" s="32"/>
      <x:c r="F421" s="32"/>
      <x:c r="G421" s="24" t="str">
        <x:f>IF($A421="","",IF(AND($C421="",$E421=""),"",IF($E421="","brak danych",IF($E421=0,0,IF(COUNTIFS($A$10:$A$89,$C421)&lt;&gt;1,"brak danych",IF(COUNTIFS($A$10:$A$89,$C421,$F$10:$F$89,"&lt;&gt;")=0,"brak danych",VLOOKUP($C421,$A$10:$J$89,6,FALSE)*$E421))))))</x:f>
      </x:c>
      <x:c r="H421" s="25" t="str">
        <x:f>IF($A421="","",IF(AND($C421="",$E421=""),"",IF($E421="","brak danych",IF($E421=0,0,IF(COUNTIFS($A$10:$A$89,$C421)&lt;&gt;1,"brak danych",IF(COUNTIFS($A$10:$A$89,$C421,$G$10:$G$89,"&lt;&gt;")=0,"brak danych",VLOOKUP($C421,$A$10:$J$89,7,FALSE)*$E421))))))</x:f>
      </x:c>
      <x:c r="I421" s="25" t="str">
        <x:f>IF($A421="","",IF(AND($C421="",$E421=""),"",IF($E421="","brak danych",IF($E421=0,0,IF(COUNTIFS($A$10:$A$89,$C421)&lt;&gt;1,"brak danych",IF(COUNTIFS($A$10:$A$89,$C421,$H$10:$H$89,"&lt;&gt;")=0,"brak danych",VLOOKUP($C421,$A$10:$J$89,8,FALSE)*$E421))))))</x:f>
      </x:c>
      <x:c r="J421" s="25" t="str">
        <x:f>IF($A421="","",IF(AND($C421="",$E421=""),"",IF($E421="","brak danych",IF($E421=0,0,IF(COUNTIFS($A$10:$A$89,$C421)&lt;&gt;1,"brak danych",IF(COUNTIFS($A$10:$A$89,$C421,$I$10:$I$89,"&lt;&gt;")=0,"brak danych",VLOOKUP($C421,$A$10:$J$89,9,FALSE)*$E421))))))</x:f>
      </x:c>
      <x:c r="K421" s="25" t="str">
        <x:f>IF($A421="","",IF(AND($C421="",$E421=""),"",IF($E421="","brak danych",IF($E421=0,0,IF(COUNTIFS($A$10:$A$89,$C421)&lt;&gt;1,"brak danych",IF(COUNTIFS($A$10:$A$89,$C421,$J$10:$J$89,"&lt;&gt;")=0,"brak danych",VLOOKUP($C421,$A$10:$J$89,10,FALSE)*$E421))))))</x:f>
      </x:c>
      <x:c r="L421" s="24" t="str">
        <x:f>IF($A421="","",IF($F421="","",IF($F421=0,0,IF(COUNTIFS($A$10:$A$89,$C421)&lt;&gt;1,"brak danych",IF(COUNTIFS($A$10:$A$89,$C421,$F$10:$F$89,"&lt;&gt;")=0,"brak danych",VLOOKUP($C421,$A$10:$J$89,6,FALSE)*$F421)))))</x:f>
      </x:c>
      <x:c r="M421" s="25" t="str">
        <x:f>IF($A421="","",IF($F421="","",IF($F421=0,0,IF(COUNTIFS($A$10:$A$89,$C421)&lt;&gt;1,"brak danych",IF(COUNTIFS($A$10:$A$89,$C421,$G$10:$G$89,"&lt;&gt;")=0,"brak danych",VLOOKUP($C421,$A$10:$J$89,7,FALSE)*$F421)))))</x:f>
      </x:c>
      <x:c r="N421" s="25" t="str">
        <x:f>IF($A421="","",IF($F421="","",IF($F421=0,0,IF(COUNTIFS($A$10:$A$89,$C421)&lt;&gt;1,"brak danych",IF(COUNTIFS($A$10:$A$89,$C421,$H$10:$H$89,"&lt;&gt;")=0,"brak danych",VLOOKUP($C421,$A$10:$J$89,8,FALSE)*$F421)))))</x:f>
      </x:c>
      <x:c r="O421" s="25" t="str">
        <x:f>IF($A421="","",IF($F421="","",IF($F421=0,0,IF(COUNTIFS($A$10:$A$89,$C421)&lt;&gt;1,"brak danych",IF(COUNTIFS($A$10:$A$89,$C421,$I$10:$I$89,"&lt;&gt;")=0,"brak danych",VLOOKUP($C421,$A$10:$J$89,9,FALSE)*$F421)))))</x:f>
      </x:c>
      <x:c r="P421" s="25" t="str">
        <x:f>IF($A421="","",IF($F421="","",IF($F421=0,0,IF(COUNTIFS($A$10:$A$89,$C421)&lt;&gt;1,"brak danych",IF(COUNTIFS($A$10:$A$89,$C421,$J$10:$J$89,"&lt;&gt;")=0,"brak danych",VLOOKUP($C421,$A$10:$J$89,10,FALSE)*$F421)))))</x:f>
      </x:c>
      <x:c r="Q421" s="18"/>
    </x:row>
    <x:row r="422" ht="25" customHeight="1">
      <x:c r="A422" s="6"/>
      <x:c r="B422" s="30"/>
      <x:c r="C422" s="5"/>
      <x:c r="D422" s="5"/>
      <x:c r="E422" s="32"/>
      <x:c r="F422" s="32"/>
      <x:c r="G422" s="24" t="str">
        <x:f>IF($A422="","",IF(AND($C422="",$E422=""),"",IF($E422="","brak danych",IF($E422=0,0,IF(COUNTIFS($A$10:$A$89,$C422)&lt;&gt;1,"brak danych",IF(COUNTIFS($A$10:$A$89,$C422,$F$10:$F$89,"&lt;&gt;")=0,"brak danych",VLOOKUP($C422,$A$10:$J$89,6,FALSE)*$E422))))))</x:f>
      </x:c>
      <x:c r="H422" s="25" t="str">
        <x:f>IF($A422="","",IF(AND($C422="",$E422=""),"",IF($E422="","brak danych",IF($E422=0,0,IF(COUNTIFS($A$10:$A$89,$C422)&lt;&gt;1,"brak danych",IF(COUNTIFS($A$10:$A$89,$C422,$G$10:$G$89,"&lt;&gt;")=0,"brak danych",VLOOKUP($C422,$A$10:$J$89,7,FALSE)*$E422))))))</x:f>
      </x:c>
      <x:c r="I422" s="25" t="str">
        <x:f>IF($A422="","",IF(AND($C422="",$E422=""),"",IF($E422="","brak danych",IF($E422=0,0,IF(COUNTIFS($A$10:$A$89,$C422)&lt;&gt;1,"brak danych",IF(COUNTIFS($A$10:$A$89,$C422,$H$10:$H$89,"&lt;&gt;")=0,"brak danych",VLOOKUP($C422,$A$10:$J$89,8,FALSE)*$E422))))))</x:f>
      </x:c>
      <x:c r="J422" s="25" t="str">
        <x:f>IF($A422="","",IF(AND($C422="",$E422=""),"",IF($E422="","brak danych",IF($E422=0,0,IF(COUNTIFS($A$10:$A$89,$C422)&lt;&gt;1,"brak danych",IF(COUNTIFS($A$10:$A$89,$C422,$I$10:$I$89,"&lt;&gt;")=0,"brak danych",VLOOKUP($C422,$A$10:$J$89,9,FALSE)*$E422))))))</x:f>
      </x:c>
      <x:c r="K422" s="25" t="str">
        <x:f>IF($A422="","",IF(AND($C422="",$E422=""),"",IF($E422="","brak danych",IF($E422=0,0,IF(COUNTIFS($A$10:$A$89,$C422)&lt;&gt;1,"brak danych",IF(COUNTIFS($A$10:$A$89,$C422,$J$10:$J$89,"&lt;&gt;")=0,"brak danych",VLOOKUP($C422,$A$10:$J$89,10,FALSE)*$E422))))))</x:f>
      </x:c>
      <x:c r="L422" s="24" t="str">
        <x:f>IF($A422="","",IF($F422="","",IF($F422=0,0,IF(COUNTIFS($A$10:$A$89,$C422)&lt;&gt;1,"brak danych",IF(COUNTIFS($A$10:$A$89,$C422,$F$10:$F$89,"&lt;&gt;")=0,"brak danych",VLOOKUP($C422,$A$10:$J$89,6,FALSE)*$F422)))))</x:f>
      </x:c>
      <x:c r="M422" s="25" t="str">
        <x:f>IF($A422="","",IF($F422="","",IF($F422=0,0,IF(COUNTIFS($A$10:$A$89,$C422)&lt;&gt;1,"brak danych",IF(COUNTIFS($A$10:$A$89,$C422,$G$10:$G$89,"&lt;&gt;")=0,"brak danych",VLOOKUP($C422,$A$10:$J$89,7,FALSE)*$F422)))))</x:f>
      </x:c>
      <x:c r="N422" s="25" t="str">
        <x:f>IF($A422="","",IF($F422="","",IF($F422=0,0,IF(COUNTIFS($A$10:$A$89,$C422)&lt;&gt;1,"brak danych",IF(COUNTIFS($A$10:$A$89,$C422,$H$10:$H$89,"&lt;&gt;")=0,"brak danych",VLOOKUP($C422,$A$10:$J$89,8,FALSE)*$F422)))))</x:f>
      </x:c>
      <x:c r="O422" s="25" t="str">
        <x:f>IF($A422="","",IF($F422="","",IF($F422=0,0,IF(COUNTIFS($A$10:$A$89,$C422)&lt;&gt;1,"brak danych",IF(COUNTIFS($A$10:$A$89,$C422,$I$10:$I$89,"&lt;&gt;")=0,"brak danych",VLOOKUP($C422,$A$10:$J$89,9,FALSE)*$F422)))))</x:f>
      </x:c>
      <x:c r="P422" s="25" t="str">
        <x:f>IF($A422="","",IF($F422="","",IF($F422=0,0,IF(COUNTIFS($A$10:$A$89,$C422)&lt;&gt;1,"brak danych",IF(COUNTIFS($A$10:$A$89,$C422,$J$10:$J$89,"&lt;&gt;")=0,"brak danych",VLOOKUP($C422,$A$10:$J$89,10,FALSE)*$F422)))))</x:f>
      </x:c>
      <x:c r="Q422" s="18"/>
    </x:row>
    <x:row r="423" ht="25" customHeight="1">
      <x:c r="A423" s="6"/>
      <x:c r="B423" s="30"/>
      <x:c r="C423" s="5"/>
      <x:c r="D423" s="5"/>
      <x:c r="E423" s="32"/>
      <x:c r="F423" s="32"/>
      <x:c r="G423" s="24" t="str">
        <x:f>IF($A423="","",IF(AND($C423="",$E423=""),"",IF($E423="","brak danych",IF($E423=0,0,IF(COUNTIFS($A$10:$A$89,$C423)&lt;&gt;1,"brak danych",IF(COUNTIFS($A$10:$A$89,$C423,$F$10:$F$89,"&lt;&gt;")=0,"brak danych",VLOOKUP($C423,$A$10:$J$89,6,FALSE)*$E423))))))</x:f>
      </x:c>
      <x:c r="H423" s="25" t="str">
        <x:f>IF($A423="","",IF(AND($C423="",$E423=""),"",IF($E423="","brak danych",IF($E423=0,0,IF(COUNTIFS($A$10:$A$89,$C423)&lt;&gt;1,"brak danych",IF(COUNTIFS($A$10:$A$89,$C423,$G$10:$G$89,"&lt;&gt;")=0,"brak danych",VLOOKUP($C423,$A$10:$J$89,7,FALSE)*$E423))))))</x:f>
      </x:c>
      <x:c r="I423" s="25" t="str">
        <x:f>IF($A423="","",IF(AND($C423="",$E423=""),"",IF($E423="","brak danych",IF($E423=0,0,IF(COUNTIFS($A$10:$A$89,$C423)&lt;&gt;1,"brak danych",IF(COUNTIFS($A$10:$A$89,$C423,$H$10:$H$89,"&lt;&gt;")=0,"brak danych",VLOOKUP($C423,$A$10:$J$89,8,FALSE)*$E423))))))</x:f>
      </x:c>
      <x:c r="J423" s="25" t="str">
        <x:f>IF($A423="","",IF(AND($C423="",$E423=""),"",IF($E423="","brak danych",IF($E423=0,0,IF(COUNTIFS($A$10:$A$89,$C423)&lt;&gt;1,"brak danych",IF(COUNTIFS($A$10:$A$89,$C423,$I$10:$I$89,"&lt;&gt;")=0,"brak danych",VLOOKUP($C423,$A$10:$J$89,9,FALSE)*$E423))))))</x:f>
      </x:c>
      <x:c r="K423" s="25" t="str">
        <x:f>IF($A423="","",IF(AND($C423="",$E423=""),"",IF($E423="","brak danych",IF($E423=0,0,IF(COUNTIFS($A$10:$A$89,$C423)&lt;&gt;1,"brak danych",IF(COUNTIFS($A$10:$A$89,$C423,$J$10:$J$89,"&lt;&gt;")=0,"brak danych",VLOOKUP($C423,$A$10:$J$89,10,FALSE)*$E423))))))</x:f>
      </x:c>
      <x:c r="L423" s="24" t="str">
        <x:f>IF($A423="","",IF($F423="","",IF($F423=0,0,IF(COUNTIFS($A$10:$A$89,$C423)&lt;&gt;1,"brak danych",IF(COUNTIFS($A$10:$A$89,$C423,$F$10:$F$89,"&lt;&gt;")=0,"brak danych",VLOOKUP($C423,$A$10:$J$89,6,FALSE)*$F423)))))</x:f>
      </x:c>
      <x:c r="M423" s="25" t="str">
        <x:f>IF($A423="","",IF($F423="","",IF($F423=0,0,IF(COUNTIFS($A$10:$A$89,$C423)&lt;&gt;1,"brak danych",IF(COUNTIFS($A$10:$A$89,$C423,$G$10:$G$89,"&lt;&gt;")=0,"brak danych",VLOOKUP($C423,$A$10:$J$89,7,FALSE)*$F423)))))</x:f>
      </x:c>
      <x:c r="N423" s="25" t="str">
        <x:f>IF($A423="","",IF($F423="","",IF($F423=0,0,IF(COUNTIFS($A$10:$A$89,$C423)&lt;&gt;1,"brak danych",IF(COUNTIFS($A$10:$A$89,$C423,$H$10:$H$89,"&lt;&gt;")=0,"brak danych",VLOOKUP($C423,$A$10:$J$89,8,FALSE)*$F423)))))</x:f>
      </x:c>
      <x:c r="O423" s="25" t="str">
        <x:f>IF($A423="","",IF($F423="","",IF($F423=0,0,IF(COUNTIFS($A$10:$A$89,$C423)&lt;&gt;1,"brak danych",IF(COUNTIFS($A$10:$A$89,$C423,$I$10:$I$89,"&lt;&gt;")=0,"brak danych",VLOOKUP($C423,$A$10:$J$89,9,FALSE)*$F423)))))</x:f>
      </x:c>
      <x:c r="P423" s="25" t="str">
        <x:f>IF($A423="","",IF($F423="","",IF($F423=0,0,IF(COUNTIFS($A$10:$A$89,$C423)&lt;&gt;1,"brak danych",IF(COUNTIFS($A$10:$A$89,$C423,$J$10:$J$89,"&lt;&gt;")=0,"brak danych",VLOOKUP($C423,$A$10:$J$89,10,FALSE)*$F423)))))</x:f>
      </x:c>
      <x:c r="Q423" s="18"/>
    </x:row>
    <x:row r="424" ht="25" customHeight="1">
      <x:c r="A424" s="6"/>
      <x:c r="B424" s="30"/>
      <x:c r="C424" s="5"/>
      <x:c r="D424" s="5"/>
      <x:c r="E424" s="32"/>
      <x:c r="F424" s="32"/>
      <x:c r="G424" s="24" t="str">
        <x:f>IF($A424="","",IF(AND($C424="",$E424=""),"",IF($E424="","brak danych",IF($E424=0,0,IF(COUNTIFS($A$10:$A$89,$C424)&lt;&gt;1,"brak danych",IF(COUNTIFS($A$10:$A$89,$C424,$F$10:$F$89,"&lt;&gt;")=0,"brak danych",VLOOKUP($C424,$A$10:$J$89,6,FALSE)*$E424))))))</x:f>
      </x:c>
      <x:c r="H424" s="25" t="str">
        <x:f>IF($A424="","",IF(AND($C424="",$E424=""),"",IF($E424="","brak danych",IF($E424=0,0,IF(COUNTIFS($A$10:$A$89,$C424)&lt;&gt;1,"brak danych",IF(COUNTIFS($A$10:$A$89,$C424,$G$10:$G$89,"&lt;&gt;")=0,"brak danych",VLOOKUP($C424,$A$10:$J$89,7,FALSE)*$E424))))))</x:f>
      </x:c>
      <x:c r="I424" s="25" t="str">
        <x:f>IF($A424="","",IF(AND($C424="",$E424=""),"",IF($E424="","brak danych",IF($E424=0,0,IF(COUNTIFS($A$10:$A$89,$C424)&lt;&gt;1,"brak danych",IF(COUNTIFS($A$10:$A$89,$C424,$H$10:$H$89,"&lt;&gt;")=0,"brak danych",VLOOKUP($C424,$A$10:$J$89,8,FALSE)*$E424))))))</x:f>
      </x:c>
      <x:c r="J424" s="25" t="str">
        <x:f>IF($A424="","",IF(AND($C424="",$E424=""),"",IF($E424="","brak danych",IF($E424=0,0,IF(COUNTIFS($A$10:$A$89,$C424)&lt;&gt;1,"brak danych",IF(COUNTIFS($A$10:$A$89,$C424,$I$10:$I$89,"&lt;&gt;")=0,"brak danych",VLOOKUP($C424,$A$10:$J$89,9,FALSE)*$E424))))))</x:f>
      </x:c>
      <x:c r="K424" s="25" t="str">
        <x:f>IF($A424="","",IF(AND($C424="",$E424=""),"",IF($E424="","brak danych",IF($E424=0,0,IF(COUNTIFS($A$10:$A$89,$C424)&lt;&gt;1,"brak danych",IF(COUNTIFS($A$10:$A$89,$C424,$J$10:$J$89,"&lt;&gt;")=0,"brak danych",VLOOKUP($C424,$A$10:$J$89,10,FALSE)*$E424))))))</x:f>
      </x:c>
      <x:c r="L424" s="24" t="str">
        <x:f>IF($A424="","",IF($F424="","",IF($F424=0,0,IF(COUNTIFS($A$10:$A$89,$C424)&lt;&gt;1,"brak danych",IF(COUNTIFS($A$10:$A$89,$C424,$F$10:$F$89,"&lt;&gt;")=0,"brak danych",VLOOKUP($C424,$A$10:$J$89,6,FALSE)*$F424)))))</x:f>
      </x:c>
      <x:c r="M424" s="25" t="str">
        <x:f>IF($A424="","",IF($F424="","",IF($F424=0,0,IF(COUNTIFS($A$10:$A$89,$C424)&lt;&gt;1,"brak danych",IF(COUNTIFS($A$10:$A$89,$C424,$G$10:$G$89,"&lt;&gt;")=0,"brak danych",VLOOKUP($C424,$A$10:$J$89,7,FALSE)*$F424)))))</x:f>
      </x:c>
      <x:c r="N424" s="25" t="str">
        <x:f>IF($A424="","",IF($F424="","",IF($F424=0,0,IF(COUNTIFS($A$10:$A$89,$C424)&lt;&gt;1,"brak danych",IF(COUNTIFS($A$10:$A$89,$C424,$H$10:$H$89,"&lt;&gt;")=0,"brak danych",VLOOKUP($C424,$A$10:$J$89,8,FALSE)*$F424)))))</x:f>
      </x:c>
      <x:c r="O424" s="25" t="str">
        <x:f>IF($A424="","",IF($F424="","",IF($F424=0,0,IF(COUNTIFS($A$10:$A$89,$C424)&lt;&gt;1,"brak danych",IF(COUNTIFS($A$10:$A$89,$C424,$I$10:$I$89,"&lt;&gt;")=0,"brak danych",VLOOKUP($C424,$A$10:$J$89,9,FALSE)*$F424)))))</x:f>
      </x:c>
      <x:c r="P424" s="25" t="str">
        <x:f>IF($A424="","",IF($F424="","",IF($F424=0,0,IF(COUNTIFS($A$10:$A$89,$C424)&lt;&gt;1,"brak danych",IF(COUNTIFS($A$10:$A$89,$C424,$J$10:$J$89,"&lt;&gt;")=0,"brak danych",VLOOKUP($C424,$A$10:$J$89,10,FALSE)*$F424)))))</x:f>
      </x:c>
      <x:c r="Q424" s="18"/>
    </x:row>
    <x:row r="425" ht="25" customHeight="1">
      <x:c r="A425" s="6"/>
      <x:c r="B425" s="30"/>
      <x:c r="C425" s="5"/>
      <x:c r="D425" s="5"/>
      <x:c r="E425" s="32"/>
      <x:c r="F425" s="32"/>
      <x:c r="G425" s="24" t="str">
        <x:f>IF($A425="","",IF(AND($C425="",$E425=""),"",IF($E425="","brak danych",IF($E425=0,0,IF(COUNTIFS($A$10:$A$89,$C425)&lt;&gt;1,"brak danych",IF(COUNTIFS($A$10:$A$89,$C425,$F$10:$F$89,"&lt;&gt;")=0,"brak danych",VLOOKUP($C425,$A$10:$J$89,6,FALSE)*$E425))))))</x:f>
      </x:c>
      <x:c r="H425" s="25" t="str">
        <x:f>IF($A425="","",IF(AND($C425="",$E425=""),"",IF($E425="","brak danych",IF($E425=0,0,IF(COUNTIFS($A$10:$A$89,$C425)&lt;&gt;1,"brak danych",IF(COUNTIFS($A$10:$A$89,$C425,$G$10:$G$89,"&lt;&gt;")=0,"brak danych",VLOOKUP($C425,$A$10:$J$89,7,FALSE)*$E425))))))</x:f>
      </x:c>
      <x:c r="I425" s="25" t="str">
        <x:f>IF($A425="","",IF(AND($C425="",$E425=""),"",IF($E425="","brak danych",IF($E425=0,0,IF(COUNTIFS($A$10:$A$89,$C425)&lt;&gt;1,"brak danych",IF(COUNTIFS($A$10:$A$89,$C425,$H$10:$H$89,"&lt;&gt;")=0,"brak danych",VLOOKUP($C425,$A$10:$J$89,8,FALSE)*$E425))))))</x:f>
      </x:c>
      <x:c r="J425" s="25" t="str">
        <x:f>IF($A425="","",IF(AND($C425="",$E425=""),"",IF($E425="","brak danych",IF($E425=0,0,IF(COUNTIFS($A$10:$A$89,$C425)&lt;&gt;1,"brak danych",IF(COUNTIFS($A$10:$A$89,$C425,$I$10:$I$89,"&lt;&gt;")=0,"brak danych",VLOOKUP($C425,$A$10:$J$89,9,FALSE)*$E425))))))</x:f>
      </x:c>
      <x:c r="K425" s="25" t="str">
        <x:f>IF($A425="","",IF(AND($C425="",$E425=""),"",IF($E425="","brak danych",IF($E425=0,0,IF(COUNTIFS($A$10:$A$89,$C425)&lt;&gt;1,"brak danych",IF(COUNTIFS($A$10:$A$89,$C425,$J$10:$J$89,"&lt;&gt;")=0,"brak danych",VLOOKUP($C425,$A$10:$J$89,10,FALSE)*$E425))))))</x:f>
      </x:c>
      <x:c r="L425" s="24" t="str">
        <x:f>IF($A425="","",IF($F425="","",IF($F425=0,0,IF(COUNTIFS($A$10:$A$89,$C425)&lt;&gt;1,"brak danych",IF(COUNTIFS($A$10:$A$89,$C425,$F$10:$F$89,"&lt;&gt;")=0,"brak danych",VLOOKUP($C425,$A$10:$J$89,6,FALSE)*$F425)))))</x:f>
      </x:c>
      <x:c r="M425" s="25" t="str">
        <x:f>IF($A425="","",IF($F425="","",IF($F425=0,0,IF(COUNTIFS($A$10:$A$89,$C425)&lt;&gt;1,"brak danych",IF(COUNTIFS($A$10:$A$89,$C425,$G$10:$G$89,"&lt;&gt;")=0,"brak danych",VLOOKUP($C425,$A$10:$J$89,7,FALSE)*$F425)))))</x:f>
      </x:c>
      <x:c r="N425" s="25" t="str">
        <x:f>IF($A425="","",IF($F425="","",IF($F425=0,0,IF(COUNTIFS($A$10:$A$89,$C425)&lt;&gt;1,"brak danych",IF(COUNTIFS($A$10:$A$89,$C425,$H$10:$H$89,"&lt;&gt;")=0,"brak danych",VLOOKUP($C425,$A$10:$J$89,8,FALSE)*$F425)))))</x:f>
      </x:c>
      <x:c r="O425" s="25" t="str">
        <x:f>IF($A425="","",IF($F425="","",IF($F425=0,0,IF(COUNTIFS($A$10:$A$89,$C425)&lt;&gt;1,"brak danych",IF(COUNTIFS($A$10:$A$89,$C425,$I$10:$I$89,"&lt;&gt;")=0,"brak danych",VLOOKUP($C425,$A$10:$J$89,9,FALSE)*$F425)))))</x:f>
      </x:c>
      <x:c r="P425" s="25" t="str">
        <x:f>IF($A425="","",IF($F425="","",IF($F425=0,0,IF(COUNTIFS($A$10:$A$89,$C425)&lt;&gt;1,"brak danych",IF(COUNTIFS($A$10:$A$89,$C425,$J$10:$J$89,"&lt;&gt;")=0,"brak danych",VLOOKUP($C425,$A$10:$J$89,10,FALSE)*$F425)))))</x:f>
      </x:c>
      <x:c r="Q425" s="18"/>
    </x:row>
    <x:row r="426" ht="25" customHeight="1">
      <x:c r="A426" s="6"/>
      <x:c r="B426" s="30"/>
      <x:c r="C426" s="5"/>
      <x:c r="D426" s="5"/>
      <x:c r="E426" s="32"/>
      <x:c r="F426" s="32"/>
      <x:c r="G426" s="24" t="str">
        <x:f>IF($A426="","",IF(AND($C426="",$E426=""),"",IF($E426="","brak danych",IF($E426=0,0,IF(COUNTIFS($A$10:$A$89,$C426)&lt;&gt;1,"brak danych",IF(COUNTIFS($A$10:$A$89,$C426,$F$10:$F$89,"&lt;&gt;")=0,"brak danych",VLOOKUP($C426,$A$10:$J$89,6,FALSE)*$E426))))))</x:f>
      </x:c>
      <x:c r="H426" s="25" t="str">
        <x:f>IF($A426="","",IF(AND($C426="",$E426=""),"",IF($E426="","brak danych",IF($E426=0,0,IF(COUNTIFS($A$10:$A$89,$C426)&lt;&gt;1,"brak danych",IF(COUNTIFS($A$10:$A$89,$C426,$G$10:$G$89,"&lt;&gt;")=0,"brak danych",VLOOKUP($C426,$A$10:$J$89,7,FALSE)*$E426))))))</x:f>
      </x:c>
      <x:c r="I426" s="25" t="str">
        <x:f>IF($A426="","",IF(AND($C426="",$E426=""),"",IF($E426="","brak danych",IF($E426=0,0,IF(COUNTIFS($A$10:$A$89,$C426)&lt;&gt;1,"brak danych",IF(COUNTIFS($A$10:$A$89,$C426,$H$10:$H$89,"&lt;&gt;")=0,"brak danych",VLOOKUP($C426,$A$10:$J$89,8,FALSE)*$E426))))))</x:f>
      </x:c>
      <x:c r="J426" s="25" t="str">
        <x:f>IF($A426="","",IF(AND($C426="",$E426=""),"",IF($E426="","brak danych",IF($E426=0,0,IF(COUNTIFS($A$10:$A$89,$C426)&lt;&gt;1,"brak danych",IF(COUNTIFS($A$10:$A$89,$C426,$I$10:$I$89,"&lt;&gt;")=0,"brak danych",VLOOKUP($C426,$A$10:$J$89,9,FALSE)*$E426))))))</x:f>
      </x:c>
      <x:c r="K426" s="25" t="str">
        <x:f>IF($A426="","",IF(AND($C426="",$E426=""),"",IF($E426="","brak danych",IF($E426=0,0,IF(COUNTIFS($A$10:$A$89,$C426)&lt;&gt;1,"brak danych",IF(COUNTIFS($A$10:$A$89,$C426,$J$10:$J$89,"&lt;&gt;")=0,"brak danych",VLOOKUP($C426,$A$10:$J$89,10,FALSE)*$E426))))))</x:f>
      </x:c>
      <x:c r="L426" s="24" t="str">
        <x:f>IF($A426="","",IF($F426="","",IF($F426=0,0,IF(COUNTIFS($A$10:$A$89,$C426)&lt;&gt;1,"brak danych",IF(COUNTIFS($A$10:$A$89,$C426,$F$10:$F$89,"&lt;&gt;")=0,"brak danych",VLOOKUP($C426,$A$10:$J$89,6,FALSE)*$F426)))))</x:f>
      </x:c>
      <x:c r="M426" s="25" t="str">
        <x:f>IF($A426="","",IF($F426="","",IF($F426=0,0,IF(COUNTIFS($A$10:$A$89,$C426)&lt;&gt;1,"brak danych",IF(COUNTIFS($A$10:$A$89,$C426,$G$10:$G$89,"&lt;&gt;")=0,"brak danych",VLOOKUP($C426,$A$10:$J$89,7,FALSE)*$F426)))))</x:f>
      </x:c>
      <x:c r="N426" s="25" t="str">
        <x:f>IF($A426="","",IF($F426="","",IF($F426=0,0,IF(COUNTIFS($A$10:$A$89,$C426)&lt;&gt;1,"brak danych",IF(COUNTIFS($A$10:$A$89,$C426,$H$10:$H$89,"&lt;&gt;")=0,"brak danych",VLOOKUP($C426,$A$10:$J$89,8,FALSE)*$F426)))))</x:f>
      </x:c>
      <x:c r="O426" s="25" t="str">
        <x:f>IF($A426="","",IF($F426="","",IF($F426=0,0,IF(COUNTIFS($A$10:$A$89,$C426)&lt;&gt;1,"brak danych",IF(COUNTIFS($A$10:$A$89,$C426,$I$10:$I$89,"&lt;&gt;")=0,"brak danych",VLOOKUP($C426,$A$10:$J$89,9,FALSE)*$F426)))))</x:f>
      </x:c>
      <x:c r="P426" s="25" t="str">
        <x:f>IF($A426="","",IF($F426="","",IF($F426=0,0,IF(COUNTIFS($A$10:$A$89,$C426)&lt;&gt;1,"brak danych",IF(COUNTIFS($A$10:$A$89,$C426,$J$10:$J$89,"&lt;&gt;")=0,"brak danych",VLOOKUP($C426,$A$10:$J$89,10,FALSE)*$F426)))))</x:f>
      </x:c>
      <x:c r="Q426" s="18"/>
    </x:row>
    <x:row r="427" ht="25" customHeight="1">
      <x:c r="A427" s="6"/>
      <x:c r="B427" s="30"/>
      <x:c r="C427" s="5"/>
      <x:c r="D427" s="5"/>
      <x:c r="E427" s="32"/>
      <x:c r="F427" s="32"/>
      <x:c r="G427" s="24" t="str">
        <x:f>IF($A427="","",IF(AND($C427="",$E427=""),"",IF($E427="","brak danych",IF($E427=0,0,IF(COUNTIFS($A$10:$A$89,$C427)&lt;&gt;1,"brak danych",IF(COUNTIFS($A$10:$A$89,$C427,$F$10:$F$89,"&lt;&gt;")=0,"brak danych",VLOOKUP($C427,$A$10:$J$89,6,FALSE)*$E427))))))</x:f>
      </x:c>
      <x:c r="H427" s="25" t="str">
        <x:f>IF($A427="","",IF(AND($C427="",$E427=""),"",IF($E427="","brak danych",IF($E427=0,0,IF(COUNTIFS($A$10:$A$89,$C427)&lt;&gt;1,"brak danych",IF(COUNTIFS($A$10:$A$89,$C427,$G$10:$G$89,"&lt;&gt;")=0,"brak danych",VLOOKUP($C427,$A$10:$J$89,7,FALSE)*$E427))))))</x:f>
      </x:c>
      <x:c r="I427" s="25" t="str">
        <x:f>IF($A427="","",IF(AND($C427="",$E427=""),"",IF($E427="","brak danych",IF($E427=0,0,IF(COUNTIFS($A$10:$A$89,$C427)&lt;&gt;1,"brak danych",IF(COUNTIFS($A$10:$A$89,$C427,$H$10:$H$89,"&lt;&gt;")=0,"brak danych",VLOOKUP($C427,$A$10:$J$89,8,FALSE)*$E427))))))</x:f>
      </x:c>
      <x:c r="J427" s="25" t="str">
        <x:f>IF($A427="","",IF(AND($C427="",$E427=""),"",IF($E427="","brak danych",IF($E427=0,0,IF(COUNTIFS($A$10:$A$89,$C427)&lt;&gt;1,"brak danych",IF(COUNTIFS($A$10:$A$89,$C427,$I$10:$I$89,"&lt;&gt;")=0,"brak danych",VLOOKUP($C427,$A$10:$J$89,9,FALSE)*$E427))))))</x:f>
      </x:c>
      <x:c r="K427" s="25" t="str">
        <x:f>IF($A427="","",IF(AND($C427="",$E427=""),"",IF($E427="","brak danych",IF($E427=0,0,IF(COUNTIFS($A$10:$A$89,$C427)&lt;&gt;1,"brak danych",IF(COUNTIFS($A$10:$A$89,$C427,$J$10:$J$89,"&lt;&gt;")=0,"brak danych",VLOOKUP($C427,$A$10:$J$89,10,FALSE)*$E427))))))</x:f>
      </x:c>
      <x:c r="L427" s="24" t="str">
        <x:f>IF($A427="","",IF($F427="","",IF($F427=0,0,IF(COUNTIFS($A$10:$A$89,$C427)&lt;&gt;1,"brak danych",IF(COUNTIFS($A$10:$A$89,$C427,$F$10:$F$89,"&lt;&gt;")=0,"brak danych",VLOOKUP($C427,$A$10:$J$89,6,FALSE)*$F427)))))</x:f>
      </x:c>
      <x:c r="M427" s="25" t="str">
        <x:f>IF($A427="","",IF($F427="","",IF($F427=0,0,IF(COUNTIFS($A$10:$A$89,$C427)&lt;&gt;1,"brak danych",IF(COUNTIFS($A$10:$A$89,$C427,$G$10:$G$89,"&lt;&gt;")=0,"brak danych",VLOOKUP($C427,$A$10:$J$89,7,FALSE)*$F427)))))</x:f>
      </x:c>
      <x:c r="N427" s="25" t="str">
        <x:f>IF($A427="","",IF($F427="","",IF($F427=0,0,IF(COUNTIFS($A$10:$A$89,$C427)&lt;&gt;1,"brak danych",IF(COUNTIFS($A$10:$A$89,$C427,$H$10:$H$89,"&lt;&gt;")=0,"brak danych",VLOOKUP($C427,$A$10:$J$89,8,FALSE)*$F427)))))</x:f>
      </x:c>
      <x:c r="O427" s="25" t="str">
        <x:f>IF($A427="","",IF($F427="","",IF($F427=0,0,IF(COUNTIFS($A$10:$A$89,$C427)&lt;&gt;1,"brak danych",IF(COUNTIFS($A$10:$A$89,$C427,$I$10:$I$89,"&lt;&gt;")=0,"brak danych",VLOOKUP($C427,$A$10:$J$89,9,FALSE)*$F427)))))</x:f>
      </x:c>
      <x:c r="P427" s="25" t="str">
        <x:f>IF($A427="","",IF($F427="","",IF($F427=0,0,IF(COUNTIFS($A$10:$A$89,$C427)&lt;&gt;1,"brak danych",IF(COUNTIFS($A$10:$A$89,$C427,$J$10:$J$89,"&lt;&gt;")=0,"brak danych",VLOOKUP($C427,$A$10:$J$89,10,FALSE)*$F427)))))</x:f>
      </x:c>
      <x:c r="Q427" s="18"/>
    </x:row>
    <x:row r="428" ht="25" customHeight="1">
      <x:c r="A428" s="6"/>
      <x:c r="B428" s="30"/>
      <x:c r="C428" s="5"/>
      <x:c r="D428" s="5"/>
      <x:c r="E428" s="32"/>
      <x:c r="F428" s="32"/>
      <x:c r="G428" s="24" t="str">
        <x:f>IF($A428="","",IF(AND($C428="",$E428=""),"",IF($E428="","brak danych",IF($E428=0,0,IF(COUNTIFS($A$10:$A$89,$C428)&lt;&gt;1,"brak danych",IF(COUNTIFS($A$10:$A$89,$C428,$F$10:$F$89,"&lt;&gt;")=0,"brak danych",VLOOKUP($C428,$A$10:$J$89,6,FALSE)*$E428))))))</x:f>
      </x:c>
      <x:c r="H428" s="25" t="str">
        <x:f>IF($A428="","",IF(AND($C428="",$E428=""),"",IF($E428="","brak danych",IF($E428=0,0,IF(COUNTIFS($A$10:$A$89,$C428)&lt;&gt;1,"brak danych",IF(COUNTIFS($A$10:$A$89,$C428,$G$10:$G$89,"&lt;&gt;")=0,"brak danych",VLOOKUP($C428,$A$10:$J$89,7,FALSE)*$E428))))))</x:f>
      </x:c>
      <x:c r="I428" s="25" t="str">
        <x:f>IF($A428="","",IF(AND($C428="",$E428=""),"",IF($E428="","brak danych",IF($E428=0,0,IF(COUNTIFS($A$10:$A$89,$C428)&lt;&gt;1,"brak danych",IF(COUNTIFS($A$10:$A$89,$C428,$H$10:$H$89,"&lt;&gt;")=0,"brak danych",VLOOKUP($C428,$A$10:$J$89,8,FALSE)*$E428))))))</x:f>
      </x:c>
      <x:c r="J428" s="25" t="str">
        <x:f>IF($A428="","",IF(AND($C428="",$E428=""),"",IF($E428="","brak danych",IF($E428=0,0,IF(COUNTIFS($A$10:$A$89,$C428)&lt;&gt;1,"brak danych",IF(COUNTIFS($A$10:$A$89,$C428,$I$10:$I$89,"&lt;&gt;")=0,"brak danych",VLOOKUP($C428,$A$10:$J$89,9,FALSE)*$E428))))))</x:f>
      </x:c>
      <x:c r="K428" s="25" t="str">
        <x:f>IF($A428="","",IF(AND($C428="",$E428=""),"",IF($E428="","brak danych",IF($E428=0,0,IF(COUNTIFS($A$10:$A$89,$C428)&lt;&gt;1,"brak danych",IF(COUNTIFS($A$10:$A$89,$C428,$J$10:$J$89,"&lt;&gt;")=0,"brak danych",VLOOKUP($C428,$A$10:$J$89,10,FALSE)*$E428))))))</x:f>
      </x:c>
      <x:c r="L428" s="24" t="str">
        <x:f>IF($A428="","",IF($F428="","",IF($F428=0,0,IF(COUNTIFS($A$10:$A$89,$C428)&lt;&gt;1,"brak danych",IF(COUNTIFS($A$10:$A$89,$C428,$F$10:$F$89,"&lt;&gt;")=0,"brak danych",VLOOKUP($C428,$A$10:$J$89,6,FALSE)*$F428)))))</x:f>
      </x:c>
      <x:c r="M428" s="25" t="str">
        <x:f>IF($A428="","",IF($F428="","",IF($F428=0,0,IF(COUNTIFS($A$10:$A$89,$C428)&lt;&gt;1,"brak danych",IF(COUNTIFS($A$10:$A$89,$C428,$G$10:$G$89,"&lt;&gt;")=0,"brak danych",VLOOKUP($C428,$A$10:$J$89,7,FALSE)*$F428)))))</x:f>
      </x:c>
      <x:c r="N428" s="25" t="str">
        <x:f>IF($A428="","",IF($F428="","",IF($F428=0,0,IF(COUNTIFS($A$10:$A$89,$C428)&lt;&gt;1,"brak danych",IF(COUNTIFS($A$10:$A$89,$C428,$H$10:$H$89,"&lt;&gt;")=0,"brak danych",VLOOKUP($C428,$A$10:$J$89,8,FALSE)*$F428)))))</x:f>
      </x:c>
      <x:c r="O428" s="25" t="str">
        <x:f>IF($A428="","",IF($F428="","",IF($F428=0,0,IF(COUNTIFS($A$10:$A$89,$C428)&lt;&gt;1,"brak danych",IF(COUNTIFS($A$10:$A$89,$C428,$I$10:$I$89,"&lt;&gt;")=0,"brak danych",VLOOKUP($C428,$A$10:$J$89,9,FALSE)*$F428)))))</x:f>
      </x:c>
      <x:c r="P428" s="25" t="str">
        <x:f>IF($A428="","",IF($F428="","",IF($F428=0,0,IF(COUNTIFS($A$10:$A$89,$C428)&lt;&gt;1,"brak danych",IF(COUNTIFS($A$10:$A$89,$C428,$J$10:$J$89,"&lt;&gt;")=0,"brak danych",VLOOKUP($C428,$A$10:$J$89,10,FALSE)*$F428)))))</x:f>
      </x:c>
      <x:c r="Q428" s="18"/>
    </x:row>
    <x:row r="429" ht="25" customHeight="1">
      <x:c r="A429" s="6"/>
      <x:c r="B429" s="30"/>
      <x:c r="C429" s="5"/>
      <x:c r="D429" s="5"/>
      <x:c r="E429" s="32"/>
      <x:c r="F429" s="32"/>
      <x:c r="G429" s="24" t="str">
        <x:f>IF($A429="","",IF(AND($C429="",$E429=""),"",IF($E429="","brak danych",IF($E429=0,0,IF(COUNTIFS($A$10:$A$89,$C429)&lt;&gt;1,"brak danych",IF(COUNTIFS($A$10:$A$89,$C429,$F$10:$F$89,"&lt;&gt;")=0,"brak danych",VLOOKUP($C429,$A$10:$J$89,6,FALSE)*$E429))))))</x:f>
      </x:c>
      <x:c r="H429" s="25" t="str">
        <x:f>IF($A429="","",IF(AND($C429="",$E429=""),"",IF($E429="","brak danych",IF($E429=0,0,IF(COUNTIFS($A$10:$A$89,$C429)&lt;&gt;1,"brak danych",IF(COUNTIFS($A$10:$A$89,$C429,$G$10:$G$89,"&lt;&gt;")=0,"brak danych",VLOOKUP($C429,$A$10:$J$89,7,FALSE)*$E429))))))</x:f>
      </x:c>
      <x:c r="I429" s="25" t="str">
        <x:f>IF($A429="","",IF(AND($C429="",$E429=""),"",IF($E429="","brak danych",IF($E429=0,0,IF(COUNTIFS($A$10:$A$89,$C429)&lt;&gt;1,"brak danych",IF(COUNTIFS($A$10:$A$89,$C429,$H$10:$H$89,"&lt;&gt;")=0,"brak danych",VLOOKUP($C429,$A$10:$J$89,8,FALSE)*$E429))))))</x:f>
      </x:c>
      <x:c r="J429" s="25" t="str">
        <x:f>IF($A429="","",IF(AND($C429="",$E429=""),"",IF($E429="","brak danych",IF($E429=0,0,IF(COUNTIFS($A$10:$A$89,$C429)&lt;&gt;1,"brak danych",IF(COUNTIFS($A$10:$A$89,$C429,$I$10:$I$89,"&lt;&gt;")=0,"brak danych",VLOOKUP($C429,$A$10:$J$89,9,FALSE)*$E429))))))</x:f>
      </x:c>
      <x:c r="K429" s="25" t="str">
        <x:f>IF($A429="","",IF(AND($C429="",$E429=""),"",IF($E429="","brak danych",IF($E429=0,0,IF(COUNTIFS($A$10:$A$89,$C429)&lt;&gt;1,"brak danych",IF(COUNTIFS($A$10:$A$89,$C429,$J$10:$J$89,"&lt;&gt;")=0,"brak danych",VLOOKUP($C429,$A$10:$J$89,10,FALSE)*$E429))))))</x:f>
      </x:c>
      <x:c r="L429" s="24" t="str">
        <x:f>IF($A429="","",IF($F429="","",IF($F429=0,0,IF(COUNTIFS($A$10:$A$89,$C429)&lt;&gt;1,"brak danych",IF(COUNTIFS($A$10:$A$89,$C429,$F$10:$F$89,"&lt;&gt;")=0,"brak danych",VLOOKUP($C429,$A$10:$J$89,6,FALSE)*$F429)))))</x:f>
      </x:c>
      <x:c r="M429" s="25" t="str">
        <x:f>IF($A429="","",IF($F429="","",IF($F429=0,0,IF(COUNTIFS($A$10:$A$89,$C429)&lt;&gt;1,"brak danych",IF(COUNTIFS($A$10:$A$89,$C429,$G$10:$G$89,"&lt;&gt;")=0,"brak danych",VLOOKUP($C429,$A$10:$J$89,7,FALSE)*$F429)))))</x:f>
      </x:c>
      <x:c r="N429" s="25" t="str">
        <x:f>IF($A429="","",IF($F429="","",IF($F429=0,0,IF(COUNTIFS($A$10:$A$89,$C429)&lt;&gt;1,"brak danych",IF(COUNTIFS($A$10:$A$89,$C429,$H$10:$H$89,"&lt;&gt;")=0,"brak danych",VLOOKUP($C429,$A$10:$J$89,8,FALSE)*$F429)))))</x:f>
      </x:c>
      <x:c r="O429" s="25" t="str">
        <x:f>IF($A429="","",IF($F429="","",IF($F429=0,0,IF(COUNTIFS($A$10:$A$89,$C429)&lt;&gt;1,"brak danych",IF(COUNTIFS($A$10:$A$89,$C429,$I$10:$I$89,"&lt;&gt;")=0,"brak danych",VLOOKUP($C429,$A$10:$J$89,9,FALSE)*$F429)))))</x:f>
      </x:c>
      <x:c r="P429" s="25" t="str">
        <x:f>IF($A429="","",IF($F429="","",IF($F429=0,0,IF(COUNTIFS($A$10:$A$89,$C429)&lt;&gt;1,"brak danych",IF(COUNTIFS($A$10:$A$89,$C429,$J$10:$J$89,"&lt;&gt;")=0,"brak danych",VLOOKUP($C429,$A$10:$J$89,10,FALSE)*$F429)))))</x:f>
      </x:c>
      <x:c r="Q429" s="18"/>
    </x:row>
    <x:row r="430" ht="25" customHeight="1">
      <x:c r="A430" s="6"/>
      <x:c r="B430" s="30"/>
      <x:c r="C430" s="5"/>
      <x:c r="D430" s="5"/>
      <x:c r="E430" s="32"/>
      <x:c r="F430" s="32"/>
      <x:c r="G430" s="24" t="str">
        <x:f>IF($A430="","",IF(AND($C430="",$E430=""),"",IF($E430="","brak danych",IF($E430=0,0,IF(COUNTIFS($A$10:$A$89,$C430)&lt;&gt;1,"brak danych",IF(COUNTIFS($A$10:$A$89,$C430,$F$10:$F$89,"&lt;&gt;")=0,"brak danych",VLOOKUP($C430,$A$10:$J$89,6,FALSE)*$E430))))))</x:f>
      </x:c>
      <x:c r="H430" s="25" t="str">
        <x:f>IF($A430="","",IF(AND($C430="",$E430=""),"",IF($E430="","brak danych",IF($E430=0,0,IF(COUNTIFS($A$10:$A$89,$C430)&lt;&gt;1,"brak danych",IF(COUNTIFS($A$10:$A$89,$C430,$G$10:$G$89,"&lt;&gt;")=0,"brak danych",VLOOKUP($C430,$A$10:$J$89,7,FALSE)*$E430))))))</x:f>
      </x:c>
      <x:c r="I430" s="25" t="str">
        <x:f>IF($A430="","",IF(AND($C430="",$E430=""),"",IF($E430="","brak danych",IF($E430=0,0,IF(COUNTIFS($A$10:$A$89,$C430)&lt;&gt;1,"brak danych",IF(COUNTIFS($A$10:$A$89,$C430,$H$10:$H$89,"&lt;&gt;")=0,"brak danych",VLOOKUP($C430,$A$10:$J$89,8,FALSE)*$E430))))))</x:f>
      </x:c>
      <x:c r="J430" s="25" t="str">
        <x:f>IF($A430="","",IF(AND($C430="",$E430=""),"",IF($E430="","brak danych",IF($E430=0,0,IF(COUNTIFS($A$10:$A$89,$C430)&lt;&gt;1,"brak danych",IF(COUNTIFS($A$10:$A$89,$C430,$I$10:$I$89,"&lt;&gt;")=0,"brak danych",VLOOKUP($C430,$A$10:$J$89,9,FALSE)*$E430))))))</x:f>
      </x:c>
      <x:c r="K430" s="25" t="str">
        <x:f>IF($A430="","",IF(AND($C430="",$E430=""),"",IF($E430="","brak danych",IF($E430=0,0,IF(COUNTIFS($A$10:$A$89,$C430)&lt;&gt;1,"brak danych",IF(COUNTIFS($A$10:$A$89,$C430,$J$10:$J$89,"&lt;&gt;")=0,"brak danych",VLOOKUP($C430,$A$10:$J$89,10,FALSE)*$E430))))))</x:f>
      </x:c>
      <x:c r="L430" s="24" t="str">
        <x:f>IF($A430="","",IF($F430="","",IF($F430=0,0,IF(COUNTIFS($A$10:$A$89,$C430)&lt;&gt;1,"brak danych",IF(COUNTIFS($A$10:$A$89,$C430,$F$10:$F$89,"&lt;&gt;")=0,"brak danych",VLOOKUP($C430,$A$10:$J$89,6,FALSE)*$F430)))))</x:f>
      </x:c>
      <x:c r="M430" s="25" t="str">
        <x:f>IF($A430="","",IF($F430="","",IF($F430=0,0,IF(COUNTIFS($A$10:$A$89,$C430)&lt;&gt;1,"brak danych",IF(COUNTIFS($A$10:$A$89,$C430,$G$10:$G$89,"&lt;&gt;")=0,"brak danych",VLOOKUP($C430,$A$10:$J$89,7,FALSE)*$F430)))))</x:f>
      </x:c>
      <x:c r="N430" s="25" t="str">
        <x:f>IF($A430="","",IF($F430="","",IF($F430=0,0,IF(COUNTIFS($A$10:$A$89,$C430)&lt;&gt;1,"brak danych",IF(COUNTIFS($A$10:$A$89,$C430,$H$10:$H$89,"&lt;&gt;")=0,"brak danych",VLOOKUP($C430,$A$10:$J$89,8,FALSE)*$F430)))))</x:f>
      </x:c>
      <x:c r="O430" s="25" t="str">
        <x:f>IF($A430="","",IF($F430="","",IF($F430=0,0,IF(COUNTIFS($A$10:$A$89,$C430)&lt;&gt;1,"brak danych",IF(COUNTIFS($A$10:$A$89,$C430,$I$10:$I$89,"&lt;&gt;")=0,"brak danych",VLOOKUP($C430,$A$10:$J$89,9,FALSE)*$F430)))))</x:f>
      </x:c>
      <x:c r="P430" s="25" t="str">
        <x:f>IF($A430="","",IF($F430="","",IF($F430=0,0,IF(COUNTIFS($A$10:$A$89,$C430)&lt;&gt;1,"brak danych",IF(COUNTIFS($A$10:$A$89,$C430,$J$10:$J$89,"&lt;&gt;")=0,"brak danych",VLOOKUP($C430,$A$10:$J$89,10,FALSE)*$F430)))))</x:f>
      </x:c>
      <x:c r="Q430" s="18"/>
    </x:row>
    <x:row r="431" ht="25" customHeight="1">
      <x:c r="A431" s="6"/>
      <x:c r="B431" s="30"/>
      <x:c r="C431" s="5"/>
      <x:c r="D431" s="5"/>
      <x:c r="E431" s="32"/>
      <x:c r="F431" s="32"/>
      <x:c r="G431" s="24" t="str">
        <x:f>IF($A431="","",IF(AND($C431="",$E431=""),"",IF($E431="","brak danych",IF($E431=0,0,IF(COUNTIFS($A$10:$A$89,$C431)&lt;&gt;1,"brak danych",IF(COUNTIFS($A$10:$A$89,$C431,$F$10:$F$89,"&lt;&gt;")=0,"brak danych",VLOOKUP($C431,$A$10:$J$89,6,FALSE)*$E431))))))</x:f>
      </x:c>
      <x:c r="H431" s="25" t="str">
        <x:f>IF($A431="","",IF(AND($C431="",$E431=""),"",IF($E431="","brak danych",IF($E431=0,0,IF(COUNTIFS($A$10:$A$89,$C431)&lt;&gt;1,"brak danych",IF(COUNTIFS($A$10:$A$89,$C431,$G$10:$G$89,"&lt;&gt;")=0,"brak danych",VLOOKUP($C431,$A$10:$J$89,7,FALSE)*$E431))))))</x:f>
      </x:c>
      <x:c r="I431" s="25" t="str">
        <x:f>IF($A431="","",IF(AND($C431="",$E431=""),"",IF($E431="","brak danych",IF($E431=0,0,IF(COUNTIFS($A$10:$A$89,$C431)&lt;&gt;1,"brak danych",IF(COUNTIFS($A$10:$A$89,$C431,$H$10:$H$89,"&lt;&gt;")=0,"brak danych",VLOOKUP($C431,$A$10:$J$89,8,FALSE)*$E431))))))</x:f>
      </x:c>
      <x:c r="J431" s="25" t="str">
        <x:f>IF($A431="","",IF(AND($C431="",$E431=""),"",IF($E431="","brak danych",IF($E431=0,0,IF(COUNTIFS($A$10:$A$89,$C431)&lt;&gt;1,"brak danych",IF(COUNTIFS($A$10:$A$89,$C431,$I$10:$I$89,"&lt;&gt;")=0,"brak danych",VLOOKUP($C431,$A$10:$J$89,9,FALSE)*$E431))))))</x:f>
      </x:c>
      <x:c r="K431" s="25" t="str">
        <x:f>IF($A431="","",IF(AND($C431="",$E431=""),"",IF($E431="","brak danych",IF($E431=0,0,IF(COUNTIFS($A$10:$A$89,$C431)&lt;&gt;1,"brak danych",IF(COUNTIFS($A$10:$A$89,$C431,$J$10:$J$89,"&lt;&gt;")=0,"brak danych",VLOOKUP($C431,$A$10:$J$89,10,FALSE)*$E431))))))</x:f>
      </x:c>
      <x:c r="L431" s="24" t="str">
        <x:f>IF($A431="","",IF($F431="","",IF($F431=0,0,IF(COUNTIFS($A$10:$A$89,$C431)&lt;&gt;1,"brak danych",IF(COUNTIFS($A$10:$A$89,$C431,$F$10:$F$89,"&lt;&gt;")=0,"brak danych",VLOOKUP($C431,$A$10:$J$89,6,FALSE)*$F431)))))</x:f>
      </x:c>
      <x:c r="M431" s="25" t="str">
        <x:f>IF($A431="","",IF($F431="","",IF($F431=0,0,IF(COUNTIFS($A$10:$A$89,$C431)&lt;&gt;1,"brak danych",IF(COUNTIFS($A$10:$A$89,$C431,$G$10:$G$89,"&lt;&gt;")=0,"brak danych",VLOOKUP($C431,$A$10:$J$89,7,FALSE)*$F431)))))</x:f>
      </x:c>
      <x:c r="N431" s="25" t="str">
        <x:f>IF($A431="","",IF($F431="","",IF($F431=0,0,IF(COUNTIFS($A$10:$A$89,$C431)&lt;&gt;1,"brak danych",IF(COUNTIFS($A$10:$A$89,$C431,$H$10:$H$89,"&lt;&gt;")=0,"brak danych",VLOOKUP($C431,$A$10:$J$89,8,FALSE)*$F431)))))</x:f>
      </x:c>
      <x:c r="O431" s="25" t="str">
        <x:f>IF($A431="","",IF($F431="","",IF($F431=0,0,IF(COUNTIFS($A$10:$A$89,$C431)&lt;&gt;1,"brak danych",IF(COUNTIFS($A$10:$A$89,$C431,$I$10:$I$89,"&lt;&gt;")=0,"brak danych",VLOOKUP($C431,$A$10:$J$89,9,FALSE)*$F431)))))</x:f>
      </x:c>
      <x:c r="P431" s="25" t="str">
        <x:f>IF($A431="","",IF($F431="","",IF($F431=0,0,IF(COUNTIFS($A$10:$A$89,$C431)&lt;&gt;1,"brak danych",IF(COUNTIFS($A$10:$A$89,$C431,$J$10:$J$89,"&lt;&gt;")=0,"brak danych",VLOOKUP($C431,$A$10:$J$89,10,FALSE)*$F431)))))</x:f>
      </x:c>
      <x:c r="Q431" s="18"/>
    </x:row>
    <x:row r="432" ht="25" customHeight="1">
      <x:c r="A432" s="6"/>
      <x:c r="B432" s="30"/>
      <x:c r="C432" s="5"/>
      <x:c r="D432" s="5"/>
      <x:c r="E432" s="32"/>
      <x:c r="F432" s="32"/>
      <x:c r="G432" s="24" t="str">
        <x:f>IF($A432="","",IF(AND($C432="",$E432=""),"",IF($E432="","brak danych",IF($E432=0,0,IF(COUNTIFS($A$10:$A$89,$C432)&lt;&gt;1,"brak danych",IF(COUNTIFS($A$10:$A$89,$C432,$F$10:$F$89,"&lt;&gt;")=0,"brak danych",VLOOKUP($C432,$A$10:$J$89,6,FALSE)*$E432))))))</x:f>
      </x:c>
      <x:c r="H432" s="25" t="str">
        <x:f>IF($A432="","",IF(AND($C432="",$E432=""),"",IF($E432="","brak danych",IF($E432=0,0,IF(COUNTIFS($A$10:$A$89,$C432)&lt;&gt;1,"brak danych",IF(COUNTIFS($A$10:$A$89,$C432,$G$10:$G$89,"&lt;&gt;")=0,"brak danych",VLOOKUP($C432,$A$10:$J$89,7,FALSE)*$E432))))))</x:f>
      </x:c>
      <x:c r="I432" s="25" t="str">
        <x:f>IF($A432="","",IF(AND($C432="",$E432=""),"",IF($E432="","brak danych",IF($E432=0,0,IF(COUNTIFS($A$10:$A$89,$C432)&lt;&gt;1,"brak danych",IF(COUNTIFS($A$10:$A$89,$C432,$H$10:$H$89,"&lt;&gt;")=0,"brak danych",VLOOKUP($C432,$A$10:$J$89,8,FALSE)*$E432))))))</x:f>
      </x:c>
      <x:c r="J432" s="25" t="str">
        <x:f>IF($A432="","",IF(AND($C432="",$E432=""),"",IF($E432="","brak danych",IF($E432=0,0,IF(COUNTIFS($A$10:$A$89,$C432)&lt;&gt;1,"brak danych",IF(COUNTIFS($A$10:$A$89,$C432,$I$10:$I$89,"&lt;&gt;")=0,"brak danych",VLOOKUP($C432,$A$10:$J$89,9,FALSE)*$E432))))))</x:f>
      </x:c>
      <x:c r="K432" s="25" t="str">
        <x:f>IF($A432="","",IF(AND($C432="",$E432=""),"",IF($E432="","brak danych",IF($E432=0,0,IF(COUNTIFS($A$10:$A$89,$C432)&lt;&gt;1,"brak danych",IF(COUNTIFS($A$10:$A$89,$C432,$J$10:$J$89,"&lt;&gt;")=0,"brak danych",VLOOKUP($C432,$A$10:$J$89,10,FALSE)*$E432))))))</x:f>
      </x:c>
      <x:c r="L432" s="24" t="str">
        <x:f>IF($A432="","",IF($F432="","",IF($F432=0,0,IF(COUNTIFS($A$10:$A$89,$C432)&lt;&gt;1,"brak danych",IF(COUNTIFS($A$10:$A$89,$C432,$F$10:$F$89,"&lt;&gt;")=0,"brak danych",VLOOKUP($C432,$A$10:$J$89,6,FALSE)*$F432)))))</x:f>
      </x:c>
      <x:c r="M432" s="25" t="str">
        <x:f>IF($A432="","",IF($F432="","",IF($F432=0,0,IF(COUNTIFS($A$10:$A$89,$C432)&lt;&gt;1,"brak danych",IF(COUNTIFS($A$10:$A$89,$C432,$G$10:$G$89,"&lt;&gt;")=0,"brak danych",VLOOKUP($C432,$A$10:$J$89,7,FALSE)*$F432)))))</x:f>
      </x:c>
      <x:c r="N432" s="25" t="str">
        <x:f>IF($A432="","",IF($F432="","",IF($F432=0,0,IF(COUNTIFS($A$10:$A$89,$C432)&lt;&gt;1,"brak danych",IF(COUNTIFS($A$10:$A$89,$C432,$H$10:$H$89,"&lt;&gt;")=0,"brak danych",VLOOKUP($C432,$A$10:$J$89,8,FALSE)*$F432)))))</x:f>
      </x:c>
      <x:c r="O432" s="25" t="str">
        <x:f>IF($A432="","",IF($F432="","",IF($F432=0,0,IF(COUNTIFS($A$10:$A$89,$C432)&lt;&gt;1,"brak danych",IF(COUNTIFS($A$10:$A$89,$C432,$I$10:$I$89,"&lt;&gt;")=0,"brak danych",VLOOKUP($C432,$A$10:$J$89,9,FALSE)*$F432)))))</x:f>
      </x:c>
      <x:c r="P432" s="25" t="str">
        <x:f>IF($A432="","",IF($F432="","",IF($F432=0,0,IF(COUNTIFS($A$10:$A$89,$C432)&lt;&gt;1,"brak danych",IF(COUNTIFS($A$10:$A$89,$C432,$J$10:$J$89,"&lt;&gt;")=0,"brak danych",VLOOKUP($C432,$A$10:$J$89,10,FALSE)*$F432)))))</x:f>
      </x:c>
      <x:c r="Q432" s="18"/>
    </x:row>
    <x:row r="433" ht="25" customHeight="1">
      <x:c r="A433" s="6"/>
      <x:c r="B433" s="30"/>
      <x:c r="C433" s="5"/>
      <x:c r="D433" s="5"/>
      <x:c r="E433" s="32"/>
      <x:c r="F433" s="32"/>
      <x:c r="G433" s="24" t="str">
        <x:f>IF($A433="","",IF(AND($C433="",$E433=""),"",IF($E433="","brak danych",IF($E433=0,0,IF(COUNTIFS($A$10:$A$89,$C433)&lt;&gt;1,"brak danych",IF(COUNTIFS($A$10:$A$89,$C433,$F$10:$F$89,"&lt;&gt;")=0,"brak danych",VLOOKUP($C433,$A$10:$J$89,6,FALSE)*$E433))))))</x:f>
      </x:c>
      <x:c r="H433" s="25" t="str">
        <x:f>IF($A433="","",IF(AND($C433="",$E433=""),"",IF($E433="","brak danych",IF($E433=0,0,IF(COUNTIFS($A$10:$A$89,$C433)&lt;&gt;1,"brak danych",IF(COUNTIFS($A$10:$A$89,$C433,$G$10:$G$89,"&lt;&gt;")=0,"brak danych",VLOOKUP($C433,$A$10:$J$89,7,FALSE)*$E433))))))</x:f>
      </x:c>
      <x:c r="I433" s="25" t="str">
        <x:f>IF($A433="","",IF(AND($C433="",$E433=""),"",IF($E433="","brak danych",IF($E433=0,0,IF(COUNTIFS($A$10:$A$89,$C433)&lt;&gt;1,"brak danych",IF(COUNTIFS($A$10:$A$89,$C433,$H$10:$H$89,"&lt;&gt;")=0,"brak danych",VLOOKUP($C433,$A$10:$J$89,8,FALSE)*$E433))))))</x:f>
      </x:c>
      <x:c r="J433" s="25" t="str">
        <x:f>IF($A433="","",IF(AND($C433="",$E433=""),"",IF($E433="","brak danych",IF($E433=0,0,IF(COUNTIFS($A$10:$A$89,$C433)&lt;&gt;1,"brak danych",IF(COUNTIFS($A$10:$A$89,$C433,$I$10:$I$89,"&lt;&gt;")=0,"brak danych",VLOOKUP($C433,$A$10:$J$89,9,FALSE)*$E433))))))</x:f>
      </x:c>
      <x:c r="K433" s="25" t="str">
        <x:f>IF($A433="","",IF(AND($C433="",$E433=""),"",IF($E433="","brak danych",IF($E433=0,0,IF(COUNTIFS($A$10:$A$89,$C433)&lt;&gt;1,"brak danych",IF(COUNTIFS($A$10:$A$89,$C433,$J$10:$J$89,"&lt;&gt;")=0,"brak danych",VLOOKUP($C433,$A$10:$J$89,10,FALSE)*$E433))))))</x:f>
      </x:c>
      <x:c r="L433" s="24" t="str">
        <x:f>IF($A433="","",IF($F433="","",IF($F433=0,0,IF(COUNTIFS($A$10:$A$89,$C433)&lt;&gt;1,"brak danych",IF(COUNTIFS($A$10:$A$89,$C433,$F$10:$F$89,"&lt;&gt;")=0,"brak danych",VLOOKUP($C433,$A$10:$J$89,6,FALSE)*$F433)))))</x:f>
      </x:c>
      <x:c r="M433" s="25" t="str">
        <x:f>IF($A433="","",IF($F433="","",IF($F433=0,0,IF(COUNTIFS($A$10:$A$89,$C433)&lt;&gt;1,"brak danych",IF(COUNTIFS($A$10:$A$89,$C433,$G$10:$G$89,"&lt;&gt;")=0,"brak danych",VLOOKUP($C433,$A$10:$J$89,7,FALSE)*$F433)))))</x:f>
      </x:c>
      <x:c r="N433" s="25" t="str">
        <x:f>IF($A433="","",IF($F433="","",IF($F433=0,0,IF(COUNTIFS($A$10:$A$89,$C433)&lt;&gt;1,"brak danych",IF(COUNTIFS($A$10:$A$89,$C433,$H$10:$H$89,"&lt;&gt;")=0,"brak danych",VLOOKUP($C433,$A$10:$J$89,8,FALSE)*$F433)))))</x:f>
      </x:c>
      <x:c r="O433" s="25" t="str">
        <x:f>IF($A433="","",IF($F433="","",IF($F433=0,0,IF(COUNTIFS($A$10:$A$89,$C433)&lt;&gt;1,"brak danych",IF(COUNTIFS($A$10:$A$89,$C433,$I$10:$I$89,"&lt;&gt;")=0,"brak danych",VLOOKUP($C433,$A$10:$J$89,9,FALSE)*$F433)))))</x:f>
      </x:c>
      <x:c r="P433" s="25" t="str">
        <x:f>IF($A433="","",IF($F433="","",IF($F433=0,0,IF(COUNTIFS($A$10:$A$89,$C433)&lt;&gt;1,"brak danych",IF(COUNTIFS($A$10:$A$89,$C433,$J$10:$J$89,"&lt;&gt;")=0,"brak danych",VLOOKUP($C433,$A$10:$J$89,10,FALSE)*$F433)))))</x:f>
      </x:c>
      <x:c r="Q433" s="18"/>
    </x:row>
    <x:row r="434" ht="25" customHeight="1">
      <x:c r="A434" s="6"/>
      <x:c r="B434" s="30"/>
      <x:c r="C434" s="5"/>
      <x:c r="D434" s="5"/>
      <x:c r="E434" s="32"/>
      <x:c r="F434" s="32"/>
      <x:c r="G434" s="24" t="str">
        <x:f>IF($A434="","",IF(AND($C434="",$E434=""),"",IF($E434="","brak danych",IF($E434=0,0,IF(COUNTIFS($A$10:$A$89,$C434)&lt;&gt;1,"brak danych",IF(COUNTIFS($A$10:$A$89,$C434,$F$10:$F$89,"&lt;&gt;")=0,"brak danych",VLOOKUP($C434,$A$10:$J$89,6,FALSE)*$E434))))))</x:f>
      </x:c>
      <x:c r="H434" s="25" t="str">
        <x:f>IF($A434="","",IF(AND($C434="",$E434=""),"",IF($E434="","brak danych",IF($E434=0,0,IF(COUNTIFS($A$10:$A$89,$C434)&lt;&gt;1,"brak danych",IF(COUNTIFS($A$10:$A$89,$C434,$G$10:$G$89,"&lt;&gt;")=0,"brak danych",VLOOKUP($C434,$A$10:$J$89,7,FALSE)*$E434))))))</x:f>
      </x:c>
      <x:c r="I434" s="25" t="str">
        <x:f>IF($A434="","",IF(AND($C434="",$E434=""),"",IF($E434="","brak danych",IF($E434=0,0,IF(COUNTIFS($A$10:$A$89,$C434)&lt;&gt;1,"brak danych",IF(COUNTIFS($A$10:$A$89,$C434,$H$10:$H$89,"&lt;&gt;")=0,"brak danych",VLOOKUP($C434,$A$10:$J$89,8,FALSE)*$E434))))))</x:f>
      </x:c>
      <x:c r="J434" s="25" t="str">
        <x:f>IF($A434="","",IF(AND($C434="",$E434=""),"",IF($E434="","brak danych",IF($E434=0,0,IF(COUNTIFS($A$10:$A$89,$C434)&lt;&gt;1,"brak danych",IF(COUNTIFS($A$10:$A$89,$C434,$I$10:$I$89,"&lt;&gt;")=0,"brak danych",VLOOKUP($C434,$A$10:$J$89,9,FALSE)*$E434))))))</x:f>
      </x:c>
      <x:c r="K434" s="25" t="str">
        <x:f>IF($A434="","",IF(AND($C434="",$E434=""),"",IF($E434="","brak danych",IF($E434=0,0,IF(COUNTIFS($A$10:$A$89,$C434)&lt;&gt;1,"brak danych",IF(COUNTIFS($A$10:$A$89,$C434,$J$10:$J$89,"&lt;&gt;")=0,"brak danych",VLOOKUP($C434,$A$10:$J$89,10,FALSE)*$E434))))))</x:f>
      </x:c>
      <x:c r="L434" s="24" t="str">
        <x:f>IF($A434="","",IF($F434="","",IF($F434=0,0,IF(COUNTIFS($A$10:$A$89,$C434)&lt;&gt;1,"brak danych",IF(COUNTIFS($A$10:$A$89,$C434,$F$10:$F$89,"&lt;&gt;")=0,"brak danych",VLOOKUP($C434,$A$10:$J$89,6,FALSE)*$F434)))))</x:f>
      </x:c>
      <x:c r="M434" s="25" t="str">
        <x:f>IF($A434="","",IF($F434="","",IF($F434=0,0,IF(COUNTIFS($A$10:$A$89,$C434)&lt;&gt;1,"brak danych",IF(COUNTIFS($A$10:$A$89,$C434,$G$10:$G$89,"&lt;&gt;")=0,"brak danych",VLOOKUP($C434,$A$10:$J$89,7,FALSE)*$F434)))))</x:f>
      </x:c>
      <x:c r="N434" s="25" t="str">
        <x:f>IF($A434="","",IF($F434="","",IF($F434=0,0,IF(COUNTIFS($A$10:$A$89,$C434)&lt;&gt;1,"brak danych",IF(COUNTIFS($A$10:$A$89,$C434,$H$10:$H$89,"&lt;&gt;")=0,"brak danych",VLOOKUP($C434,$A$10:$J$89,8,FALSE)*$F434)))))</x:f>
      </x:c>
      <x:c r="O434" s="25" t="str">
        <x:f>IF($A434="","",IF($F434="","",IF($F434=0,0,IF(COUNTIFS($A$10:$A$89,$C434)&lt;&gt;1,"brak danych",IF(COUNTIFS($A$10:$A$89,$C434,$I$10:$I$89,"&lt;&gt;")=0,"brak danych",VLOOKUP($C434,$A$10:$J$89,9,FALSE)*$F434)))))</x:f>
      </x:c>
      <x:c r="P434" s="25" t="str">
        <x:f>IF($A434="","",IF($F434="","",IF($F434=0,0,IF(COUNTIFS($A$10:$A$89,$C434)&lt;&gt;1,"brak danych",IF(COUNTIFS($A$10:$A$89,$C434,$J$10:$J$89,"&lt;&gt;")=0,"brak danych",VLOOKUP($C434,$A$10:$J$89,10,FALSE)*$F434)))))</x:f>
      </x:c>
      <x:c r="Q434" s="18"/>
    </x:row>
    <x:row r="435" ht="25" customHeight="1">
      <x:c r="A435" s="6"/>
      <x:c r="B435" s="30"/>
      <x:c r="C435" s="5"/>
      <x:c r="D435" s="5"/>
      <x:c r="E435" s="32"/>
      <x:c r="F435" s="32"/>
      <x:c r="G435" s="24" t="str">
        <x:f>IF($A435="","",IF(AND($C435="",$E435=""),"",IF($E435="","brak danych",IF($E435=0,0,IF(COUNTIFS($A$10:$A$89,$C435)&lt;&gt;1,"brak danych",IF(COUNTIFS($A$10:$A$89,$C435,$F$10:$F$89,"&lt;&gt;")=0,"brak danych",VLOOKUP($C435,$A$10:$J$89,6,FALSE)*$E435))))))</x:f>
      </x:c>
      <x:c r="H435" s="25" t="str">
        <x:f>IF($A435="","",IF(AND($C435="",$E435=""),"",IF($E435="","brak danych",IF($E435=0,0,IF(COUNTIFS($A$10:$A$89,$C435)&lt;&gt;1,"brak danych",IF(COUNTIFS($A$10:$A$89,$C435,$G$10:$G$89,"&lt;&gt;")=0,"brak danych",VLOOKUP($C435,$A$10:$J$89,7,FALSE)*$E435))))))</x:f>
      </x:c>
      <x:c r="I435" s="25" t="str">
        <x:f>IF($A435="","",IF(AND($C435="",$E435=""),"",IF($E435="","brak danych",IF($E435=0,0,IF(COUNTIFS($A$10:$A$89,$C435)&lt;&gt;1,"brak danych",IF(COUNTIFS($A$10:$A$89,$C435,$H$10:$H$89,"&lt;&gt;")=0,"brak danych",VLOOKUP($C435,$A$10:$J$89,8,FALSE)*$E435))))))</x:f>
      </x:c>
      <x:c r="J435" s="25" t="str">
        <x:f>IF($A435="","",IF(AND($C435="",$E435=""),"",IF($E435="","brak danych",IF($E435=0,0,IF(COUNTIFS($A$10:$A$89,$C435)&lt;&gt;1,"brak danych",IF(COUNTIFS($A$10:$A$89,$C435,$I$10:$I$89,"&lt;&gt;")=0,"brak danych",VLOOKUP($C435,$A$10:$J$89,9,FALSE)*$E435))))))</x:f>
      </x:c>
      <x:c r="K435" s="25" t="str">
        <x:f>IF($A435="","",IF(AND($C435="",$E435=""),"",IF($E435="","brak danych",IF($E435=0,0,IF(COUNTIFS($A$10:$A$89,$C435)&lt;&gt;1,"brak danych",IF(COUNTIFS($A$10:$A$89,$C435,$J$10:$J$89,"&lt;&gt;")=0,"brak danych",VLOOKUP($C435,$A$10:$J$89,10,FALSE)*$E435))))))</x:f>
      </x:c>
      <x:c r="L435" s="24" t="str">
        <x:f>IF($A435="","",IF($F435="","",IF($F435=0,0,IF(COUNTIFS($A$10:$A$89,$C435)&lt;&gt;1,"brak danych",IF(COUNTIFS($A$10:$A$89,$C435,$F$10:$F$89,"&lt;&gt;")=0,"brak danych",VLOOKUP($C435,$A$10:$J$89,6,FALSE)*$F435)))))</x:f>
      </x:c>
      <x:c r="M435" s="25" t="str">
        <x:f>IF($A435="","",IF($F435="","",IF($F435=0,0,IF(COUNTIFS($A$10:$A$89,$C435)&lt;&gt;1,"brak danych",IF(COUNTIFS($A$10:$A$89,$C435,$G$10:$G$89,"&lt;&gt;")=0,"brak danych",VLOOKUP($C435,$A$10:$J$89,7,FALSE)*$F435)))))</x:f>
      </x:c>
      <x:c r="N435" s="25" t="str">
        <x:f>IF($A435="","",IF($F435="","",IF($F435=0,0,IF(COUNTIFS($A$10:$A$89,$C435)&lt;&gt;1,"brak danych",IF(COUNTIFS($A$10:$A$89,$C435,$H$10:$H$89,"&lt;&gt;")=0,"brak danych",VLOOKUP($C435,$A$10:$J$89,8,FALSE)*$F435)))))</x:f>
      </x:c>
      <x:c r="O435" s="25" t="str">
        <x:f>IF($A435="","",IF($F435="","",IF($F435=0,0,IF(COUNTIFS($A$10:$A$89,$C435)&lt;&gt;1,"brak danych",IF(COUNTIFS($A$10:$A$89,$C435,$I$10:$I$89,"&lt;&gt;")=0,"brak danych",VLOOKUP($C435,$A$10:$J$89,9,FALSE)*$F435)))))</x:f>
      </x:c>
      <x:c r="P435" s="25" t="str">
        <x:f>IF($A435="","",IF($F435="","",IF($F435=0,0,IF(COUNTIFS($A$10:$A$89,$C435)&lt;&gt;1,"brak danych",IF(COUNTIFS($A$10:$A$89,$C435,$J$10:$J$89,"&lt;&gt;")=0,"brak danych",VLOOKUP($C435,$A$10:$J$89,10,FALSE)*$F435)))))</x:f>
      </x:c>
      <x:c r="Q435" s="18"/>
    </x:row>
    <x:row r="436" ht="25" customHeight="1">
      <x:c r="A436" s="6"/>
      <x:c r="B436" s="30"/>
      <x:c r="C436" s="5"/>
      <x:c r="D436" s="5"/>
      <x:c r="E436" s="32"/>
      <x:c r="F436" s="32"/>
      <x:c r="G436" s="24" t="str">
        <x:f>IF($A436="","",IF(AND($C436="",$E436=""),"",IF($E436="","brak danych",IF($E436=0,0,IF(COUNTIFS($A$10:$A$89,$C436)&lt;&gt;1,"brak danych",IF(COUNTIFS($A$10:$A$89,$C436,$F$10:$F$89,"&lt;&gt;")=0,"brak danych",VLOOKUP($C436,$A$10:$J$89,6,FALSE)*$E436))))))</x:f>
      </x:c>
      <x:c r="H436" s="25" t="str">
        <x:f>IF($A436="","",IF(AND($C436="",$E436=""),"",IF($E436="","brak danych",IF($E436=0,0,IF(COUNTIFS($A$10:$A$89,$C436)&lt;&gt;1,"brak danych",IF(COUNTIFS($A$10:$A$89,$C436,$G$10:$G$89,"&lt;&gt;")=0,"brak danych",VLOOKUP($C436,$A$10:$J$89,7,FALSE)*$E436))))))</x:f>
      </x:c>
      <x:c r="I436" s="25" t="str">
        <x:f>IF($A436="","",IF(AND($C436="",$E436=""),"",IF($E436="","brak danych",IF($E436=0,0,IF(COUNTIFS($A$10:$A$89,$C436)&lt;&gt;1,"brak danych",IF(COUNTIFS($A$10:$A$89,$C436,$H$10:$H$89,"&lt;&gt;")=0,"brak danych",VLOOKUP($C436,$A$10:$J$89,8,FALSE)*$E436))))))</x:f>
      </x:c>
      <x:c r="J436" s="25" t="str">
        <x:f>IF($A436="","",IF(AND($C436="",$E436=""),"",IF($E436="","brak danych",IF($E436=0,0,IF(COUNTIFS($A$10:$A$89,$C436)&lt;&gt;1,"brak danych",IF(COUNTIFS($A$10:$A$89,$C436,$I$10:$I$89,"&lt;&gt;")=0,"brak danych",VLOOKUP($C436,$A$10:$J$89,9,FALSE)*$E436))))))</x:f>
      </x:c>
      <x:c r="K436" s="25" t="str">
        <x:f>IF($A436="","",IF(AND($C436="",$E436=""),"",IF($E436="","brak danych",IF($E436=0,0,IF(COUNTIFS($A$10:$A$89,$C436)&lt;&gt;1,"brak danych",IF(COUNTIFS($A$10:$A$89,$C436,$J$10:$J$89,"&lt;&gt;")=0,"brak danych",VLOOKUP($C436,$A$10:$J$89,10,FALSE)*$E436))))))</x:f>
      </x:c>
      <x:c r="L436" s="24" t="str">
        <x:f>IF($A436="","",IF($F436="","",IF($F436=0,0,IF(COUNTIFS($A$10:$A$89,$C436)&lt;&gt;1,"brak danych",IF(COUNTIFS($A$10:$A$89,$C436,$F$10:$F$89,"&lt;&gt;")=0,"brak danych",VLOOKUP($C436,$A$10:$J$89,6,FALSE)*$F436)))))</x:f>
      </x:c>
      <x:c r="M436" s="25" t="str">
        <x:f>IF($A436="","",IF($F436="","",IF($F436=0,0,IF(COUNTIFS($A$10:$A$89,$C436)&lt;&gt;1,"brak danych",IF(COUNTIFS($A$10:$A$89,$C436,$G$10:$G$89,"&lt;&gt;")=0,"brak danych",VLOOKUP($C436,$A$10:$J$89,7,FALSE)*$F436)))))</x:f>
      </x:c>
      <x:c r="N436" s="25" t="str">
        <x:f>IF($A436="","",IF($F436="","",IF($F436=0,0,IF(COUNTIFS($A$10:$A$89,$C436)&lt;&gt;1,"brak danych",IF(COUNTIFS($A$10:$A$89,$C436,$H$10:$H$89,"&lt;&gt;")=0,"brak danych",VLOOKUP($C436,$A$10:$J$89,8,FALSE)*$F436)))))</x:f>
      </x:c>
      <x:c r="O436" s="25" t="str">
        <x:f>IF($A436="","",IF($F436="","",IF($F436=0,0,IF(COUNTIFS($A$10:$A$89,$C436)&lt;&gt;1,"brak danych",IF(COUNTIFS($A$10:$A$89,$C436,$I$10:$I$89,"&lt;&gt;")=0,"brak danych",VLOOKUP($C436,$A$10:$J$89,9,FALSE)*$F436)))))</x:f>
      </x:c>
      <x:c r="P436" s="25" t="str">
        <x:f>IF($A436="","",IF($F436="","",IF($F436=0,0,IF(COUNTIFS($A$10:$A$89,$C436)&lt;&gt;1,"brak danych",IF(COUNTIFS($A$10:$A$89,$C436,$J$10:$J$89,"&lt;&gt;")=0,"brak danych",VLOOKUP($C436,$A$10:$J$89,10,FALSE)*$F436)))))</x:f>
      </x:c>
      <x:c r="Q436" s="18"/>
    </x:row>
    <x:row r="437" ht="25" customHeight="1">
      <x:c r="A437" s="6"/>
      <x:c r="B437" s="30"/>
      <x:c r="C437" s="5"/>
      <x:c r="D437" s="5"/>
      <x:c r="E437" s="32"/>
      <x:c r="F437" s="32"/>
      <x:c r="G437" s="24" t="str">
        <x:f>IF($A437="","",IF(AND($C437="",$E437=""),"",IF($E437="","brak danych",IF($E437=0,0,IF(COUNTIFS($A$10:$A$89,$C437)&lt;&gt;1,"brak danych",IF(COUNTIFS($A$10:$A$89,$C437,$F$10:$F$89,"&lt;&gt;")=0,"brak danych",VLOOKUP($C437,$A$10:$J$89,6,FALSE)*$E437))))))</x:f>
      </x:c>
      <x:c r="H437" s="25" t="str">
        <x:f>IF($A437="","",IF(AND($C437="",$E437=""),"",IF($E437="","brak danych",IF($E437=0,0,IF(COUNTIFS($A$10:$A$89,$C437)&lt;&gt;1,"brak danych",IF(COUNTIFS($A$10:$A$89,$C437,$G$10:$G$89,"&lt;&gt;")=0,"brak danych",VLOOKUP($C437,$A$10:$J$89,7,FALSE)*$E437))))))</x:f>
      </x:c>
      <x:c r="I437" s="25" t="str">
        <x:f>IF($A437="","",IF(AND($C437="",$E437=""),"",IF($E437="","brak danych",IF($E437=0,0,IF(COUNTIFS($A$10:$A$89,$C437)&lt;&gt;1,"brak danych",IF(COUNTIFS($A$10:$A$89,$C437,$H$10:$H$89,"&lt;&gt;")=0,"brak danych",VLOOKUP($C437,$A$10:$J$89,8,FALSE)*$E437))))))</x:f>
      </x:c>
      <x:c r="J437" s="25" t="str">
        <x:f>IF($A437="","",IF(AND($C437="",$E437=""),"",IF($E437="","brak danych",IF($E437=0,0,IF(COUNTIFS($A$10:$A$89,$C437)&lt;&gt;1,"brak danych",IF(COUNTIFS($A$10:$A$89,$C437,$I$10:$I$89,"&lt;&gt;")=0,"brak danych",VLOOKUP($C437,$A$10:$J$89,9,FALSE)*$E437))))))</x:f>
      </x:c>
      <x:c r="K437" s="25" t="str">
        <x:f>IF($A437="","",IF(AND($C437="",$E437=""),"",IF($E437="","brak danych",IF($E437=0,0,IF(COUNTIFS($A$10:$A$89,$C437)&lt;&gt;1,"brak danych",IF(COUNTIFS($A$10:$A$89,$C437,$J$10:$J$89,"&lt;&gt;")=0,"brak danych",VLOOKUP($C437,$A$10:$J$89,10,FALSE)*$E437))))))</x:f>
      </x:c>
      <x:c r="L437" s="24" t="str">
        <x:f>IF($A437="","",IF($F437="","",IF($F437=0,0,IF(COUNTIFS($A$10:$A$89,$C437)&lt;&gt;1,"brak danych",IF(COUNTIFS($A$10:$A$89,$C437,$F$10:$F$89,"&lt;&gt;")=0,"brak danych",VLOOKUP($C437,$A$10:$J$89,6,FALSE)*$F437)))))</x:f>
      </x:c>
      <x:c r="M437" s="25" t="str">
        <x:f>IF($A437="","",IF($F437="","",IF($F437=0,0,IF(COUNTIFS($A$10:$A$89,$C437)&lt;&gt;1,"brak danych",IF(COUNTIFS($A$10:$A$89,$C437,$G$10:$G$89,"&lt;&gt;")=0,"brak danych",VLOOKUP($C437,$A$10:$J$89,7,FALSE)*$F437)))))</x:f>
      </x:c>
      <x:c r="N437" s="25" t="str">
        <x:f>IF($A437="","",IF($F437="","",IF($F437=0,0,IF(COUNTIFS($A$10:$A$89,$C437)&lt;&gt;1,"brak danych",IF(COUNTIFS($A$10:$A$89,$C437,$H$10:$H$89,"&lt;&gt;")=0,"brak danych",VLOOKUP($C437,$A$10:$J$89,8,FALSE)*$F437)))))</x:f>
      </x:c>
      <x:c r="O437" s="25" t="str">
        <x:f>IF($A437="","",IF($F437="","",IF($F437=0,0,IF(COUNTIFS($A$10:$A$89,$C437)&lt;&gt;1,"brak danych",IF(COUNTIFS($A$10:$A$89,$C437,$I$10:$I$89,"&lt;&gt;")=0,"brak danych",VLOOKUP($C437,$A$10:$J$89,9,FALSE)*$F437)))))</x:f>
      </x:c>
      <x:c r="P437" s="25" t="str">
        <x:f>IF($A437="","",IF($F437="","",IF($F437=0,0,IF(COUNTIFS($A$10:$A$89,$C437)&lt;&gt;1,"brak danych",IF(COUNTIFS($A$10:$A$89,$C437,$J$10:$J$89,"&lt;&gt;")=0,"brak danych",VLOOKUP($C437,$A$10:$J$89,10,FALSE)*$F437)))))</x:f>
      </x:c>
      <x:c r="Q437" s="18"/>
    </x:row>
    <x:row r="438" ht="25" customHeight="1">
      <x:c r="A438" s="6"/>
      <x:c r="B438" s="30"/>
      <x:c r="C438" s="5"/>
      <x:c r="D438" s="5"/>
      <x:c r="E438" s="32"/>
      <x:c r="F438" s="32"/>
      <x:c r="G438" s="24" t="str">
        <x:f>IF($A438="","",IF(AND($C438="",$E438=""),"",IF($E438="","brak danych",IF($E438=0,0,IF(COUNTIFS($A$10:$A$89,$C438)&lt;&gt;1,"brak danych",IF(COUNTIFS($A$10:$A$89,$C438,$F$10:$F$89,"&lt;&gt;")=0,"brak danych",VLOOKUP($C438,$A$10:$J$89,6,FALSE)*$E438))))))</x:f>
      </x:c>
      <x:c r="H438" s="25" t="str">
        <x:f>IF($A438="","",IF(AND($C438="",$E438=""),"",IF($E438="","brak danych",IF($E438=0,0,IF(COUNTIFS($A$10:$A$89,$C438)&lt;&gt;1,"brak danych",IF(COUNTIFS($A$10:$A$89,$C438,$G$10:$G$89,"&lt;&gt;")=0,"brak danych",VLOOKUP($C438,$A$10:$J$89,7,FALSE)*$E438))))))</x:f>
      </x:c>
      <x:c r="I438" s="25" t="str">
        <x:f>IF($A438="","",IF(AND($C438="",$E438=""),"",IF($E438="","brak danych",IF($E438=0,0,IF(COUNTIFS($A$10:$A$89,$C438)&lt;&gt;1,"brak danych",IF(COUNTIFS($A$10:$A$89,$C438,$H$10:$H$89,"&lt;&gt;")=0,"brak danych",VLOOKUP($C438,$A$10:$J$89,8,FALSE)*$E438))))))</x:f>
      </x:c>
      <x:c r="J438" s="25" t="str">
        <x:f>IF($A438="","",IF(AND($C438="",$E438=""),"",IF($E438="","brak danych",IF($E438=0,0,IF(COUNTIFS($A$10:$A$89,$C438)&lt;&gt;1,"brak danych",IF(COUNTIFS($A$10:$A$89,$C438,$I$10:$I$89,"&lt;&gt;")=0,"brak danych",VLOOKUP($C438,$A$10:$J$89,9,FALSE)*$E438))))))</x:f>
      </x:c>
      <x:c r="K438" s="25" t="str">
        <x:f>IF($A438="","",IF(AND($C438="",$E438=""),"",IF($E438="","brak danych",IF($E438=0,0,IF(COUNTIFS($A$10:$A$89,$C438)&lt;&gt;1,"brak danych",IF(COUNTIFS($A$10:$A$89,$C438,$J$10:$J$89,"&lt;&gt;")=0,"brak danych",VLOOKUP($C438,$A$10:$J$89,10,FALSE)*$E438))))))</x:f>
      </x:c>
      <x:c r="L438" s="24" t="str">
        <x:f>IF($A438="","",IF($F438="","",IF($F438=0,0,IF(COUNTIFS($A$10:$A$89,$C438)&lt;&gt;1,"brak danych",IF(COUNTIFS($A$10:$A$89,$C438,$F$10:$F$89,"&lt;&gt;")=0,"brak danych",VLOOKUP($C438,$A$10:$J$89,6,FALSE)*$F438)))))</x:f>
      </x:c>
      <x:c r="M438" s="25" t="str">
        <x:f>IF($A438="","",IF($F438="","",IF($F438=0,0,IF(COUNTIFS($A$10:$A$89,$C438)&lt;&gt;1,"brak danych",IF(COUNTIFS($A$10:$A$89,$C438,$G$10:$G$89,"&lt;&gt;")=0,"brak danych",VLOOKUP($C438,$A$10:$J$89,7,FALSE)*$F438)))))</x:f>
      </x:c>
      <x:c r="N438" s="25" t="str">
        <x:f>IF($A438="","",IF($F438="","",IF($F438=0,0,IF(COUNTIFS($A$10:$A$89,$C438)&lt;&gt;1,"brak danych",IF(COUNTIFS($A$10:$A$89,$C438,$H$10:$H$89,"&lt;&gt;")=0,"brak danych",VLOOKUP($C438,$A$10:$J$89,8,FALSE)*$F438)))))</x:f>
      </x:c>
      <x:c r="O438" s="25" t="str">
        <x:f>IF($A438="","",IF($F438="","",IF($F438=0,0,IF(COUNTIFS($A$10:$A$89,$C438)&lt;&gt;1,"brak danych",IF(COUNTIFS($A$10:$A$89,$C438,$I$10:$I$89,"&lt;&gt;")=0,"brak danych",VLOOKUP($C438,$A$10:$J$89,9,FALSE)*$F438)))))</x:f>
      </x:c>
      <x:c r="P438" s="25" t="str">
        <x:f>IF($A438="","",IF($F438="","",IF($F438=0,0,IF(COUNTIFS($A$10:$A$89,$C438)&lt;&gt;1,"brak danych",IF(COUNTIFS($A$10:$A$89,$C438,$J$10:$J$89,"&lt;&gt;")=0,"brak danych",VLOOKUP($C438,$A$10:$J$89,10,FALSE)*$F438)))))</x:f>
      </x:c>
      <x:c r="Q438" s="18"/>
    </x:row>
    <x:row r="439" ht="25" customHeight="1">
      <x:c r="A439" s="6"/>
      <x:c r="B439" s="30"/>
      <x:c r="C439" s="5"/>
      <x:c r="D439" s="5"/>
      <x:c r="E439" s="32"/>
      <x:c r="F439" s="32"/>
      <x:c r="G439" s="24" t="str">
        <x:f>IF($A439="","",IF(AND($C439="",$E439=""),"",IF($E439="","brak danych",IF($E439=0,0,IF(COUNTIFS($A$10:$A$89,$C439)&lt;&gt;1,"brak danych",IF(COUNTIFS($A$10:$A$89,$C439,$F$10:$F$89,"&lt;&gt;")=0,"brak danych",VLOOKUP($C439,$A$10:$J$89,6,FALSE)*$E439))))))</x:f>
      </x:c>
      <x:c r="H439" s="25" t="str">
        <x:f>IF($A439="","",IF(AND($C439="",$E439=""),"",IF($E439="","brak danych",IF($E439=0,0,IF(COUNTIFS($A$10:$A$89,$C439)&lt;&gt;1,"brak danych",IF(COUNTIFS($A$10:$A$89,$C439,$G$10:$G$89,"&lt;&gt;")=0,"brak danych",VLOOKUP($C439,$A$10:$J$89,7,FALSE)*$E439))))))</x:f>
      </x:c>
      <x:c r="I439" s="25" t="str">
        <x:f>IF($A439="","",IF(AND($C439="",$E439=""),"",IF($E439="","brak danych",IF($E439=0,0,IF(COUNTIFS($A$10:$A$89,$C439)&lt;&gt;1,"brak danych",IF(COUNTIFS($A$10:$A$89,$C439,$H$10:$H$89,"&lt;&gt;")=0,"brak danych",VLOOKUP($C439,$A$10:$J$89,8,FALSE)*$E439))))))</x:f>
      </x:c>
      <x:c r="J439" s="25" t="str">
        <x:f>IF($A439="","",IF(AND($C439="",$E439=""),"",IF($E439="","brak danych",IF($E439=0,0,IF(COUNTIFS($A$10:$A$89,$C439)&lt;&gt;1,"brak danych",IF(COUNTIFS($A$10:$A$89,$C439,$I$10:$I$89,"&lt;&gt;")=0,"brak danych",VLOOKUP($C439,$A$10:$J$89,9,FALSE)*$E439))))))</x:f>
      </x:c>
      <x:c r="K439" s="25" t="str">
        <x:f>IF($A439="","",IF(AND($C439="",$E439=""),"",IF($E439="","brak danych",IF($E439=0,0,IF(COUNTIFS($A$10:$A$89,$C439)&lt;&gt;1,"brak danych",IF(COUNTIFS($A$10:$A$89,$C439,$J$10:$J$89,"&lt;&gt;")=0,"brak danych",VLOOKUP($C439,$A$10:$J$89,10,FALSE)*$E439))))))</x:f>
      </x:c>
      <x:c r="L439" s="24" t="str">
        <x:f>IF($A439="","",IF($F439="","",IF($F439=0,0,IF(COUNTIFS($A$10:$A$89,$C439)&lt;&gt;1,"brak danych",IF(COUNTIFS($A$10:$A$89,$C439,$F$10:$F$89,"&lt;&gt;")=0,"brak danych",VLOOKUP($C439,$A$10:$J$89,6,FALSE)*$F439)))))</x:f>
      </x:c>
      <x:c r="M439" s="25" t="str">
        <x:f>IF($A439="","",IF($F439="","",IF($F439=0,0,IF(COUNTIFS($A$10:$A$89,$C439)&lt;&gt;1,"brak danych",IF(COUNTIFS($A$10:$A$89,$C439,$G$10:$G$89,"&lt;&gt;")=0,"brak danych",VLOOKUP($C439,$A$10:$J$89,7,FALSE)*$F439)))))</x:f>
      </x:c>
      <x:c r="N439" s="25" t="str">
        <x:f>IF($A439="","",IF($F439="","",IF($F439=0,0,IF(COUNTIFS($A$10:$A$89,$C439)&lt;&gt;1,"brak danych",IF(COUNTIFS($A$10:$A$89,$C439,$H$10:$H$89,"&lt;&gt;")=0,"brak danych",VLOOKUP($C439,$A$10:$J$89,8,FALSE)*$F439)))))</x:f>
      </x:c>
      <x:c r="O439" s="25" t="str">
        <x:f>IF($A439="","",IF($F439="","",IF($F439=0,0,IF(COUNTIFS($A$10:$A$89,$C439)&lt;&gt;1,"brak danych",IF(COUNTIFS($A$10:$A$89,$C439,$I$10:$I$89,"&lt;&gt;")=0,"brak danych",VLOOKUP($C439,$A$10:$J$89,9,FALSE)*$F439)))))</x:f>
      </x:c>
      <x:c r="P439" s="25" t="str">
        <x:f>IF($A439="","",IF($F439="","",IF($F439=0,0,IF(COUNTIFS($A$10:$A$89,$C439)&lt;&gt;1,"brak danych",IF(COUNTIFS($A$10:$A$89,$C439,$J$10:$J$89,"&lt;&gt;")=0,"brak danych",VLOOKUP($C439,$A$10:$J$89,10,FALSE)*$F439)))))</x:f>
      </x:c>
      <x:c r="Q439" s="18"/>
    </x:row>
    <x:row r="440" ht="25" customHeight="1">
      <x:c r="A440" s="6"/>
      <x:c r="B440" s="30"/>
      <x:c r="C440" s="5"/>
      <x:c r="D440" s="5"/>
      <x:c r="E440" s="32"/>
      <x:c r="F440" s="32"/>
      <x:c r="G440" s="24" t="str">
        <x:f>IF($A440="","",IF(AND($C440="",$E440=""),"",IF($E440="","brak danych",IF($E440=0,0,IF(COUNTIFS($A$10:$A$89,$C440)&lt;&gt;1,"brak danych",IF(COUNTIFS($A$10:$A$89,$C440,$F$10:$F$89,"&lt;&gt;")=0,"brak danych",VLOOKUP($C440,$A$10:$J$89,6,FALSE)*$E440))))))</x:f>
      </x:c>
      <x:c r="H440" s="25" t="str">
        <x:f>IF($A440="","",IF(AND($C440="",$E440=""),"",IF($E440="","brak danych",IF($E440=0,0,IF(COUNTIFS($A$10:$A$89,$C440)&lt;&gt;1,"brak danych",IF(COUNTIFS($A$10:$A$89,$C440,$G$10:$G$89,"&lt;&gt;")=0,"brak danych",VLOOKUP($C440,$A$10:$J$89,7,FALSE)*$E440))))))</x:f>
      </x:c>
      <x:c r="I440" s="25" t="str">
        <x:f>IF($A440="","",IF(AND($C440="",$E440=""),"",IF($E440="","brak danych",IF($E440=0,0,IF(COUNTIFS($A$10:$A$89,$C440)&lt;&gt;1,"brak danych",IF(COUNTIFS($A$10:$A$89,$C440,$H$10:$H$89,"&lt;&gt;")=0,"brak danych",VLOOKUP($C440,$A$10:$J$89,8,FALSE)*$E440))))))</x:f>
      </x:c>
      <x:c r="J440" s="25" t="str">
        <x:f>IF($A440="","",IF(AND($C440="",$E440=""),"",IF($E440="","brak danych",IF($E440=0,0,IF(COUNTIFS($A$10:$A$89,$C440)&lt;&gt;1,"brak danych",IF(COUNTIFS($A$10:$A$89,$C440,$I$10:$I$89,"&lt;&gt;")=0,"brak danych",VLOOKUP($C440,$A$10:$J$89,9,FALSE)*$E440))))))</x:f>
      </x:c>
      <x:c r="K440" s="25" t="str">
        <x:f>IF($A440="","",IF(AND($C440="",$E440=""),"",IF($E440="","brak danych",IF($E440=0,0,IF(COUNTIFS($A$10:$A$89,$C440)&lt;&gt;1,"brak danych",IF(COUNTIFS($A$10:$A$89,$C440,$J$10:$J$89,"&lt;&gt;")=0,"brak danych",VLOOKUP($C440,$A$10:$J$89,10,FALSE)*$E440))))))</x:f>
      </x:c>
      <x:c r="L440" s="24" t="str">
        <x:f>IF($A440="","",IF($F440="","",IF($F440=0,0,IF(COUNTIFS($A$10:$A$89,$C440)&lt;&gt;1,"brak danych",IF(COUNTIFS($A$10:$A$89,$C440,$F$10:$F$89,"&lt;&gt;")=0,"brak danych",VLOOKUP($C440,$A$10:$J$89,6,FALSE)*$F440)))))</x:f>
      </x:c>
      <x:c r="M440" s="25" t="str">
        <x:f>IF($A440="","",IF($F440="","",IF($F440=0,0,IF(COUNTIFS($A$10:$A$89,$C440)&lt;&gt;1,"brak danych",IF(COUNTIFS($A$10:$A$89,$C440,$G$10:$G$89,"&lt;&gt;")=0,"brak danych",VLOOKUP($C440,$A$10:$J$89,7,FALSE)*$F440)))))</x:f>
      </x:c>
      <x:c r="N440" s="25" t="str">
        <x:f>IF($A440="","",IF($F440="","",IF($F440=0,0,IF(COUNTIFS($A$10:$A$89,$C440)&lt;&gt;1,"brak danych",IF(COUNTIFS($A$10:$A$89,$C440,$H$10:$H$89,"&lt;&gt;")=0,"brak danych",VLOOKUP($C440,$A$10:$J$89,8,FALSE)*$F440)))))</x:f>
      </x:c>
      <x:c r="O440" s="25" t="str">
        <x:f>IF($A440="","",IF($F440="","",IF($F440=0,0,IF(COUNTIFS($A$10:$A$89,$C440)&lt;&gt;1,"brak danych",IF(COUNTIFS($A$10:$A$89,$C440,$I$10:$I$89,"&lt;&gt;")=0,"brak danych",VLOOKUP($C440,$A$10:$J$89,9,FALSE)*$F440)))))</x:f>
      </x:c>
      <x:c r="P440" s="25" t="str">
        <x:f>IF($A440="","",IF($F440="","",IF($F440=0,0,IF(COUNTIFS($A$10:$A$89,$C440)&lt;&gt;1,"brak danych",IF(COUNTIFS($A$10:$A$89,$C440,$J$10:$J$89,"&lt;&gt;")=0,"brak danych",VLOOKUP($C440,$A$10:$J$89,10,FALSE)*$F440)))))</x:f>
      </x:c>
      <x:c r="Q440" s="18"/>
    </x:row>
    <x:row r="441" ht="25" customHeight="1">
      <x:c r="A441" s="6"/>
      <x:c r="B441" s="30"/>
      <x:c r="C441" s="5"/>
      <x:c r="D441" s="5"/>
      <x:c r="E441" s="32"/>
      <x:c r="F441" s="32"/>
      <x:c r="G441" s="24" t="str">
        <x:f>IF($A441="","",IF(AND($C441="",$E441=""),"",IF($E441="","brak danych",IF($E441=0,0,IF(COUNTIFS($A$10:$A$89,$C441)&lt;&gt;1,"brak danych",IF(COUNTIFS($A$10:$A$89,$C441,$F$10:$F$89,"&lt;&gt;")=0,"brak danych",VLOOKUP($C441,$A$10:$J$89,6,FALSE)*$E441))))))</x:f>
      </x:c>
      <x:c r="H441" s="25" t="str">
        <x:f>IF($A441="","",IF(AND($C441="",$E441=""),"",IF($E441="","brak danych",IF($E441=0,0,IF(COUNTIFS($A$10:$A$89,$C441)&lt;&gt;1,"brak danych",IF(COUNTIFS($A$10:$A$89,$C441,$G$10:$G$89,"&lt;&gt;")=0,"brak danych",VLOOKUP($C441,$A$10:$J$89,7,FALSE)*$E441))))))</x:f>
      </x:c>
      <x:c r="I441" s="25" t="str">
        <x:f>IF($A441="","",IF(AND($C441="",$E441=""),"",IF($E441="","brak danych",IF($E441=0,0,IF(COUNTIFS($A$10:$A$89,$C441)&lt;&gt;1,"brak danych",IF(COUNTIFS($A$10:$A$89,$C441,$H$10:$H$89,"&lt;&gt;")=0,"brak danych",VLOOKUP($C441,$A$10:$J$89,8,FALSE)*$E441))))))</x:f>
      </x:c>
      <x:c r="J441" s="25" t="str">
        <x:f>IF($A441="","",IF(AND($C441="",$E441=""),"",IF($E441="","brak danych",IF($E441=0,0,IF(COUNTIFS($A$10:$A$89,$C441)&lt;&gt;1,"brak danych",IF(COUNTIFS($A$10:$A$89,$C441,$I$10:$I$89,"&lt;&gt;")=0,"brak danych",VLOOKUP($C441,$A$10:$J$89,9,FALSE)*$E441))))))</x:f>
      </x:c>
      <x:c r="K441" s="25" t="str">
        <x:f>IF($A441="","",IF(AND($C441="",$E441=""),"",IF($E441="","brak danych",IF($E441=0,0,IF(COUNTIFS($A$10:$A$89,$C441)&lt;&gt;1,"brak danych",IF(COUNTIFS($A$10:$A$89,$C441,$J$10:$J$89,"&lt;&gt;")=0,"brak danych",VLOOKUP($C441,$A$10:$J$89,10,FALSE)*$E441))))))</x:f>
      </x:c>
      <x:c r="L441" s="24" t="str">
        <x:f>IF($A441="","",IF($F441="","",IF($F441=0,0,IF(COUNTIFS($A$10:$A$89,$C441)&lt;&gt;1,"brak danych",IF(COUNTIFS($A$10:$A$89,$C441,$F$10:$F$89,"&lt;&gt;")=0,"brak danych",VLOOKUP($C441,$A$10:$J$89,6,FALSE)*$F441)))))</x:f>
      </x:c>
      <x:c r="M441" s="25" t="str">
        <x:f>IF($A441="","",IF($F441="","",IF($F441=0,0,IF(COUNTIFS($A$10:$A$89,$C441)&lt;&gt;1,"brak danych",IF(COUNTIFS($A$10:$A$89,$C441,$G$10:$G$89,"&lt;&gt;")=0,"brak danych",VLOOKUP($C441,$A$10:$J$89,7,FALSE)*$F441)))))</x:f>
      </x:c>
      <x:c r="N441" s="25" t="str">
        <x:f>IF($A441="","",IF($F441="","",IF($F441=0,0,IF(COUNTIFS($A$10:$A$89,$C441)&lt;&gt;1,"brak danych",IF(COUNTIFS($A$10:$A$89,$C441,$H$10:$H$89,"&lt;&gt;")=0,"brak danych",VLOOKUP($C441,$A$10:$J$89,8,FALSE)*$F441)))))</x:f>
      </x:c>
      <x:c r="O441" s="25" t="str">
        <x:f>IF($A441="","",IF($F441="","",IF($F441=0,0,IF(COUNTIFS($A$10:$A$89,$C441)&lt;&gt;1,"brak danych",IF(COUNTIFS($A$10:$A$89,$C441,$I$10:$I$89,"&lt;&gt;")=0,"brak danych",VLOOKUP($C441,$A$10:$J$89,9,FALSE)*$F441)))))</x:f>
      </x:c>
      <x:c r="P441" s="25" t="str">
        <x:f>IF($A441="","",IF($F441="","",IF($F441=0,0,IF(COUNTIFS($A$10:$A$89,$C441)&lt;&gt;1,"brak danych",IF(COUNTIFS($A$10:$A$89,$C441,$J$10:$J$89,"&lt;&gt;")=0,"brak danych",VLOOKUP($C441,$A$10:$J$89,10,FALSE)*$F441)))))</x:f>
      </x:c>
      <x:c r="Q441" s="18"/>
    </x:row>
    <x:row r="442" ht="25" customHeight="1">
      <x:c r="A442" s="6"/>
      <x:c r="B442" s="30"/>
      <x:c r="C442" s="5"/>
      <x:c r="D442" s="5"/>
      <x:c r="E442" s="32"/>
      <x:c r="F442" s="32"/>
      <x:c r="G442" s="24" t="str">
        <x:f>IF($A442="","",IF(AND($C442="",$E442=""),"",IF($E442="","brak danych",IF($E442=0,0,IF(COUNTIFS($A$10:$A$89,$C442)&lt;&gt;1,"brak danych",IF(COUNTIFS($A$10:$A$89,$C442,$F$10:$F$89,"&lt;&gt;")=0,"brak danych",VLOOKUP($C442,$A$10:$J$89,6,FALSE)*$E442))))))</x:f>
      </x:c>
      <x:c r="H442" s="25" t="str">
        <x:f>IF($A442="","",IF(AND($C442="",$E442=""),"",IF($E442="","brak danych",IF($E442=0,0,IF(COUNTIFS($A$10:$A$89,$C442)&lt;&gt;1,"brak danych",IF(COUNTIFS($A$10:$A$89,$C442,$G$10:$G$89,"&lt;&gt;")=0,"brak danych",VLOOKUP($C442,$A$10:$J$89,7,FALSE)*$E442))))))</x:f>
      </x:c>
      <x:c r="I442" s="25" t="str">
        <x:f>IF($A442="","",IF(AND($C442="",$E442=""),"",IF($E442="","brak danych",IF($E442=0,0,IF(COUNTIFS($A$10:$A$89,$C442)&lt;&gt;1,"brak danych",IF(COUNTIFS($A$10:$A$89,$C442,$H$10:$H$89,"&lt;&gt;")=0,"brak danych",VLOOKUP($C442,$A$10:$J$89,8,FALSE)*$E442))))))</x:f>
      </x:c>
      <x:c r="J442" s="25" t="str">
        <x:f>IF($A442="","",IF(AND($C442="",$E442=""),"",IF($E442="","brak danych",IF($E442=0,0,IF(COUNTIFS($A$10:$A$89,$C442)&lt;&gt;1,"brak danych",IF(COUNTIFS($A$10:$A$89,$C442,$I$10:$I$89,"&lt;&gt;")=0,"brak danych",VLOOKUP($C442,$A$10:$J$89,9,FALSE)*$E442))))))</x:f>
      </x:c>
      <x:c r="K442" s="25" t="str">
        <x:f>IF($A442="","",IF(AND($C442="",$E442=""),"",IF($E442="","brak danych",IF($E442=0,0,IF(COUNTIFS($A$10:$A$89,$C442)&lt;&gt;1,"brak danych",IF(COUNTIFS($A$10:$A$89,$C442,$J$10:$J$89,"&lt;&gt;")=0,"brak danych",VLOOKUP($C442,$A$10:$J$89,10,FALSE)*$E442))))))</x:f>
      </x:c>
      <x:c r="L442" s="24" t="str">
        <x:f>IF($A442="","",IF($F442="","",IF($F442=0,0,IF(COUNTIFS($A$10:$A$89,$C442)&lt;&gt;1,"brak danych",IF(COUNTIFS($A$10:$A$89,$C442,$F$10:$F$89,"&lt;&gt;")=0,"brak danych",VLOOKUP($C442,$A$10:$J$89,6,FALSE)*$F442)))))</x:f>
      </x:c>
      <x:c r="M442" s="25" t="str">
        <x:f>IF($A442="","",IF($F442="","",IF($F442=0,0,IF(COUNTIFS($A$10:$A$89,$C442)&lt;&gt;1,"brak danych",IF(COUNTIFS($A$10:$A$89,$C442,$G$10:$G$89,"&lt;&gt;")=0,"brak danych",VLOOKUP($C442,$A$10:$J$89,7,FALSE)*$F442)))))</x:f>
      </x:c>
      <x:c r="N442" s="25" t="str">
        <x:f>IF($A442="","",IF($F442="","",IF($F442=0,0,IF(COUNTIFS($A$10:$A$89,$C442)&lt;&gt;1,"brak danych",IF(COUNTIFS($A$10:$A$89,$C442,$H$10:$H$89,"&lt;&gt;")=0,"brak danych",VLOOKUP($C442,$A$10:$J$89,8,FALSE)*$F442)))))</x:f>
      </x:c>
      <x:c r="O442" s="25" t="str">
        <x:f>IF($A442="","",IF($F442="","",IF($F442=0,0,IF(COUNTIFS($A$10:$A$89,$C442)&lt;&gt;1,"brak danych",IF(COUNTIFS($A$10:$A$89,$C442,$I$10:$I$89,"&lt;&gt;")=0,"brak danych",VLOOKUP($C442,$A$10:$J$89,9,FALSE)*$F442)))))</x:f>
      </x:c>
      <x:c r="P442" s="25" t="str">
        <x:f>IF($A442="","",IF($F442="","",IF($F442=0,0,IF(COUNTIFS($A$10:$A$89,$C442)&lt;&gt;1,"brak danych",IF(COUNTIFS($A$10:$A$89,$C442,$J$10:$J$89,"&lt;&gt;")=0,"brak danych",VLOOKUP($C442,$A$10:$J$89,10,FALSE)*$F442)))))</x:f>
      </x:c>
      <x:c r="Q442" s="18"/>
    </x:row>
    <x:row r="443" ht="25" customHeight="1">
      <x:c r="A443" s="6"/>
      <x:c r="B443" s="30"/>
      <x:c r="C443" s="5"/>
      <x:c r="D443" s="5"/>
      <x:c r="E443" s="32"/>
      <x:c r="F443" s="32"/>
      <x:c r="G443" s="24" t="str">
        <x:f>IF($A443="","",IF(AND($C443="",$E443=""),"",IF($E443="","brak danych",IF($E443=0,0,IF(COUNTIFS($A$10:$A$89,$C443)&lt;&gt;1,"brak danych",IF(COUNTIFS($A$10:$A$89,$C443,$F$10:$F$89,"&lt;&gt;")=0,"brak danych",VLOOKUP($C443,$A$10:$J$89,6,FALSE)*$E443))))))</x:f>
      </x:c>
      <x:c r="H443" s="25" t="str">
        <x:f>IF($A443="","",IF(AND($C443="",$E443=""),"",IF($E443="","brak danych",IF($E443=0,0,IF(COUNTIFS($A$10:$A$89,$C443)&lt;&gt;1,"brak danych",IF(COUNTIFS($A$10:$A$89,$C443,$G$10:$G$89,"&lt;&gt;")=0,"brak danych",VLOOKUP($C443,$A$10:$J$89,7,FALSE)*$E443))))))</x:f>
      </x:c>
      <x:c r="I443" s="25" t="str">
        <x:f>IF($A443="","",IF(AND($C443="",$E443=""),"",IF($E443="","brak danych",IF($E443=0,0,IF(COUNTIFS($A$10:$A$89,$C443)&lt;&gt;1,"brak danych",IF(COUNTIFS($A$10:$A$89,$C443,$H$10:$H$89,"&lt;&gt;")=0,"brak danych",VLOOKUP($C443,$A$10:$J$89,8,FALSE)*$E443))))))</x:f>
      </x:c>
      <x:c r="J443" s="25" t="str">
        <x:f>IF($A443="","",IF(AND($C443="",$E443=""),"",IF($E443="","brak danych",IF($E443=0,0,IF(COUNTIFS($A$10:$A$89,$C443)&lt;&gt;1,"brak danych",IF(COUNTIFS($A$10:$A$89,$C443,$I$10:$I$89,"&lt;&gt;")=0,"brak danych",VLOOKUP($C443,$A$10:$J$89,9,FALSE)*$E443))))))</x:f>
      </x:c>
      <x:c r="K443" s="25" t="str">
        <x:f>IF($A443="","",IF(AND($C443="",$E443=""),"",IF($E443="","brak danych",IF($E443=0,0,IF(COUNTIFS($A$10:$A$89,$C443)&lt;&gt;1,"brak danych",IF(COUNTIFS($A$10:$A$89,$C443,$J$10:$J$89,"&lt;&gt;")=0,"brak danych",VLOOKUP($C443,$A$10:$J$89,10,FALSE)*$E443))))))</x:f>
      </x:c>
      <x:c r="L443" s="24" t="str">
        <x:f>IF($A443="","",IF($F443="","",IF($F443=0,0,IF(COUNTIFS($A$10:$A$89,$C443)&lt;&gt;1,"brak danych",IF(COUNTIFS($A$10:$A$89,$C443,$F$10:$F$89,"&lt;&gt;")=0,"brak danych",VLOOKUP($C443,$A$10:$J$89,6,FALSE)*$F443)))))</x:f>
      </x:c>
      <x:c r="M443" s="25" t="str">
        <x:f>IF($A443="","",IF($F443="","",IF($F443=0,0,IF(COUNTIFS($A$10:$A$89,$C443)&lt;&gt;1,"brak danych",IF(COUNTIFS($A$10:$A$89,$C443,$G$10:$G$89,"&lt;&gt;")=0,"brak danych",VLOOKUP($C443,$A$10:$J$89,7,FALSE)*$F443)))))</x:f>
      </x:c>
      <x:c r="N443" s="25" t="str">
        <x:f>IF($A443="","",IF($F443="","",IF($F443=0,0,IF(COUNTIFS($A$10:$A$89,$C443)&lt;&gt;1,"brak danych",IF(COUNTIFS($A$10:$A$89,$C443,$H$10:$H$89,"&lt;&gt;")=0,"brak danych",VLOOKUP($C443,$A$10:$J$89,8,FALSE)*$F443)))))</x:f>
      </x:c>
      <x:c r="O443" s="25" t="str">
        <x:f>IF($A443="","",IF($F443="","",IF($F443=0,0,IF(COUNTIFS($A$10:$A$89,$C443)&lt;&gt;1,"brak danych",IF(COUNTIFS($A$10:$A$89,$C443,$I$10:$I$89,"&lt;&gt;")=0,"brak danych",VLOOKUP($C443,$A$10:$J$89,9,FALSE)*$F443)))))</x:f>
      </x:c>
      <x:c r="P443" s="25" t="str">
        <x:f>IF($A443="","",IF($F443="","",IF($F443=0,0,IF(COUNTIFS($A$10:$A$89,$C443)&lt;&gt;1,"brak danych",IF(COUNTIFS($A$10:$A$89,$C443,$J$10:$J$89,"&lt;&gt;")=0,"brak danych",VLOOKUP($C443,$A$10:$J$89,10,FALSE)*$F443)))))</x:f>
      </x:c>
      <x:c r="Q443" s="18"/>
    </x:row>
    <x:row r="444" ht="25" customHeight="1">
      <x:c r="A444" s="6"/>
      <x:c r="B444" s="30"/>
      <x:c r="C444" s="5"/>
      <x:c r="D444" s="5"/>
      <x:c r="E444" s="32"/>
      <x:c r="F444" s="32"/>
      <x:c r="G444" s="24" t="str">
        <x:f>IF($A444="","",IF(AND($C444="",$E444=""),"",IF($E444="","brak danych",IF($E444=0,0,IF(COUNTIFS($A$10:$A$89,$C444)&lt;&gt;1,"brak danych",IF(COUNTIFS($A$10:$A$89,$C444,$F$10:$F$89,"&lt;&gt;")=0,"brak danych",VLOOKUP($C444,$A$10:$J$89,6,FALSE)*$E444))))))</x:f>
      </x:c>
      <x:c r="H444" s="25" t="str">
        <x:f>IF($A444="","",IF(AND($C444="",$E444=""),"",IF($E444="","brak danych",IF($E444=0,0,IF(COUNTIFS($A$10:$A$89,$C444)&lt;&gt;1,"brak danych",IF(COUNTIFS($A$10:$A$89,$C444,$G$10:$G$89,"&lt;&gt;")=0,"brak danych",VLOOKUP($C444,$A$10:$J$89,7,FALSE)*$E444))))))</x:f>
      </x:c>
      <x:c r="I444" s="25" t="str">
        <x:f>IF($A444="","",IF(AND($C444="",$E444=""),"",IF($E444="","brak danych",IF($E444=0,0,IF(COUNTIFS($A$10:$A$89,$C444)&lt;&gt;1,"brak danych",IF(COUNTIFS($A$10:$A$89,$C444,$H$10:$H$89,"&lt;&gt;")=0,"brak danych",VLOOKUP($C444,$A$10:$J$89,8,FALSE)*$E444))))))</x:f>
      </x:c>
      <x:c r="J444" s="25" t="str">
        <x:f>IF($A444="","",IF(AND($C444="",$E444=""),"",IF($E444="","brak danych",IF($E444=0,0,IF(COUNTIFS($A$10:$A$89,$C444)&lt;&gt;1,"brak danych",IF(COUNTIFS($A$10:$A$89,$C444,$I$10:$I$89,"&lt;&gt;")=0,"brak danych",VLOOKUP($C444,$A$10:$J$89,9,FALSE)*$E444))))))</x:f>
      </x:c>
      <x:c r="K444" s="25" t="str">
        <x:f>IF($A444="","",IF(AND($C444="",$E444=""),"",IF($E444="","brak danych",IF($E444=0,0,IF(COUNTIFS($A$10:$A$89,$C444)&lt;&gt;1,"brak danych",IF(COUNTIFS($A$10:$A$89,$C444,$J$10:$J$89,"&lt;&gt;")=0,"brak danych",VLOOKUP($C444,$A$10:$J$89,10,FALSE)*$E444))))))</x:f>
      </x:c>
      <x:c r="L444" s="24" t="str">
        <x:f>IF($A444="","",IF($F444="","",IF($F444=0,0,IF(COUNTIFS($A$10:$A$89,$C444)&lt;&gt;1,"brak danych",IF(COUNTIFS($A$10:$A$89,$C444,$F$10:$F$89,"&lt;&gt;")=0,"brak danych",VLOOKUP($C444,$A$10:$J$89,6,FALSE)*$F444)))))</x:f>
      </x:c>
      <x:c r="M444" s="25" t="str">
        <x:f>IF($A444="","",IF($F444="","",IF($F444=0,0,IF(COUNTIFS($A$10:$A$89,$C444)&lt;&gt;1,"brak danych",IF(COUNTIFS($A$10:$A$89,$C444,$G$10:$G$89,"&lt;&gt;")=0,"brak danych",VLOOKUP($C444,$A$10:$J$89,7,FALSE)*$F444)))))</x:f>
      </x:c>
      <x:c r="N444" s="25" t="str">
        <x:f>IF($A444="","",IF($F444="","",IF($F444=0,0,IF(COUNTIFS($A$10:$A$89,$C444)&lt;&gt;1,"brak danych",IF(COUNTIFS($A$10:$A$89,$C444,$H$10:$H$89,"&lt;&gt;")=0,"brak danych",VLOOKUP($C444,$A$10:$J$89,8,FALSE)*$F444)))))</x:f>
      </x:c>
      <x:c r="O444" s="25" t="str">
        <x:f>IF($A444="","",IF($F444="","",IF($F444=0,0,IF(COUNTIFS($A$10:$A$89,$C444)&lt;&gt;1,"brak danych",IF(COUNTIFS($A$10:$A$89,$C444,$I$10:$I$89,"&lt;&gt;")=0,"brak danych",VLOOKUP($C444,$A$10:$J$89,9,FALSE)*$F444)))))</x:f>
      </x:c>
      <x:c r="P444" s="25" t="str">
        <x:f>IF($A444="","",IF($F444="","",IF($F444=0,0,IF(COUNTIFS($A$10:$A$89,$C444)&lt;&gt;1,"brak danych",IF(COUNTIFS($A$10:$A$89,$C444,$J$10:$J$89,"&lt;&gt;")=0,"brak danych",VLOOKUP($C444,$A$10:$J$89,10,FALSE)*$F444)))))</x:f>
      </x:c>
      <x:c r="Q444" s="18"/>
    </x:row>
    <x:row r="445" ht="25" customHeight="1">
      <x:c r="A445" s="6"/>
      <x:c r="B445" s="30"/>
      <x:c r="C445" s="5"/>
      <x:c r="D445" s="5"/>
      <x:c r="E445" s="32"/>
      <x:c r="F445" s="32"/>
      <x:c r="G445" s="24" t="str">
        <x:f>IF($A445="","",IF(AND($C445="",$E445=""),"",IF($E445="","brak danych",IF($E445=0,0,IF(COUNTIFS($A$10:$A$89,$C445)&lt;&gt;1,"brak danych",IF(COUNTIFS($A$10:$A$89,$C445,$F$10:$F$89,"&lt;&gt;")=0,"brak danych",VLOOKUP($C445,$A$10:$J$89,6,FALSE)*$E445))))))</x:f>
      </x:c>
      <x:c r="H445" s="25" t="str">
        <x:f>IF($A445="","",IF(AND($C445="",$E445=""),"",IF($E445="","brak danych",IF($E445=0,0,IF(COUNTIFS($A$10:$A$89,$C445)&lt;&gt;1,"brak danych",IF(COUNTIFS($A$10:$A$89,$C445,$G$10:$G$89,"&lt;&gt;")=0,"brak danych",VLOOKUP($C445,$A$10:$J$89,7,FALSE)*$E445))))))</x:f>
      </x:c>
      <x:c r="I445" s="25" t="str">
        <x:f>IF($A445="","",IF(AND($C445="",$E445=""),"",IF($E445="","brak danych",IF($E445=0,0,IF(COUNTIFS($A$10:$A$89,$C445)&lt;&gt;1,"brak danych",IF(COUNTIFS($A$10:$A$89,$C445,$H$10:$H$89,"&lt;&gt;")=0,"brak danych",VLOOKUP($C445,$A$10:$J$89,8,FALSE)*$E445))))))</x:f>
      </x:c>
      <x:c r="J445" s="25" t="str">
        <x:f>IF($A445="","",IF(AND($C445="",$E445=""),"",IF($E445="","brak danych",IF($E445=0,0,IF(COUNTIFS($A$10:$A$89,$C445)&lt;&gt;1,"brak danych",IF(COUNTIFS($A$10:$A$89,$C445,$I$10:$I$89,"&lt;&gt;")=0,"brak danych",VLOOKUP($C445,$A$10:$J$89,9,FALSE)*$E445))))))</x:f>
      </x:c>
      <x:c r="K445" s="25" t="str">
        <x:f>IF($A445="","",IF(AND($C445="",$E445=""),"",IF($E445="","brak danych",IF($E445=0,0,IF(COUNTIFS($A$10:$A$89,$C445)&lt;&gt;1,"brak danych",IF(COUNTIFS($A$10:$A$89,$C445,$J$10:$J$89,"&lt;&gt;")=0,"brak danych",VLOOKUP($C445,$A$10:$J$89,10,FALSE)*$E445))))))</x:f>
      </x:c>
      <x:c r="L445" s="24" t="str">
        <x:f>IF($A445="","",IF($F445="","",IF($F445=0,0,IF(COUNTIFS($A$10:$A$89,$C445)&lt;&gt;1,"brak danych",IF(COUNTIFS($A$10:$A$89,$C445,$F$10:$F$89,"&lt;&gt;")=0,"brak danych",VLOOKUP($C445,$A$10:$J$89,6,FALSE)*$F445)))))</x:f>
      </x:c>
      <x:c r="M445" s="25" t="str">
        <x:f>IF($A445="","",IF($F445="","",IF($F445=0,0,IF(COUNTIFS($A$10:$A$89,$C445)&lt;&gt;1,"brak danych",IF(COUNTIFS($A$10:$A$89,$C445,$G$10:$G$89,"&lt;&gt;")=0,"brak danych",VLOOKUP($C445,$A$10:$J$89,7,FALSE)*$F445)))))</x:f>
      </x:c>
      <x:c r="N445" s="25" t="str">
        <x:f>IF($A445="","",IF($F445="","",IF($F445=0,0,IF(COUNTIFS($A$10:$A$89,$C445)&lt;&gt;1,"brak danych",IF(COUNTIFS($A$10:$A$89,$C445,$H$10:$H$89,"&lt;&gt;")=0,"brak danych",VLOOKUP($C445,$A$10:$J$89,8,FALSE)*$F445)))))</x:f>
      </x:c>
      <x:c r="O445" s="25" t="str">
        <x:f>IF($A445="","",IF($F445="","",IF($F445=0,0,IF(COUNTIFS($A$10:$A$89,$C445)&lt;&gt;1,"brak danych",IF(COUNTIFS($A$10:$A$89,$C445,$I$10:$I$89,"&lt;&gt;")=0,"brak danych",VLOOKUP($C445,$A$10:$J$89,9,FALSE)*$F445)))))</x:f>
      </x:c>
      <x:c r="P445" s="25" t="str">
        <x:f>IF($A445="","",IF($F445="","",IF($F445=0,0,IF(COUNTIFS($A$10:$A$89,$C445)&lt;&gt;1,"brak danych",IF(COUNTIFS($A$10:$A$89,$C445,$J$10:$J$89,"&lt;&gt;")=0,"brak danych",VLOOKUP($C445,$A$10:$J$89,10,FALSE)*$F445)))))</x:f>
      </x:c>
      <x:c r="Q445" s="18"/>
    </x:row>
    <x:row r="446" ht="25" customHeight="1">
      <x:c r="A446" s="6"/>
      <x:c r="B446" s="30"/>
      <x:c r="C446" s="5"/>
      <x:c r="D446" s="5"/>
      <x:c r="E446" s="32"/>
      <x:c r="F446" s="32"/>
      <x:c r="G446" s="24" t="str">
        <x:f>IF($A446="","",IF(AND($C446="",$E446=""),"",IF($E446="","brak danych",IF($E446=0,0,IF(COUNTIFS($A$10:$A$89,$C446)&lt;&gt;1,"brak danych",IF(COUNTIFS($A$10:$A$89,$C446,$F$10:$F$89,"&lt;&gt;")=0,"brak danych",VLOOKUP($C446,$A$10:$J$89,6,FALSE)*$E446))))))</x:f>
      </x:c>
      <x:c r="H446" s="25" t="str">
        <x:f>IF($A446="","",IF(AND($C446="",$E446=""),"",IF($E446="","brak danych",IF($E446=0,0,IF(COUNTIFS($A$10:$A$89,$C446)&lt;&gt;1,"brak danych",IF(COUNTIFS($A$10:$A$89,$C446,$G$10:$G$89,"&lt;&gt;")=0,"brak danych",VLOOKUP($C446,$A$10:$J$89,7,FALSE)*$E446))))))</x:f>
      </x:c>
      <x:c r="I446" s="25" t="str">
        <x:f>IF($A446="","",IF(AND($C446="",$E446=""),"",IF($E446="","brak danych",IF($E446=0,0,IF(COUNTIFS($A$10:$A$89,$C446)&lt;&gt;1,"brak danych",IF(COUNTIFS($A$10:$A$89,$C446,$H$10:$H$89,"&lt;&gt;")=0,"brak danych",VLOOKUP($C446,$A$10:$J$89,8,FALSE)*$E446))))))</x:f>
      </x:c>
      <x:c r="J446" s="25" t="str">
        <x:f>IF($A446="","",IF(AND($C446="",$E446=""),"",IF($E446="","brak danych",IF($E446=0,0,IF(COUNTIFS($A$10:$A$89,$C446)&lt;&gt;1,"brak danych",IF(COUNTIFS($A$10:$A$89,$C446,$I$10:$I$89,"&lt;&gt;")=0,"brak danych",VLOOKUP($C446,$A$10:$J$89,9,FALSE)*$E446))))))</x:f>
      </x:c>
      <x:c r="K446" s="25" t="str">
        <x:f>IF($A446="","",IF(AND($C446="",$E446=""),"",IF($E446="","brak danych",IF($E446=0,0,IF(COUNTIFS($A$10:$A$89,$C446)&lt;&gt;1,"brak danych",IF(COUNTIFS($A$10:$A$89,$C446,$J$10:$J$89,"&lt;&gt;")=0,"brak danych",VLOOKUP($C446,$A$10:$J$89,10,FALSE)*$E446))))))</x:f>
      </x:c>
      <x:c r="L446" s="24" t="str">
        <x:f>IF($A446="","",IF($F446="","",IF($F446=0,0,IF(COUNTIFS($A$10:$A$89,$C446)&lt;&gt;1,"brak danych",IF(COUNTIFS($A$10:$A$89,$C446,$F$10:$F$89,"&lt;&gt;")=0,"brak danych",VLOOKUP($C446,$A$10:$J$89,6,FALSE)*$F446)))))</x:f>
      </x:c>
      <x:c r="M446" s="25" t="str">
        <x:f>IF($A446="","",IF($F446="","",IF($F446=0,0,IF(COUNTIFS($A$10:$A$89,$C446)&lt;&gt;1,"brak danych",IF(COUNTIFS($A$10:$A$89,$C446,$G$10:$G$89,"&lt;&gt;")=0,"brak danych",VLOOKUP($C446,$A$10:$J$89,7,FALSE)*$F446)))))</x:f>
      </x:c>
      <x:c r="N446" s="25" t="str">
        <x:f>IF($A446="","",IF($F446="","",IF($F446=0,0,IF(COUNTIFS($A$10:$A$89,$C446)&lt;&gt;1,"brak danych",IF(COUNTIFS($A$10:$A$89,$C446,$H$10:$H$89,"&lt;&gt;")=0,"brak danych",VLOOKUP($C446,$A$10:$J$89,8,FALSE)*$F446)))))</x:f>
      </x:c>
      <x:c r="O446" s="25" t="str">
        <x:f>IF($A446="","",IF($F446="","",IF($F446=0,0,IF(COUNTIFS($A$10:$A$89,$C446)&lt;&gt;1,"brak danych",IF(COUNTIFS($A$10:$A$89,$C446,$I$10:$I$89,"&lt;&gt;")=0,"brak danych",VLOOKUP($C446,$A$10:$J$89,9,FALSE)*$F446)))))</x:f>
      </x:c>
      <x:c r="P446" s="25" t="str">
        <x:f>IF($A446="","",IF($F446="","",IF($F446=0,0,IF(COUNTIFS($A$10:$A$89,$C446)&lt;&gt;1,"brak danych",IF(COUNTIFS($A$10:$A$89,$C446,$J$10:$J$89,"&lt;&gt;")=0,"brak danych",VLOOKUP($C446,$A$10:$J$89,10,FALSE)*$F446)))))</x:f>
      </x:c>
      <x:c r="Q446" s="18"/>
    </x:row>
    <x:row r="447" ht="25" customHeight="1">
      <x:c r="A447" s="6"/>
      <x:c r="B447" s="30"/>
      <x:c r="C447" s="5"/>
      <x:c r="D447" s="5"/>
      <x:c r="E447" s="32"/>
      <x:c r="F447" s="32"/>
      <x:c r="G447" s="24" t="str">
        <x:f>IF($A447="","",IF(AND($C447="",$E447=""),"",IF($E447="","brak danych",IF($E447=0,0,IF(COUNTIFS($A$10:$A$89,$C447)&lt;&gt;1,"brak danych",IF(COUNTIFS($A$10:$A$89,$C447,$F$10:$F$89,"&lt;&gt;")=0,"brak danych",VLOOKUP($C447,$A$10:$J$89,6,FALSE)*$E447))))))</x:f>
      </x:c>
      <x:c r="H447" s="25" t="str">
        <x:f>IF($A447="","",IF(AND($C447="",$E447=""),"",IF($E447="","brak danych",IF($E447=0,0,IF(COUNTIFS($A$10:$A$89,$C447)&lt;&gt;1,"brak danych",IF(COUNTIFS($A$10:$A$89,$C447,$G$10:$G$89,"&lt;&gt;")=0,"brak danych",VLOOKUP($C447,$A$10:$J$89,7,FALSE)*$E447))))))</x:f>
      </x:c>
      <x:c r="I447" s="25" t="str">
        <x:f>IF($A447="","",IF(AND($C447="",$E447=""),"",IF($E447="","brak danych",IF($E447=0,0,IF(COUNTIFS($A$10:$A$89,$C447)&lt;&gt;1,"brak danych",IF(COUNTIFS($A$10:$A$89,$C447,$H$10:$H$89,"&lt;&gt;")=0,"brak danych",VLOOKUP($C447,$A$10:$J$89,8,FALSE)*$E447))))))</x:f>
      </x:c>
      <x:c r="J447" s="25" t="str">
        <x:f>IF($A447="","",IF(AND($C447="",$E447=""),"",IF($E447="","brak danych",IF($E447=0,0,IF(COUNTIFS($A$10:$A$89,$C447)&lt;&gt;1,"brak danych",IF(COUNTIFS($A$10:$A$89,$C447,$I$10:$I$89,"&lt;&gt;")=0,"brak danych",VLOOKUP($C447,$A$10:$J$89,9,FALSE)*$E447))))))</x:f>
      </x:c>
      <x:c r="K447" s="25" t="str">
        <x:f>IF($A447="","",IF(AND($C447="",$E447=""),"",IF($E447="","brak danych",IF($E447=0,0,IF(COUNTIFS($A$10:$A$89,$C447)&lt;&gt;1,"brak danych",IF(COUNTIFS($A$10:$A$89,$C447,$J$10:$J$89,"&lt;&gt;")=0,"brak danych",VLOOKUP($C447,$A$10:$J$89,10,FALSE)*$E447))))))</x:f>
      </x:c>
      <x:c r="L447" s="24" t="str">
        <x:f>IF($A447="","",IF($F447="","",IF($F447=0,0,IF(COUNTIFS($A$10:$A$89,$C447)&lt;&gt;1,"brak danych",IF(COUNTIFS($A$10:$A$89,$C447,$F$10:$F$89,"&lt;&gt;")=0,"brak danych",VLOOKUP($C447,$A$10:$J$89,6,FALSE)*$F447)))))</x:f>
      </x:c>
      <x:c r="M447" s="25" t="str">
        <x:f>IF($A447="","",IF($F447="","",IF($F447=0,0,IF(COUNTIFS($A$10:$A$89,$C447)&lt;&gt;1,"brak danych",IF(COUNTIFS($A$10:$A$89,$C447,$G$10:$G$89,"&lt;&gt;")=0,"brak danych",VLOOKUP($C447,$A$10:$J$89,7,FALSE)*$F447)))))</x:f>
      </x:c>
      <x:c r="N447" s="25" t="str">
        <x:f>IF($A447="","",IF($F447="","",IF($F447=0,0,IF(COUNTIFS($A$10:$A$89,$C447)&lt;&gt;1,"brak danych",IF(COUNTIFS($A$10:$A$89,$C447,$H$10:$H$89,"&lt;&gt;")=0,"brak danych",VLOOKUP($C447,$A$10:$J$89,8,FALSE)*$F447)))))</x:f>
      </x:c>
      <x:c r="O447" s="25" t="str">
        <x:f>IF($A447="","",IF($F447="","",IF($F447=0,0,IF(COUNTIFS($A$10:$A$89,$C447)&lt;&gt;1,"brak danych",IF(COUNTIFS($A$10:$A$89,$C447,$I$10:$I$89,"&lt;&gt;")=0,"brak danych",VLOOKUP($C447,$A$10:$J$89,9,FALSE)*$F447)))))</x:f>
      </x:c>
      <x:c r="P447" s="25" t="str">
        <x:f>IF($A447="","",IF($F447="","",IF($F447=0,0,IF(COUNTIFS($A$10:$A$89,$C447)&lt;&gt;1,"brak danych",IF(COUNTIFS($A$10:$A$89,$C447,$J$10:$J$89,"&lt;&gt;")=0,"brak danych",VLOOKUP($C447,$A$10:$J$89,10,FALSE)*$F447)))))</x:f>
      </x:c>
      <x:c r="Q447" s="18"/>
    </x:row>
    <x:row r="448" ht="25" customHeight="1">
      <x:c r="A448" s="6"/>
      <x:c r="B448" s="30"/>
      <x:c r="C448" s="5"/>
      <x:c r="D448" s="5"/>
      <x:c r="E448" s="32"/>
      <x:c r="F448" s="32"/>
      <x:c r="G448" s="24" t="str">
        <x:f>IF($A448="","",IF(AND($C448="",$E448=""),"",IF($E448="","brak danych",IF($E448=0,0,IF(COUNTIFS($A$10:$A$89,$C448)&lt;&gt;1,"brak danych",IF(COUNTIFS($A$10:$A$89,$C448,$F$10:$F$89,"&lt;&gt;")=0,"brak danych",VLOOKUP($C448,$A$10:$J$89,6,FALSE)*$E448))))))</x:f>
      </x:c>
      <x:c r="H448" s="25" t="str">
        <x:f>IF($A448="","",IF(AND($C448="",$E448=""),"",IF($E448="","brak danych",IF($E448=0,0,IF(COUNTIFS($A$10:$A$89,$C448)&lt;&gt;1,"brak danych",IF(COUNTIFS($A$10:$A$89,$C448,$G$10:$G$89,"&lt;&gt;")=0,"brak danych",VLOOKUP($C448,$A$10:$J$89,7,FALSE)*$E448))))))</x:f>
      </x:c>
      <x:c r="I448" s="25" t="str">
        <x:f>IF($A448="","",IF(AND($C448="",$E448=""),"",IF($E448="","brak danych",IF($E448=0,0,IF(COUNTIFS($A$10:$A$89,$C448)&lt;&gt;1,"brak danych",IF(COUNTIFS($A$10:$A$89,$C448,$H$10:$H$89,"&lt;&gt;")=0,"brak danych",VLOOKUP($C448,$A$10:$J$89,8,FALSE)*$E448))))))</x:f>
      </x:c>
      <x:c r="J448" s="25" t="str">
        <x:f>IF($A448="","",IF(AND($C448="",$E448=""),"",IF($E448="","brak danych",IF($E448=0,0,IF(COUNTIFS($A$10:$A$89,$C448)&lt;&gt;1,"brak danych",IF(COUNTIFS($A$10:$A$89,$C448,$I$10:$I$89,"&lt;&gt;")=0,"brak danych",VLOOKUP($C448,$A$10:$J$89,9,FALSE)*$E448))))))</x:f>
      </x:c>
      <x:c r="K448" s="25" t="str">
        <x:f>IF($A448="","",IF(AND($C448="",$E448=""),"",IF($E448="","brak danych",IF($E448=0,0,IF(COUNTIFS($A$10:$A$89,$C448)&lt;&gt;1,"brak danych",IF(COUNTIFS($A$10:$A$89,$C448,$J$10:$J$89,"&lt;&gt;")=0,"brak danych",VLOOKUP($C448,$A$10:$J$89,10,FALSE)*$E448))))))</x:f>
      </x:c>
      <x:c r="L448" s="24" t="str">
        <x:f>IF($A448="","",IF($F448="","",IF($F448=0,0,IF(COUNTIFS($A$10:$A$89,$C448)&lt;&gt;1,"brak danych",IF(COUNTIFS($A$10:$A$89,$C448,$F$10:$F$89,"&lt;&gt;")=0,"brak danych",VLOOKUP($C448,$A$10:$J$89,6,FALSE)*$F448)))))</x:f>
      </x:c>
      <x:c r="M448" s="25" t="str">
        <x:f>IF($A448="","",IF($F448="","",IF($F448=0,0,IF(COUNTIFS($A$10:$A$89,$C448)&lt;&gt;1,"brak danych",IF(COUNTIFS($A$10:$A$89,$C448,$G$10:$G$89,"&lt;&gt;")=0,"brak danych",VLOOKUP($C448,$A$10:$J$89,7,FALSE)*$F448)))))</x:f>
      </x:c>
      <x:c r="N448" s="25" t="str">
        <x:f>IF($A448="","",IF($F448="","",IF($F448=0,0,IF(COUNTIFS($A$10:$A$89,$C448)&lt;&gt;1,"brak danych",IF(COUNTIFS($A$10:$A$89,$C448,$H$10:$H$89,"&lt;&gt;")=0,"brak danych",VLOOKUP($C448,$A$10:$J$89,8,FALSE)*$F448)))))</x:f>
      </x:c>
      <x:c r="O448" s="25" t="str">
        <x:f>IF($A448="","",IF($F448="","",IF($F448=0,0,IF(COUNTIFS($A$10:$A$89,$C448)&lt;&gt;1,"brak danych",IF(COUNTIFS($A$10:$A$89,$C448,$I$10:$I$89,"&lt;&gt;")=0,"brak danych",VLOOKUP($C448,$A$10:$J$89,9,FALSE)*$F448)))))</x:f>
      </x:c>
      <x:c r="P448" s="25" t="str">
        <x:f>IF($A448="","",IF($F448="","",IF($F448=0,0,IF(COUNTIFS($A$10:$A$89,$C448)&lt;&gt;1,"brak danych",IF(COUNTIFS($A$10:$A$89,$C448,$J$10:$J$89,"&lt;&gt;")=0,"brak danych",VLOOKUP($C448,$A$10:$J$89,10,FALSE)*$F448)))))</x:f>
      </x:c>
      <x:c r="Q448" s="18"/>
    </x:row>
    <x:row r="449" ht="25" customHeight="1">
      <x:c r="A449" s="6"/>
      <x:c r="B449" s="30"/>
      <x:c r="C449" s="5"/>
      <x:c r="D449" s="5"/>
      <x:c r="E449" s="32"/>
      <x:c r="F449" s="32"/>
      <x:c r="G449" s="24" t="str">
        <x:f>IF($A449="","",IF(AND($C449="",$E449=""),"",IF($E449="","brak danych",IF($E449=0,0,IF(COUNTIFS($A$10:$A$89,$C449)&lt;&gt;1,"brak danych",IF(COUNTIFS($A$10:$A$89,$C449,$F$10:$F$89,"&lt;&gt;")=0,"brak danych",VLOOKUP($C449,$A$10:$J$89,6,FALSE)*$E449))))))</x:f>
      </x:c>
      <x:c r="H449" s="25" t="str">
        <x:f>IF($A449="","",IF(AND($C449="",$E449=""),"",IF($E449="","brak danych",IF($E449=0,0,IF(COUNTIFS($A$10:$A$89,$C449)&lt;&gt;1,"brak danych",IF(COUNTIFS($A$10:$A$89,$C449,$G$10:$G$89,"&lt;&gt;")=0,"brak danych",VLOOKUP($C449,$A$10:$J$89,7,FALSE)*$E449))))))</x:f>
      </x:c>
      <x:c r="I449" s="25" t="str">
        <x:f>IF($A449="","",IF(AND($C449="",$E449=""),"",IF($E449="","brak danych",IF($E449=0,0,IF(COUNTIFS($A$10:$A$89,$C449)&lt;&gt;1,"brak danych",IF(COUNTIFS($A$10:$A$89,$C449,$H$10:$H$89,"&lt;&gt;")=0,"brak danych",VLOOKUP($C449,$A$10:$J$89,8,FALSE)*$E449))))))</x:f>
      </x:c>
      <x:c r="J449" s="25" t="str">
        <x:f>IF($A449="","",IF(AND($C449="",$E449=""),"",IF($E449="","brak danych",IF($E449=0,0,IF(COUNTIFS($A$10:$A$89,$C449)&lt;&gt;1,"brak danych",IF(COUNTIFS($A$10:$A$89,$C449,$I$10:$I$89,"&lt;&gt;")=0,"brak danych",VLOOKUP($C449,$A$10:$J$89,9,FALSE)*$E449))))))</x:f>
      </x:c>
      <x:c r="K449" s="25" t="str">
        <x:f>IF($A449="","",IF(AND($C449="",$E449=""),"",IF($E449="","brak danych",IF($E449=0,0,IF(COUNTIFS($A$10:$A$89,$C449)&lt;&gt;1,"brak danych",IF(COUNTIFS($A$10:$A$89,$C449,$J$10:$J$89,"&lt;&gt;")=0,"brak danych",VLOOKUP($C449,$A$10:$J$89,10,FALSE)*$E449))))))</x:f>
      </x:c>
      <x:c r="L449" s="24" t="str">
        <x:f>IF($A449="","",IF($F449="","",IF($F449=0,0,IF(COUNTIFS($A$10:$A$89,$C449)&lt;&gt;1,"brak danych",IF(COUNTIFS($A$10:$A$89,$C449,$F$10:$F$89,"&lt;&gt;")=0,"brak danych",VLOOKUP($C449,$A$10:$J$89,6,FALSE)*$F449)))))</x:f>
      </x:c>
      <x:c r="M449" s="25" t="str">
        <x:f>IF($A449="","",IF($F449="","",IF($F449=0,0,IF(COUNTIFS($A$10:$A$89,$C449)&lt;&gt;1,"brak danych",IF(COUNTIFS($A$10:$A$89,$C449,$G$10:$G$89,"&lt;&gt;")=0,"brak danych",VLOOKUP($C449,$A$10:$J$89,7,FALSE)*$F449)))))</x:f>
      </x:c>
      <x:c r="N449" s="25" t="str">
        <x:f>IF($A449="","",IF($F449="","",IF($F449=0,0,IF(COUNTIFS($A$10:$A$89,$C449)&lt;&gt;1,"brak danych",IF(COUNTIFS($A$10:$A$89,$C449,$H$10:$H$89,"&lt;&gt;")=0,"brak danych",VLOOKUP($C449,$A$10:$J$89,8,FALSE)*$F449)))))</x:f>
      </x:c>
      <x:c r="O449" s="25" t="str">
        <x:f>IF($A449="","",IF($F449="","",IF($F449=0,0,IF(COUNTIFS($A$10:$A$89,$C449)&lt;&gt;1,"brak danych",IF(COUNTIFS($A$10:$A$89,$C449,$I$10:$I$89,"&lt;&gt;")=0,"brak danych",VLOOKUP($C449,$A$10:$J$89,9,FALSE)*$F449)))))</x:f>
      </x:c>
      <x:c r="P449" s="25" t="str">
        <x:f>IF($A449="","",IF($F449="","",IF($F449=0,0,IF(COUNTIFS($A$10:$A$89,$C449)&lt;&gt;1,"brak danych",IF(COUNTIFS($A$10:$A$89,$C449,$J$10:$J$89,"&lt;&gt;")=0,"brak danych",VLOOKUP($C449,$A$10:$J$89,10,FALSE)*$F449)))))</x:f>
      </x:c>
      <x:c r="Q449" s="18"/>
    </x:row>
    <x:row r="450" ht="25" customHeight="1">
      <x:c r="A450" s="6"/>
      <x:c r="B450" s="30"/>
      <x:c r="C450" s="5"/>
      <x:c r="D450" s="5"/>
      <x:c r="E450" s="32"/>
      <x:c r="F450" s="32"/>
      <x:c r="G450" s="24" t="str">
        <x:f>IF($A450="","",IF(AND($C450="",$E450=""),"",IF($E450="","brak danych",IF($E450=0,0,IF(COUNTIFS($A$10:$A$89,$C450)&lt;&gt;1,"brak danych",IF(COUNTIFS($A$10:$A$89,$C450,$F$10:$F$89,"&lt;&gt;")=0,"brak danych",VLOOKUP($C450,$A$10:$J$89,6,FALSE)*$E450))))))</x:f>
      </x:c>
      <x:c r="H450" s="25" t="str">
        <x:f>IF($A450="","",IF(AND($C450="",$E450=""),"",IF($E450="","brak danych",IF($E450=0,0,IF(COUNTIFS($A$10:$A$89,$C450)&lt;&gt;1,"brak danych",IF(COUNTIFS($A$10:$A$89,$C450,$G$10:$G$89,"&lt;&gt;")=0,"brak danych",VLOOKUP($C450,$A$10:$J$89,7,FALSE)*$E450))))))</x:f>
      </x:c>
      <x:c r="I450" s="25" t="str">
        <x:f>IF($A450="","",IF(AND($C450="",$E450=""),"",IF($E450="","brak danych",IF($E450=0,0,IF(COUNTIFS($A$10:$A$89,$C450)&lt;&gt;1,"brak danych",IF(COUNTIFS($A$10:$A$89,$C450,$H$10:$H$89,"&lt;&gt;")=0,"brak danych",VLOOKUP($C450,$A$10:$J$89,8,FALSE)*$E450))))))</x:f>
      </x:c>
      <x:c r="J450" s="25" t="str">
        <x:f>IF($A450="","",IF(AND($C450="",$E450=""),"",IF($E450="","brak danych",IF($E450=0,0,IF(COUNTIFS($A$10:$A$89,$C450)&lt;&gt;1,"brak danych",IF(COUNTIFS($A$10:$A$89,$C450,$I$10:$I$89,"&lt;&gt;")=0,"brak danych",VLOOKUP($C450,$A$10:$J$89,9,FALSE)*$E450))))))</x:f>
      </x:c>
      <x:c r="K450" s="25" t="str">
        <x:f>IF($A450="","",IF(AND($C450="",$E450=""),"",IF($E450="","brak danych",IF($E450=0,0,IF(COUNTIFS($A$10:$A$89,$C450)&lt;&gt;1,"brak danych",IF(COUNTIFS($A$10:$A$89,$C450,$J$10:$J$89,"&lt;&gt;")=0,"brak danych",VLOOKUP($C450,$A$10:$J$89,10,FALSE)*$E450))))))</x:f>
      </x:c>
      <x:c r="L450" s="24" t="str">
        <x:f>IF($A450="","",IF($F450="","",IF($F450=0,0,IF(COUNTIFS($A$10:$A$89,$C450)&lt;&gt;1,"brak danych",IF(COUNTIFS($A$10:$A$89,$C450,$F$10:$F$89,"&lt;&gt;")=0,"brak danych",VLOOKUP($C450,$A$10:$J$89,6,FALSE)*$F450)))))</x:f>
      </x:c>
      <x:c r="M450" s="25" t="str">
        <x:f>IF($A450="","",IF($F450="","",IF($F450=0,0,IF(COUNTIFS($A$10:$A$89,$C450)&lt;&gt;1,"brak danych",IF(COUNTIFS($A$10:$A$89,$C450,$G$10:$G$89,"&lt;&gt;")=0,"brak danych",VLOOKUP($C450,$A$10:$J$89,7,FALSE)*$F450)))))</x:f>
      </x:c>
      <x:c r="N450" s="25" t="str">
        <x:f>IF($A450="","",IF($F450="","",IF($F450=0,0,IF(COUNTIFS($A$10:$A$89,$C450)&lt;&gt;1,"brak danych",IF(COUNTIFS($A$10:$A$89,$C450,$H$10:$H$89,"&lt;&gt;")=0,"brak danych",VLOOKUP($C450,$A$10:$J$89,8,FALSE)*$F450)))))</x:f>
      </x:c>
      <x:c r="O450" s="25" t="str">
        <x:f>IF($A450="","",IF($F450="","",IF($F450=0,0,IF(COUNTIFS($A$10:$A$89,$C450)&lt;&gt;1,"brak danych",IF(COUNTIFS($A$10:$A$89,$C450,$I$10:$I$89,"&lt;&gt;")=0,"brak danych",VLOOKUP($C450,$A$10:$J$89,9,FALSE)*$F450)))))</x:f>
      </x:c>
      <x:c r="P450" s="25" t="str">
        <x:f>IF($A450="","",IF($F450="","",IF($F450=0,0,IF(COUNTIFS($A$10:$A$89,$C450)&lt;&gt;1,"brak danych",IF(COUNTIFS($A$10:$A$89,$C450,$J$10:$J$89,"&lt;&gt;")=0,"brak danych",VLOOKUP($C450,$A$10:$J$89,10,FALSE)*$F450)))))</x:f>
      </x:c>
      <x:c r="Q450" s="18"/>
    </x:row>
    <x:row r="451" ht="25" customHeight="1">
      <x:c r="A451" s="6"/>
      <x:c r="B451" s="30"/>
      <x:c r="C451" s="5"/>
      <x:c r="D451" s="5"/>
      <x:c r="E451" s="32"/>
      <x:c r="F451" s="32"/>
      <x:c r="G451" s="24" t="str">
        <x:f>IF($A451="","",IF(AND($C451="",$E451=""),"",IF($E451="","brak danych",IF($E451=0,0,IF(COUNTIFS($A$10:$A$89,$C451)&lt;&gt;1,"brak danych",IF(COUNTIFS($A$10:$A$89,$C451,$F$10:$F$89,"&lt;&gt;")=0,"brak danych",VLOOKUP($C451,$A$10:$J$89,6,FALSE)*$E451))))))</x:f>
      </x:c>
      <x:c r="H451" s="25" t="str">
        <x:f>IF($A451="","",IF(AND($C451="",$E451=""),"",IF($E451="","brak danych",IF($E451=0,0,IF(COUNTIFS($A$10:$A$89,$C451)&lt;&gt;1,"brak danych",IF(COUNTIFS($A$10:$A$89,$C451,$G$10:$G$89,"&lt;&gt;")=0,"brak danych",VLOOKUP($C451,$A$10:$J$89,7,FALSE)*$E451))))))</x:f>
      </x:c>
      <x:c r="I451" s="25" t="str">
        <x:f>IF($A451="","",IF(AND($C451="",$E451=""),"",IF($E451="","brak danych",IF($E451=0,0,IF(COUNTIFS($A$10:$A$89,$C451)&lt;&gt;1,"brak danych",IF(COUNTIFS($A$10:$A$89,$C451,$H$10:$H$89,"&lt;&gt;")=0,"brak danych",VLOOKUP($C451,$A$10:$J$89,8,FALSE)*$E451))))))</x:f>
      </x:c>
      <x:c r="J451" s="25" t="str">
        <x:f>IF($A451="","",IF(AND($C451="",$E451=""),"",IF($E451="","brak danych",IF($E451=0,0,IF(COUNTIFS($A$10:$A$89,$C451)&lt;&gt;1,"brak danych",IF(COUNTIFS($A$10:$A$89,$C451,$I$10:$I$89,"&lt;&gt;")=0,"brak danych",VLOOKUP($C451,$A$10:$J$89,9,FALSE)*$E451))))))</x:f>
      </x:c>
      <x:c r="K451" s="25" t="str">
        <x:f>IF($A451="","",IF(AND($C451="",$E451=""),"",IF($E451="","brak danych",IF($E451=0,0,IF(COUNTIFS($A$10:$A$89,$C451)&lt;&gt;1,"brak danych",IF(COUNTIFS($A$10:$A$89,$C451,$J$10:$J$89,"&lt;&gt;")=0,"brak danych",VLOOKUP($C451,$A$10:$J$89,10,FALSE)*$E451))))))</x:f>
      </x:c>
      <x:c r="L451" s="24" t="str">
        <x:f>IF($A451="","",IF($F451="","",IF($F451=0,0,IF(COUNTIFS($A$10:$A$89,$C451)&lt;&gt;1,"brak danych",IF(COUNTIFS($A$10:$A$89,$C451,$F$10:$F$89,"&lt;&gt;")=0,"brak danych",VLOOKUP($C451,$A$10:$J$89,6,FALSE)*$F451)))))</x:f>
      </x:c>
      <x:c r="M451" s="25" t="str">
        <x:f>IF($A451="","",IF($F451="","",IF($F451=0,0,IF(COUNTIFS($A$10:$A$89,$C451)&lt;&gt;1,"brak danych",IF(COUNTIFS($A$10:$A$89,$C451,$G$10:$G$89,"&lt;&gt;")=0,"brak danych",VLOOKUP($C451,$A$10:$J$89,7,FALSE)*$F451)))))</x:f>
      </x:c>
      <x:c r="N451" s="25" t="str">
        <x:f>IF($A451="","",IF($F451="","",IF($F451=0,0,IF(COUNTIFS($A$10:$A$89,$C451)&lt;&gt;1,"brak danych",IF(COUNTIFS($A$10:$A$89,$C451,$H$10:$H$89,"&lt;&gt;")=0,"brak danych",VLOOKUP($C451,$A$10:$J$89,8,FALSE)*$F451)))))</x:f>
      </x:c>
      <x:c r="O451" s="25" t="str">
        <x:f>IF($A451="","",IF($F451="","",IF($F451=0,0,IF(COUNTIFS($A$10:$A$89,$C451)&lt;&gt;1,"brak danych",IF(COUNTIFS($A$10:$A$89,$C451,$I$10:$I$89,"&lt;&gt;")=0,"brak danych",VLOOKUP($C451,$A$10:$J$89,9,FALSE)*$F451)))))</x:f>
      </x:c>
      <x:c r="P451" s="25" t="str">
        <x:f>IF($A451="","",IF($F451="","",IF($F451=0,0,IF(COUNTIFS($A$10:$A$89,$C451)&lt;&gt;1,"brak danych",IF(COUNTIFS($A$10:$A$89,$C451,$J$10:$J$89,"&lt;&gt;")=0,"brak danych",VLOOKUP($C451,$A$10:$J$89,10,FALSE)*$F451)))))</x:f>
      </x:c>
      <x:c r="Q451" s="18"/>
    </x:row>
    <x:row r="452" ht="25" customHeight="1">
      <x:c r="A452" s="6"/>
      <x:c r="B452" s="30"/>
      <x:c r="C452" s="5"/>
      <x:c r="D452" s="5"/>
      <x:c r="E452" s="32"/>
      <x:c r="F452" s="32"/>
      <x:c r="G452" s="24" t="str">
        <x:f>IF($A452="","",IF(AND($C452="",$E452=""),"",IF($E452="","brak danych",IF($E452=0,0,IF(COUNTIFS($A$10:$A$89,$C452)&lt;&gt;1,"brak danych",IF(COUNTIFS($A$10:$A$89,$C452,$F$10:$F$89,"&lt;&gt;")=0,"brak danych",VLOOKUP($C452,$A$10:$J$89,6,FALSE)*$E452))))))</x:f>
      </x:c>
      <x:c r="H452" s="25" t="str">
        <x:f>IF($A452="","",IF(AND($C452="",$E452=""),"",IF($E452="","brak danych",IF($E452=0,0,IF(COUNTIFS($A$10:$A$89,$C452)&lt;&gt;1,"brak danych",IF(COUNTIFS($A$10:$A$89,$C452,$G$10:$G$89,"&lt;&gt;")=0,"brak danych",VLOOKUP($C452,$A$10:$J$89,7,FALSE)*$E452))))))</x:f>
      </x:c>
      <x:c r="I452" s="25" t="str">
        <x:f>IF($A452="","",IF(AND($C452="",$E452=""),"",IF($E452="","brak danych",IF($E452=0,0,IF(COUNTIFS($A$10:$A$89,$C452)&lt;&gt;1,"brak danych",IF(COUNTIFS($A$10:$A$89,$C452,$H$10:$H$89,"&lt;&gt;")=0,"brak danych",VLOOKUP($C452,$A$10:$J$89,8,FALSE)*$E452))))))</x:f>
      </x:c>
      <x:c r="J452" s="25" t="str">
        <x:f>IF($A452="","",IF(AND($C452="",$E452=""),"",IF($E452="","brak danych",IF($E452=0,0,IF(COUNTIFS($A$10:$A$89,$C452)&lt;&gt;1,"brak danych",IF(COUNTIFS($A$10:$A$89,$C452,$I$10:$I$89,"&lt;&gt;")=0,"brak danych",VLOOKUP($C452,$A$10:$J$89,9,FALSE)*$E452))))))</x:f>
      </x:c>
      <x:c r="K452" s="25" t="str">
        <x:f>IF($A452="","",IF(AND($C452="",$E452=""),"",IF($E452="","brak danych",IF($E452=0,0,IF(COUNTIFS($A$10:$A$89,$C452)&lt;&gt;1,"brak danych",IF(COUNTIFS($A$10:$A$89,$C452,$J$10:$J$89,"&lt;&gt;")=0,"brak danych",VLOOKUP($C452,$A$10:$J$89,10,FALSE)*$E452))))))</x:f>
      </x:c>
      <x:c r="L452" s="24" t="str">
        <x:f>IF($A452="","",IF($F452="","",IF($F452=0,0,IF(COUNTIFS($A$10:$A$89,$C452)&lt;&gt;1,"brak danych",IF(COUNTIFS($A$10:$A$89,$C452,$F$10:$F$89,"&lt;&gt;")=0,"brak danych",VLOOKUP($C452,$A$10:$J$89,6,FALSE)*$F452)))))</x:f>
      </x:c>
      <x:c r="M452" s="25" t="str">
        <x:f>IF($A452="","",IF($F452="","",IF($F452=0,0,IF(COUNTIFS($A$10:$A$89,$C452)&lt;&gt;1,"brak danych",IF(COUNTIFS($A$10:$A$89,$C452,$G$10:$G$89,"&lt;&gt;")=0,"brak danych",VLOOKUP($C452,$A$10:$J$89,7,FALSE)*$F452)))))</x:f>
      </x:c>
      <x:c r="N452" s="25" t="str">
        <x:f>IF($A452="","",IF($F452="","",IF($F452=0,0,IF(COUNTIFS($A$10:$A$89,$C452)&lt;&gt;1,"brak danych",IF(COUNTIFS($A$10:$A$89,$C452,$H$10:$H$89,"&lt;&gt;")=0,"brak danych",VLOOKUP($C452,$A$10:$J$89,8,FALSE)*$F452)))))</x:f>
      </x:c>
      <x:c r="O452" s="25" t="str">
        <x:f>IF($A452="","",IF($F452="","",IF($F452=0,0,IF(COUNTIFS($A$10:$A$89,$C452)&lt;&gt;1,"brak danych",IF(COUNTIFS($A$10:$A$89,$C452,$I$10:$I$89,"&lt;&gt;")=0,"brak danych",VLOOKUP($C452,$A$10:$J$89,9,FALSE)*$F452)))))</x:f>
      </x:c>
      <x:c r="P452" s="25" t="str">
        <x:f>IF($A452="","",IF($F452="","",IF($F452=0,0,IF(COUNTIFS($A$10:$A$89,$C452)&lt;&gt;1,"brak danych",IF(COUNTIFS($A$10:$A$89,$C452,$J$10:$J$89,"&lt;&gt;")=0,"brak danych",VLOOKUP($C452,$A$10:$J$89,10,FALSE)*$F452)))))</x:f>
      </x:c>
      <x:c r="Q452" s="18"/>
    </x:row>
    <x:row r="453" ht="25" customHeight="1">
      <x:c r="A453" s="6"/>
      <x:c r="B453" s="30"/>
      <x:c r="C453" s="5"/>
      <x:c r="D453" s="5"/>
      <x:c r="E453" s="32"/>
      <x:c r="F453" s="32"/>
      <x:c r="G453" s="24" t="str">
        <x:f>IF($A453="","",IF(AND($C453="",$E453=""),"",IF($E453="","brak danych",IF($E453=0,0,IF(COUNTIFS($A$10:$A$89,$C453)&lt;&gt;1,"brak danych",IF(COUNTIFS($A$10:$A$89,$C453,$F$10:$F$89,"&lt;&gt;")=0,"brak danych",VLOOKUP($C453,$A$10:$J$89,6,FALSE)*$E453))))))</x:f>
      </x:c>
      <x:c r="H453" s="25" t="str">
        <x:f>IF($A453="","",IF(AND($C453="",$E453=""),"",IF($E453="","brak danych",IF($E453=0,0,IF(COUNTIFS($A$10:$A$89,$C453)&lt;&gt;1,"brak danych",IF(COUNTIFS($A$10:$A$89,$C453,$G$10:$G$89,"&lt;&gt;")=0,"brak danych",VLOOKUP($C453,$A$10:$J$89,7,FALSE)*$E453))))))</x:f>
      </x:c>
      <x:c r="I453" s="25" t="str">
        <x:f>IF($A453="","",IF(AND($C453="",$E453=""),"",IF($E453="","brak danych",IF($E453=0,0,IF(COUNTIFS($A$10:$A$89,$C453)&lt;&gt;1,"brak danych",IF(COUNTIFS($A$10:$A$89,$C453,$H$10:$H$89,"&lt;&gt;")=0,"brak danych",VLOOKUP($C453,$A$10:$J$89,8,FALSE)*$E453))))))</x:f>
      </x:c>
      <x:c r="J453" s="25" t="str">
        <x:f>IF($A453="","",IF(AND($C453="",$E453=""),"",IF($E453="","brak danych",IF($E453=0,0,IF(COUNTIFS($A$10:$A$89,$C453)&lt;&gt;1,"brak danych",IF(COUNTIFS($A$10:$A$89,$C453,$I$10:$I$89,"&lt;&gt;")=0,"brak danych",VLOOKUP($C453,$A$10:$J$89,9,FALSE)*$E453))))))</x:f>
      </x:c>
      <x:c r="K453" s="25" t="str">
        <x:f>IF($A453="","",IF(AND($C453="",$E453=""),"",IF($E453="","brak danych",IF($E453=0,0,IF(COUNTIFS($A$10:$A$89,$C453)&lt;&gt;1,"brak danych",IF(COUNTIFS($A$10:$A$89,$C453,$J$10:$J$89,"&lt;&gt;")=0,"brak danych",VLOOKUP($C453,$A$10:$J$89,10,FALSE)*$E453))))))</x:f>
      </x:c>
      <x:c r="L453" s="24" t="str">
        <x:f>IF($A453="","",IF($F453="","",IF($F453=0,0,IF(COUNTIFS($A$10:$A$89,$C453)&lt;&gt;1,"brak danych",IF(COUNTIFS($A$10:$A$89,$C453,$F$10:$F$89,"&lt;&gt;")=0,"brak danych",VLOOKUP($C453,$A$10:$J$89,6,FALSE)*$F453)))))</x:f>
      </x:c>
      <x:c r="M453" s="25" t="str">
        <x:f>IF($A453="","",IF($F453="","",IF($F453=0,0,IF(COUNTIFS($A$10:$A$89,$C453)&lt;&gt;1,"brak danych",IF(COUNTIFS($A$10:$A$89,$C453,$G$10:$G$89,"&lt;&gt;")=0,"brak danych",VLOOKUP($C453,$A$10:$J$89,7,FALSE)*$F453)))))</x:f>
      </x:c>
      <x:c r="N453" s="25" t="str">
        <x:f>IF($A453="","",IF($F453="","",IF($F453=0,0,IF(COUNTIFS($A$10:$A$89,$C453)&lt;&gt;1,"brak danych",IF(COUNTIFS($A$10:$A$89,$C453,$H$10:$H$89,"&lt;&gt;")=0,"brak danych",VLOOKUP($C453,$A$10:$J$89,8,FALSE)*$F453)))))</x:f>
      </x:c>
      <x:c r="O453" s="25" t="str">
        <x:f>IF($A453="","",IF($F453="","",IF($F453=0,0,IF(COUNTIFS($A$10:$A$89,$C453)&lt;&gt;1,"brak danych",IF(COUNTIFS($A$10:$A$89,$C453,$I$10:$I$89,"&lt;&gt;")=0,"brak danych",VLOOKUP($C453,$A$10:$J$89,9,FALSE)*$F453)))))</x:f>
      </x:c>
      <x:c r="P453" s="25" t="str">
        <x:f>IF($A453="","",IF($F453="","",IF($F453=0,0,IF(COUNTIFS($A$10:$A$89,$C453)&lt;&gt;1,"brak danych",IF(COUNTIFS($A$10:$A$89,$C453,$J$10:$J$89,"&lt;&gt;")=0,"brak danych",VLOOKUP($C453,$A$10:$J$89,10,FALSE)*$F453)))))</x:f>
      </x:c>
      <x:c r="Q453" s="18"/>
    </x:row>
    <x:row r="454" ht="25" customHeight="1">
      <x:c r="A454" s="6"/>
      <x:c r="B454" s="30"/>
      <x:c r="C454" s="5"/>
      <x:c r="D454" s="5"/>
      <x:c r="E454" s="32"/>
      <x:c r="F454" s="32"/>
      <x:c r="G454" s="24" t="str">
        <x:f>IF($A454="","",IF(AND($C454="",$E454=""),"",IF($E454="","brak danych",IF($E454=0,0,IF(COUNTIFS($A$10:$A$89,$C454)&lt;&gt;1,"brak danych",IF(COUNTIFS($A$10:$A$89,$C454,$F$10:$F$89,"&lt;&gt;")=0,"brak danych",VLOOKUP($C454,$A$10:$J$89,6,FALSE)*$E454))))))</x:f>
      </x:c>
      <x:c r="H454" s="25" t="str">
        <x:f>IF($A454="","",IF(AND($C454="",$E454=""),"",IF($E454="","brak danych",IF($E454=0,0,IF(COUNTIFS($A$10:$A$89,$C454)&lt;&gt;1,"brak danych",IF(COUNTIFS($A$10:$A$89,$C454,$G$10:$G$89,"&lt;&gt;")=0,"brak danych",VLOOKUP($C454,$A$10:$J$89,7,FALSE)*$E454))))))</x:f>
      </x:c>
      <x:c r="I454" s="25" t="str">
        <x:f>IF($A454="","",IF(AND($C454="",$E454=""),"",IF($E454="","brak danych",IF($E454=0,0,IF(COUNTIFS($A$10:$A$89,$C454)&lt;&gt;1,"brak danych",IF(COUNTIFS($A$10:$A$89,$C454,$H$10:$H$89,"&lt;&gt;")=0,"brak danych",VLOOKUP($C454,$A$10:$J$89,8,FALSE)*$E454))))))</x:f>
      </x:c>
      <x:c r="J454" s="25" t="str">
        <x:f>IF($A454="","",IF(AND($C454="",$E454=""),"",IF($E454="","brak danych",IF($E454=0,0,IF(COUNTIFS($A$10:$A$89,$C454)&lt;&gt;1,"brak danych",IF(COUNTIFS($A$10:$A$89,$C454,$I$10:$I$89,"&lt;&gt;")=0,"brak danych",VLOOKUP($C454,$A$10:$J$89,9,FALSE)*$E454))))))</x:f>
      </x:c>
      <x:c r="K454" s="25" t="str">
        <x:f>IF($A454="","",IF(AND($C454="",$E454=""),"",IF($E454="","brak danych",IF($E454=0,0,IF(COUNTIFS($A$10:$A$89,$C454)&lt;&gt;1,"brak danych",IF(COUNTIFS($A$10:$A$89,$C454,$J$10:$J$89,"&lt;&gt;")=0,"brak danych",VLOOKUP($C454,$A$10:$J$89,10,FALSE)*$E454))))))</x:f>
      </x:c>
      <x:c r="L454" s="24" t="str">
        <x:f>IF($A454="","",IF($F454="","",IF($F454=0,0,IF(COUNTIFS($A$10:$A$89,$C454)&lt;&gt;1,"brak danych",IF(COUNTIFS($A$10:$A$89,$C454,$F$10:$F$89,"&lt;&gt;")=0,"brak danych",VLOOKUP($C454,$A$10:$J$89,6,FALSE)*$F454)))))</x:f>
      </x:c>
      <x:c r="M454" s="25" t="str">
        <x:f>IF($A454="","",IF($F454="","",IF($F454=0,0,IF(COUNTIFS($A$10:$A$89,$C454)&lt;&gt;1,"brak danych",IF(COUNTIFS($A$10:$A$89,$C454,$G$10:$G$89,"&lt;&gt;")=0,"brak danych",VLOOKUP($C454,$A$10:$J$89,7,FALSE)*$F454)))))</x:f>
      </x:c>
      <x:c r="N454" s="25" t="str">
        <x:f>IF($A454="","",IF($F454="","",IF($F454=0,0,IF(COUNTIFS($A$10:$A$89,$C454)&lt;&gt;1,"brak danych",IF(COUNTIFS($A$10:$A$89,$C454,$H$10:$H$89,"&lt;&gt;")=0,"brak danych",VLOOKUP($C454,$A$10:$J$89,8,FALSE)*$F454)))))</x:f>
      </x:c>
      <x:c r="O454" s="25" t="str">
        <x:f>IF($A454="","",IF($F454="","",IF($F454=0,0,IF(COUNTIFS($A$10:$A$89,$C454)&lt;&gt;1,"brak danych",IF(COUNTIFS($A$10:$A$89,$C454,$I$10:$I$89,"&lt;&gt;")=0,"brak danych",VLOOKUP($C454,$A$10:$J$89,9,FALSE)*$F454)))))</x:f>
      </x:c>
      <x:c r="P454" s="25" t="str">
        <x:f>IF($A454="","",IF($F454="","",IF($F454=0,0,IF(COUNTIFS($A$10:$A$89,$C454)&lt;&gt;1,"brak danych",IF(COUNTIFS($A$10:$A$89,$C454,$J$10:$J$89,"&lt;&gt;")=0,"brak danych",VLOOKUP($C454,$A$10:$J$89,10,FALSE)*$F454)))))</x:f>
      </x:c>
      <x:c r="Q454" s="18"/>
    </x:row>
    <x:row r="455" ht="25" customHeight="1">
      <x:c r="A455" s="6"/>
      <x:c r="B455" s="30"/>
      <x:c r="C455" s="5"/>
      <x:c r="D455" s="5"/>
      <x:c r="E455" s="32"/>
      <x:c r="F455" s="32"/>
      <x:c r="G455" s="24" t="str">
        <x:f>IF($A455="","",IF(AND($C455="",$E455=""),"",IF($E455="","brak danych",IF($E455=0,0,IF(COUNTIFS($A$10:$A$89,$C455)&lt;&gt;1,"brak danych",IF(COUNTIFS($A$10:$A$89,$C455,$F$10:$F$89,"&lt;&gt;")=0,"brak danych",VLOOKUP($C455,$A$10:$J$89,6,FALSE)*$E455))))))</x:f>
      </x:c>
      <x:c r="H455" s="25" t="str">
        <x:f>IF($A455="","",IF(AND($C455="",$E455=""),"",IF($E455="","brak danych",IF($E455=0,0,IF(COUNTIFS($A$10:$A$89,$C455)&lt;&gt;1,"brak danych",IF(COUNTIFS($A$10:$A$89,$C455,$G$10:$G$89,"&lt;&gt;")=0,"brak danych",VLOOKUP($C455,$A$10:$J$89,7,FALSE)*$E455))))))</x:f>
      </x:c>
      <x:c r="I455" s="25" t="str">
        <x:f>IF($A455="","",IF(AND($C455="",$E455=""),"",IF($E455="","brak danych",IF($E455=0,0,IF(COUNTIFS($A$10:$A$89,$C455)&lt;&gt;1,"brak danych",IF(COUNTIFS($A$10:$A$89,$C455,$H$10:$H$89,"&lt;&gt;")=0,"brak danych",VLOOKUP($C455,$A$10:$J$89,8,FALSE)*$E455))))))</x:f>
      </x:c>
      <x:c r="J455" s="25" t="str">
        <x:f>IF($A455="","",IF(AND($C455="",$E455=""),"",IF($E455="","brak danych",IF($E455=0,0,IF(COUNTIFS($A$10:$A$89,$C455)&lt;&gt;1,"brak danych",IF(COUNTIFS($A$10:$A$89,$C455,$I$10:$I$89,"&lt;&gt;")=0,"brak danych",VLOOKUP($C455,$A$10:$J$89,9,FALSE)*$E455))))))</x:f>
      </x:c>
      <x:c r="K455" s="25" t="str">
        <x:f>IF($A455="","",IF(AND($C455="",$E455=""),"",IF($E455="","brak danych",IF($E455=0,0,IF(COUNTIFS($A$10:$A$89,$C455)&lt;&gt;1,"brak danych",IF(COUNTIFS($A$10:$A$89,$C455,$J$10:$J$89,"&lt;&gt;")=0,"brak danych",VLOOKUP($C455,$A$10:$J$89,10,FALSE)*$E455))))))</x:f>
      </x:c>
      <x:c r="L455" s="24" t="str">
        <x:f>IF($A455="","",IF($F455="","",IF($F455=0,0,IF(COUNTIFS($A$10:$A$89,$C455)&lt;&gt;1,"brak danych",IF(COUNTIFS($A$10:$A$89,$C455,$F$10:$F$89,"&lt;&gt;")=0,"brak danych",VLOOKUP($C455,$A$10:$J$89,6,FALSE)*$F455)))))</x:f>
      </x:c>
      <x:c r="M455" s="25" t="str">
        <x:f>IF($A455="","",IF($F455="","",IF($F455=0,0,IF(COUNTIFS($A$10:$A$89,$C455)&lt;&gt;1,"brak danych",IF(COUNTIFS($A$10:$A$89,$C455,$G$10:$G$89,"&lt;&gt;")=0,"brak danych",VLOOKUP($C455,$A$10:$J$89,7,FALSE)*$F455)))))</x:f>
      </x:c>
      <x:c r="N455" s="25" t="str">
        <x:f>IF($A455="","",IF($F455="","",IF($F455=0,0,IF(COUNTIFS($A$10:$A$89,$C455)&lt;&gt;1,"brak danych",IF(COUNTIFS($A$10:$A$89,$C455,$H$10:$H$89,"&lt;&gt;")=0,"brak danych",VLOOKUP($C455,$A$10:$J$89,8,FALSE)*$F455)))))</x:f>
      </x:c>
      <x:c r="O455" s="25" t="str">
        <x:f>IF($A455="","",IF($F455="","",IF($F455=0,0,IF(COUNTIFS($A$10:$A$89,$C455)&lt;&gt;1,"brak danych",IF(COUNTIFS($A$10:$A$89,$C455,$I$10:$I$89,"&lt;&gt;")=0,"brak danych",VLOOKUP($C455,$A$10:$J$89,9,FALSE)*$F455)))))</x:f>
      </x:c>
      <x:c r="P455" s="25" t="str">
        <x:f>IF($A455="","",IF($F455="","",IF($F455=0,0,IF(COUNTIFS($A$10:$A$89,$C455)&lt;&gt;1,"brak danych",IF(COUNTIFS($A$10:$A$89,$C455,$J$10:$J$89,"&lt;&gt;")=0,"brak danych",VLOOKUP($C455,$A$10:$J$89,10,FALSE)*$F455)))))</x:f>
      </x:c>
      <x:c r="Q455" s="18"/>
    </x:row>
    <x:row r="456" ht="25" customHeight="1">
      <x:c r="A456" s="6"/>
      <x:c r="B456" s="30"/>
      <x:c r="C456" s="5"/>
      <x:c r="D456" s="5"/>
      <x:c r="E456" s="32"/>
      <x:c r="F456" s="32"/>
      <x:c r="G456" s="24" t="str">
        <x:f>IF($A456="","",IF(AND($C456="",$E456=""),"",IF($E456="","brak danych",IF($E456=0,0,IF(COUNTIFS($A$10:$A$89,$C456)&lt;&gt;1,"brak danych",IF(COUNTIFS($A$10:$A$89,$C456,$F$10:$F$89,"&lt;&gt;")=0,"brak danych",VLOOKUP($C456,$A$10:$J$89,6,FALSE)*$E456))))))</x:f>
      </x:c>
      <x:c r="H456" s="25" t="str">
        <x:f>IF($A456="","",IF(AND($C456="",$E456=""),"",IF($E456="","brak danych",IF($E456=0,0,IF(COUNTIFS($A$10:$A$89,$C456)&lt;&gt;1,"brak danych",IF(COUNTIFS($A$10:$A$89,$C456,$G$10:$G$89,"&lt;&gt;")=0,"brak danych",VLOOKUP($C456,$A$10:$J$89,7,FALSE)*$E456))))))</x:f>
      </x:c>
      <x:c r="I456" s="25" t="str">
        <x:f>IF($A456="","",IF(AND($C456="",$E456=""),"",IF($E456="","brak danych",IF($E456=0,0,IF(COUNTIFS($A$10:$A$89,$C456)&lt;&gt;1,"brak danych",IF(COUNTIFS($A$10:$A$89,$C456,$H$10:$H$89,"&lt;&gt;")=0,"brak danych",VLOOKUP($C456,$A$10:$J$89,8,FALSE)*$E456))))))</x:f>
      </x:c>
      <x:c r="J456" s="25" t="str">
        <x:f>IF($A456="","",IF(AND($C456="",$E456=""),"",IF($E456="","brak danych",IF($E456=0,0,IF(COUNTIFS($A$10:$A$89,$C456)&lt;&gt;1,"brak danych",IF(COUNTIFS($A$10:$A$89,$C456,$I$10:$I$89,"&lt;&gt;")=0,"brak danych",VLOOKUP($C456,$A$10:$J$89,9,FALSE)*$E456))))))</x:f>
      </x:c>
      <x:c r="K456" s="25" t="str">
        <x:f>IF($A456="","",IF(AND($C456="",$E456=""),"",IF($E456="","brak danych",IF($E456=0,0,IF(COUNTIFS($A$10:$A$89,$C456)&lt;&gt;1,"brak danych",IF(COUNTIFS($A$10:$A$89,$C456,$J$10:$J$89,"&lt;&gt;")=0,"brak danych",VLOOKUP($C456,$A$10:$J$89,10,FALSE)*$E456))))))</x:f>
      </x:c>
      <x:c r="L456" s="24" t="str">
        <x:f>IF($A456="","",IF($F456="","",IF($F456=0,0,IF(COUNTIFS($A$10:$A$89,$C456)&lt;&gt;1,"brak danych",IF(COUNTIFS($A$10:$A$89,$C456,$F$10:$F$89,"&lt;&gt;")=0,"brak danych",VLOOKUP($C456,$A$10:$J$89,6,FALSE)*$F456)))))</x:f>
      </x:c>
      <x:c r="M456" s="25" t="str">
        <x:f>IF($A456="","",IF($F456="","",IF($F456=0,0,IF(COUNTIFS($A$10:$A$89,$C456)&lt;&gt;1,"brak danych",IF(COUNTIFS($A$10:$A$89,$C456,$G$10:$G$89,"&lt;&gt;")=0,"brak danych",VLOOKUP($C456,$A$10:$J$89,7,FALSE)*$F456)))))</x:f>
      </x:c>
      <x:c r="N456" s="25" t="str">
        <x:f>IF($A456="","",IF($F456="","",IF($F456=0,0,IF(COUNTIFS($A$10:$A$89,$C456)&lt;&gt;1,"brak danych",IF(COUNTIFS($A$10:$A$89,$C456,$H$10:$H$89,"&lt;&gt;")=0,"brak danych",VLOOKUP($C456,$A$10:$J$89,8,FALSE)*$F456)))))</x:f>
      </x:c>
      <x:c r="O456" s="25" t="str">
        <x:f>IF($A456="","",IF($F456="","",IF($F456=0,0,IF(COUNTIFS($A$10:$A$89,$C456)&lt;&gt;1,"brak danych",IF(COUNTIFS($A$10:$A$89,$C456,$I$10:$I$89,"&lt;&gt;")=0,"brak danych",VLOOKUP($C456,$A$10:$J$89,9,FALSE)*$F456)))))</x:f>
      </x:c>
      <x:c r="P456" s="25" t="str">
        <x:f>IF($A456="","",IF($F456="","",IF($F456=0,0,IF(COUNTIFS($A$10:$A$89,$C456)&lt;&gt;1,"brak danych",IF(COUNTIFS($A$10:$A$89,$C456,$J$10:$J$89,"&lt;&gt;")=0,"brak danych",VLOOKUP($C456,$A$10:$J$89,10,FALSE)*$F456)))))</x:f>
      </x:c>
      <x:c r="Q456" s="18"/>
    </x:row>
    <x:row r="457" ht="25" customHeight="1">
      <x:c r="A457" s="6"/>
      <x:c r="B457" s="30"/>
      <x:c r="C457" s="5"/>
      <x:c r="D457" s="5"/>
      <x:c r="E457" s="32"/>
      <x:c r="F457" s="32"/>
      <x:c r="G457" s="24" t="str">
        <x:f>IF($A457="","",IF(AND($C457="",$E457=""),"",IF($E457="","brak danych",IF($E457=0,0,IF(COUNTIFS($A$10:$A$89,$C457)&lt;&gt;1,"brak danych",IF(COUNTIFS($A$10:$A$89,$C457,$F$10:$F$89,"&lt;&gt;")=0,"brak danych",VLOOKUP($C457,$A$10:$J$89,6,FALSE)*$E457))))))</x:f>
      </x:c>
      <x:c r="H457" s="25" t="str">
        <x:f>IF($A457="","",IF(AND($C457="",$E457=""),"",IF($E457="","brak danych",IF($E457=0,0,IF(COUNTIFS($A$10:$A$89,$C457)&lt;&gt;1,"brak danych",IF(COUNTIFS($A$10:$A$89,$C457,$G$10:$G$89,"&lt;&gt;")=0,"brak danych",VLOOKUP($C457,$A$10:$J$89,7,FALSE)*$E457))))))</x:f>
      </x:c>
      <x:c r="I457" s="25" t="str">
        <x:f>IF($A457="","",IF(AND($C457="",$E457=""),"",IF($E457="","brak danych",IF($E457=0,0,IF(COUNTIFS($A$10:$A$89,$C457)&lt;&gt;1,"brak danych",IF(COUNTIFS($A$10:$A$89,$C457,$H$10:$H$89,"&lt;&gt;")=0,"brak danych",VLOOKUP($C457,$A$10:$J$89,8,FALSE)*$E457))))))</x:f>
      </x:c>
      <x:c r="J457" s="25" t="str">
        <x:f>IF($A457="","",IF(AND($C457="",$E457=""),"",IF($E457="","brak danych",IF($E457=0,0,IF(COUNTIFS($A$10:$A$89,$C457)&lt;&gt;1,"brak danych",IF(COUNTIFS($A$10:$A$89,$C457,$I$10:$I$89,"&lt;&gt;")=0,"brak danych",VLOOKUP($C457,$A$10:$J$89,9,FALSE)*$E457))))))</x:f>
      </x:c>
      <x:c r="K457" s="25" t="str">
        <x:f>IF($A457="","",IF(AND($C457="",$E457=""),"",IF($E457="","brak danych",IF($E457=0,0,IF(COUNTIFS($A$10:$A$89,$C457)&lt;&gt;1,"brak danych",IF(COUNTIFS($A$10:$A$89,$C457,$J$10:$J$89,"&lt;&gt;")=0,"brak danych",VLOOKUP($C457,$A$10:$J$89,10,FALSE)*$E457))))))</x:f>
      </x:c>
      <x:c r="L457" s="24" t="str">
        <x:f>IF($A457="","",IF($F457="","",IF($F457=0,0,IF(COUNTIFS($A$10:$A$89,$C457)&lt;&gt;1,"brak danych",IF(COUNTIFS($A$10:$A$89,$C457,$F$10:$F$89,"&lt;&gt;")=0,"brak danych",VLOOKUP($C457,$A$10:$J$89,6,FALSE)*$F457)))))</x:f>
      </x:c>
      <x:c r="M457" s="25" t="str">
        <x:f>IF($A457="","",IF($F457="","",IF($F457=0,0,IF(COUNTIFS($A$10:$A$89,$C457)&lt;&gt;1,"brak danych",IF(COUNTIFS($A$10:$A$89,$C457,$G$10:$G$89,"&lt;&gt;")=0,"brak danych",VLOOKUP($C457,$A$10:$J$89,7,FALSE)*$F457)))))</x:f>
      </x:c>
      <x:c r="N457" s="25" t="str">
        <x:f>IF($A457="","",IF($F457="","",IF($F457=0,0,IF(COUNTIFS($A$10:$A$89,$C457)&lt;&gt;1,"brak danych",IF(COUNTIFS($A$10:$A$89,$C457,$H$10:$H$89,"&lt;&gt;")=0,"brak danych",VLOOKUP($C457,$A$10:$J$89,8,FALSE)*$F457)))))</x:f>
      </x:c>
      <x:c r="O457" s="25" t="str">
        <x:f>IF($A457="","",IF($F457="","",IF($F457=0,0,IF(COUNTIFS($A$10:$A$89,$C457)&lt;&gt;1,"brak danych",IF(COUNTIFS($A$10:$A$89,$C457,$I$10:$I$89,"&lt;&gt;")=0,"brak danych",VLOOKUP($C457,$A$10:$J$89,9,FALSE)*$F457)))))</x:f>
      </x:c>
      <x:c r="P457" s="25" t="str">
        <x:f>IF($A457="","",IF($F457="","",IF($F457=0,0,IF(COUNTIFS($A$10:$A$89,$C457)&lt;&gt;1,"brak danych",IF(COUNTIFS($A$10:$A$89,$C457,$J$10:$J$89,"&lt;&gt;")=0,"brak danych",VLOOKUP($C457,$A$10:$J$89,10,FALSE)*$F457)))))</x:f>
      </x:c>
      <x:c r="Q457" s="18"/>
    </x:row>
    <x:row r="458" ht="25" customHeight="1">
      <x:c r="A458" s="6"/>
      <x:c r="B458" s="30"/>
      <x:c r="C458" s="5"/>
      <x:c r="D458" s="5"/>
      <x:c r="E458" s="32"/>
      <x:c r="F458" s="32"/>
      <x:c r="G458" s="24" t="str">
        <x:f>IF($A458="","",IF(AND($C458="",$E458=""),"",IF($E458="","brak danych",IF($E458=0,0,IF(COUNTIFS($A$10:$A$89,$C458)&lt;&gt;1,"brak danych",IF(COUNTIFS($A$10:$A$89,$C458,$F$10:$F$89,"&lt;&gt;")=0,"brak danych",VLOOKUP($C458,$A$10:$J$89,6,FALSE)*$E458))))))</x:f>
      </x:c>
      <x:c r="H458" s="25" t="str">
        <x:f>IF($A458="","",IF(AND($C458="",$E458=""),"",IF($E458="","brak danych",IF($E458=0,0,IF(COUNTIFS($A$10:$A$89,$C458)&lt;&gt;1,"brak danych",IF(COUNTIFS($A$10:$A$89,$C458,$G$10:$G$89,"&lt;&gt;")=0,"brak danych",VLOOKUP($C458,$A$10:$J$89,7,FALSE)*$E458))))))</x:f>
      </x:c>
      <x:c r="I458" s="25" t="str">
        <x:f>IF($A458="","",IF(AND($C458="",$E458=""),"",IF($E458="","brak danych",IF($E458=0,0,IF(COUNTIFS($A$10:$A$89,$C458)&lt;&gt;1,"brak danych",IF(COUNTIFS($A$10:$A$89,$C458,$H$10:$H$89,"&lt;&gt;")=0,"brak danych",VLOOKUP($C458,$A$10:$J$89,8,FALSE)*$E458))))))</x:f>
      </x:c>
      <x:c r="J458" s="25" t="str">
        <x:f>IF($A458="","",IF(AND($C458="",$E458=""),"",IF($E458="","brak danych",IF($E458=0,0,IF(COUNTIFS($A$10:$A$89,$C458)&lt;&gt;1,"brak danych",IF(COUNTIFS($A$10:$A$89,$C458,$I$10:$I$89,"&lt;&gt;")=0,"brak danych",VLOOKUP($C458,$A$10:$J$89,9,FALSE)*$E458))))))</x:f>
      </x:c>
      <x:c r="K458" s="25" t="str">
        <x:f>IF($A458="","",IF(AND($C458="",$E458=""),"",IF($E458="","brak danych",IF($E458=0,0,IF(COUNTIFS($A$10:$A$89,$C458)&lt;&gt;1,"brak danych",IF(COUNTIFS($A$10:$A$89,$C458,$J$10:$J$89,"&lt;&gt;")=0,"brak danych",VLOOKUP($C458,$A$10:$J$89,10,FALSE)*$E458))))))</x:f>
      </x:c>
      <x:c r="L458" s="24" t="str">
        <x:f>IF($A458="","",IF($F458="","",IF($F458=0,0,IF(COUNTIFS($A$10:$A$89,$C458)&lt;&gt;1,"brak danych",IF(COUNTIFS($A$10:$A$89,$C458,$F$10:$F$89,"&lt;&gt;")=0,"brak danych",VLOOKUP($C458,$A$10:$J$89,6,FALSE)*$F458)))))</x:f>
      </x:c>
      <x:c r="M458" s="25" t="str">
        <x:f>IF($A458="","",IF($F458="","",IF($F458=0,0,IF(COUNTIFS($A$10:$A$89,$C458)&lt;&gt;1,"brak danych",IF(COUNTIFS($A$10:$A$89,$C458,$G$10:$G$89,"&lt;&gt;")=0,"brak danych",VLOOKUP($C458,$A$10:$J$89,7,FALSE)*$F458)))))</x:f>
      </x:c>
      <x:c r="N458" s="25" t="str">
        <x:f>IF($A458="","",IF($F458="","",IF($F458=0,0,IF(COUNTIFS($A$10:$A$89,$C458)&lt;&gt;1,"brak danych",IF(COUNTIFS($A$10:$A$89,$C458,$H$10:$H$89,"&lt;&gt;")=0,"brak danych",VLOOKUP($C458,$A$10:$J$89,8,FALSE)*$F458)))))</x:f>
      </x:c>
      <x:c r="O458" s="25" t="str">
        <x:f>IF($A458="","",IF($F458="","",IF($F458=0,0,IF(COUNTIFS($A$10:$A$89,$C458)&lt;&gt;1,"brak danych",IF(COUNTIFS($A$10:$A$89,$C458,$I$10:$I$89,"&lt;&gt;")=0,"brak danych",VLOOKUP($C458,$A$10:$J$89,9,FALSE)*$F458)))))</x:f>
      </x:c>
      <x:c r="P458" s="25" t="str">
        <x:f>IF($A458="","",IF($F458="","",IF($F458=0,0,IF(COUNTIFS($A$10:$A$89,$C458)&lt;&gt;1,"brak danych",IF(COUNTIFS($A$10:$A$89,$C458,$J$10:$J$89,"&lt;&gt;")=0,"brak danych",VLOOKUP($C458,$A$10:$J$89,10,FALSE)*$F458)))))</x:f>
      </x:c>
      <x:c r="Q458" s="18"/>
    </x:row>
    <x:row r="459" ht="25" customHeight="1">
      <x:c r="A459" s="6"/>
      <x:c r="B459" s="30"/>
      <x:c r="C459" s="5"/>
      <x:c r="D459" s="5"/>
      <x:c r="E459" s="32"/>
      <x:c r="F459" s="32"/>
      <x:c r="G459" s="24" t="str">
        <x:f>IF($A459="","",IF(AND($C459="",$E459=""),"",IF($E459="","brak danych",IF($E459=0,0,IF(COUNTIFS($A$10:$A$89,$C459)&lt;&gt;1,"brak danych",IF(COUNTIFS($A$10:$A$89,$C459,$F$10:$F$89,"&lt;&gt;")=0,"brak danych",VLOOKUP($C459,$A$10:$J$89,6,FALSE)*$E459))))))</x:f>
      </x:c>
      <x:c r="H459" s="25" t="str">
        <x:f>IF($A459="","",IF(AND($C459="",$E459=""),"",IF($E459="","brak danych",IF($E459=0,0,IF(COUNTIFS($A$10:$A$89,$C459)&lt;&gt;1,"brak danych",IF(COUNTIFS($A$10:$A$89,$C459,$G$10:$G$89,"&lt;&gt;")=0,"brak danych",VLOOKUP($C459,$A$10:$J$89,7,FALSE)*$E459))))))</x:f>
      </x:c>
      <x:c r="I459" s="25" t="str">
        <x:f>IF($A459="","",IF(AND($C459="",$E459=""),"",IF($E459="","brak danych",IF($E459=0,0,IF(COUNTIFS($A$10:$A$89,$C459)&lt;&gt;1,"brak danych",IF(COUNTIFS($A$10:$A$89,$C459,$H$10:$H$89,"&lt;&gt;")=0,"brak danych",VLOOKUP($C459,$A$10:$J$89,8,FALSE)*$E459))))))</x:f>
      </x:c>
      <x:c r="J459" s="25" t="str">
        <x:f>IF($A459="","",IF(AND($C459="",$E459=""),"",IF($E459="","brak danych",IF($E459=0,0,IF(COUNTIFS($A$10:$A$89,$C459)&lt;&gt;1,"brak danych",IF(COUNTIFS($A$10:$A$89,$C459,$I$10:$I$89,"&lt;&gt;")=0,"brak danych",VLOOKUP($C459,$A$10:$J$89,9,FALSE)*$E459))))))</x:f>
      </x:c>
      <x:c r="K459" s="25" t="str">
        <x:f>IF($A459="","",IF(AND($C459="",$E459=""),"",IF($E459="","brak danych",IF($E459=0,0,IF(COUNTIFS($A$10:$A$89,$C459)&lt;&gt;1,"brak danych",IF(COUNTIFS($A$10:$A$89,$C459,$J$10:$J$89,"&lt;&gt;")=0,"brak danych",VLOOKUP($C459,$A$10:$J$89,10,FALSE)*$E459))))))</x:f>
      </x:c>
      <x:c r="L459" s="24" t="str">
        <x:f>IF($A459="","",IF($F459="","",IF($F459=0,0,IF(COUNTIFS($A$10:$A$89,$C459)&lt;&gt;1,"brak danych",IF(COUNTIFS($A$10:$A$89,$C459,$F$10:$F$89,"&lt;&gt;")=0,"brak danych",VLOOKUP($C459,$A$10:$J$89,6,FALSE)*$F459)))))</x:f>
      </x:c>
      <x:c r="M459" s="25" t="str">
        <x:f>IF($A459="","",IF($F459="","",IF($F459=0,0,IF(COUNTIFS($A$10:$A$89,$C459)&lt;&gt;1,"brak danych",IF(COUNTIFS($A$10:$A$89,$C459,$G$10:$G$89,"&lt;&gt;")=0,"brak danych",VLOOKUP($C459,$A$10:$J$89,7,FALSE)*$F459)))))</x:f>
      </x:c>
      <x:c r="N459" s="25" t="str">
        <x:f>IF($A459="","",IF($F459="","",IF($F459=0,0,IF(COUNTIFS($A$10:$A$89,$C459)&lt;&gt;1,"brak danych",IF(COUNTIFS($A$10:$A$89,$C459,$H$10:$H$89,"&lt;&gt;")=0,"brak danych",VLOOKUP($C459,$A$10:$J$89,8,FALSE)*$F459)))))</x:f>
      </x:c>
      <x:c r="O459" s="25" t="str">
        <x:f>IF($A459="","",IF($F459="","",IF($F459=0,0,IF(COUNTIFS($A$10:$A$89,$C459)&lt;&gt;1,"brak danych",IF(COUNTIFS($A$10:$A$89,$C459,$I$10:$I$89,"&lt;&gt;")=0,"brak danych",VLOOKUP($C459,$A$10:$J$89,9,FALSE)*$F459)))))</x:f>
      </x:c>
      <x:c r="P459" s="25" t="str">
        <x:f>IF($A459="","",IF($F459="","",IF($F459=0,0,IF(COUNTIFS($A$10:$A$89,$C459)&lt;&gt;1,"brak danych",IF(COUNTIFS($A$10:$A$89,$C459,$J$10:$J$89,"&lt;&gt;")=0,"brak danych",VLOOKUP($C459,$A$10:$J$89,10,FALSE)*$F459)))))</x:f>
      </x:c>
      <x:c r="Q459" s="18"/>
    </x:row>
    <x:row r="460" ht="25" customHeight="1">
      <x:c r="A460" s="6"/>
      <x:c r="B460" s="30"/>
      <x:c r="C460" s="5"/>
      <x:c r="D460" s="5"/>
      <x:c r="E460" s="32"/>
      <x:c r="F460" s="32"/>
      <x:c r="G460" s="24" t="str">
        <x:f>IF($A460="","",IF(AND($C460="",$E460=""),"",IF($E460="","brak danych",IF($E460=0,0,IF(COUNTIFS($A$10:$A$89,$C460)&lt;&gt;1,"brak danych",IF(COUNTIFS($A$10:$A$89,$C460,$F$10:$F$89,"&lt;&gt;")=0,"brak danych",VLOOKUP($C460,$A$10:$J$89,6,FALSE)*$E460))))))</x:f>
      </x:c>
      <x:c r="H460" s="25" t="str">
        <x:f>IF($A460="","",IF(AND($C460="",$E460=""),"",IF($E460="","brak danych",IF($E460=0,0,IF(COUNTIFS($A$10:$A$89,$C460)&lt;&gt;1,"brak danych",IF(COUNTIFS($A$10:$A$89,$C460,$G$10:$G$89,"&lt;&gt;")=0,"brak danych",VLOOKUP($C460,$A$10:$J$89,7,FALSE)*$E460))))))</x:f>
      </x:c>
      <x:c r="I460" s="25" t="str">
        <x:f>IF($A460="","",IF(AND($C460="",$E460=""),"",IF($E460="","brak danych",IF($E460=0,0,IF(COUNTIFS($A$10:$A$89,$C460)&lt;&gt;1,"brak danych",IF(COUNTIFS($A$10:$A$89,$C460,$H$10:$H$89,"&lt;&gt;")=0,"brak danych",VLOOKUP($C460,$A$10:$J$89,8,FALSE)*$E460))))))</x:f>
      </x:c>
      <x:c r="J460" s="25" t="str">
        <x:f>IF($A460="","",IF(AND($C460="",$E460=""),"",IF($E460="","brak danych",IF($E460=0,0,IF(COUNTIFS($A$10:$A$89,$C460)&lt;&gt;1,"brak danych",IF(COUNTIFS($A$10:$A$89,$C460,$I$10:$I$89,"&lt;&gt;")=0,"brak danych",VLOOKUP($C460,$A$10:$J$89,9,FALSE)*$E460))))))</x:f>
      </x:c>
      <x:c r="K460" s="25" t="str">
        <x:f>IF($A460="","",IF(AND($C460="",$E460=""),"",IF($E460="","brak danych",IF($E460=0,0,IF(COUNTIFS($A$10:$A$89,$C460)&lt;&gt;1,"brak danych",IF(COUNTIFS($A$10:$A$89,$C460,$J$10:$J$89,"&lt;&gt;")=0,"brak danych",VLOOKUP($C460,$A$10:$J$89,10,FALSE)*$E460))))))</x:f>
      </x:c>
      <x:c r="L460" s="24" t="str">
        <x:f>IF($A460="","",IF($F460="","",IF($F460=0,0,IF(COUNTIFS($A$10:$A$89,$C460)&lt;&gt;1,"brak danych",IF(COUNTIFS($A$10:$A$89,$C460,$F$10:$F$89,"&lt;&gt;")=0,"brak danych",VLOOKUP($C460,$A$10:$J$89,6,FALSE)*$F460)))))</x:f>
      </x:c>
      <x:c r="M460" s="25" t="str">
        <x:f>IF($A460="","",IF($F460="","",IF($F460=0,0,IF(COUNTIFS($A$10:$A$89,$C460)&lt;&gt;1,"brak danych",IF(COUNTIFS($A$10:$A$89,$C460,$G$10:$G$89,"&lt;&gt;")=0,"brak danych",VLOOKUP($C460,$A$10:$J$89,7,FALSE)*$F460)))))</x:f>
      </x:c>
      <x:c r="N460" s="25" t="str">
        <x:f>IF($A460="","",IF($F460="","",IF($F460=0,0,IF(COUNTIFS($A$10:$A$89,$C460)&lt;&gt;1,"brak danych",IF(COUNTIFS($A$10:$A$89,$C460,$H$10:$H$89,"&lt;&gt;")=0,"brak danych",VLOOKUP($C460,$A$10:$J$89,8,FALSE)*$F460)))))</x:f>
      </x:c>
      <x:c r="O460" s="25" t="str">
        <x:f>IF($A460="","",IF($F460="","",IF($F460=0,0,IF(COUNTIFS($A$10:$A$89,$C460)&lt;&gt;1,"brak danych",IF(COUNTIFS($A$10:$A$89,$C460,$I$10:$I$89,"&lt;&gt;")=0,"brak danych",VLOOKUP($C460,$A$10:$J$89,9,FALSE)*$F460)))))</x:f>
      </x:c>
      <x:c r="P460" s="25" t="str">
        <x:f>IF($A460="","",IF($F460="","",IF($F460=0,0,IF(COUNTIFS($A$10:$A$89,$C460)&lt;&gt;1,"brak danych",IF(COUNTIFS($A$10:$A$89,$C460,$J$10:$J$89,"&lt;&gt;")=0,"brak danych",VLOOKUP($C460,$A$10:$J$89,10,FALSE)*$F460)))))</x:f>
      </x:c>
      <x:c r="Q460" s="18"/>
    </x:row>
    <x:row r="461" ht="25" customHeight="1">
      <x:c r="A461" s="6"/>
      <x:c r="B461" s="30"/>
      <x:c r="C461" s="5"/>
      <x:c r="D461" s="5"/>
      <x:c r="E461" s="32"/>
      <x:c r="F461" s="32"/>
      <x:c r="G461" s="24" t="str">
        <x:f>IF($A461="","",IF(AND($C461="",$E461=""),"",IF($E461="","brak danych",IF($E461=0,0,IF(COUNTIFS($A$10:$A$89,$C461)&lt;&gt;1,"brak danych",IF(COUNTIFS($A$10:$A$89,$C461,$F$10:$F$89,"&lt;&gt;")=0,"brak danych",VLOOKUP($C461,$A$10:$J$89,6,FALSE)*$E461))))))</x:f>
      </x:c>
      <x:c r="H461" s="25" t="str">
        <x:f>IF($A461="","",IF(AND($C461="",$E461=""),"",IF($E461="","brak danych",IF($E461=0,0,IF(COUNTIFS($A$10:$A$89,$C461)&lt;&gt;1,"brak danych",IF(COUNTIFS($A$10:$A$89,$C461,$G$10:$G$89,"&lt;&gt;")=0,"brak danych",VLOOKUP($C461,$A$10:$J$89,7,FALSE)*$E461))))))</x:f>
      </x:c>
      <x:c r="I461" s="25" t="str">
        <x:f>IF($A461="","",IF(AND($C461="",$E461=""),"",IF($E461="","brak danych",IF($E461=0,0,IF(COUNTIFS($A$10:$A$89,$C461)&lt;&gt;1,"brak danych",IF(COUNTIFS($A$10:$A$89,$C461,$H$10:$H$89,"&lt;&gt;")=0,"brak danych",VLOOKUP($C461,$A$10:$J$89,8,FALSE)*$E461))))))</x:f>
      </x:c>
      <x:c r="J461" s="25" t="str">
        <x:f>IF($A461="","",IF(AND($C461="",$E461=""),"",IF($E461="","brak danych",IF($E461=0,0,IF(COUNTIFS($A$10:$A$89,$C461)&lt;&gt;1,"brak danych",IF(COUNTIFS($A$10:$A$89,$C461,$I$10:$I$89,"&lt;&gt;")=0,"brak danych",VLOOKUP($C461,$A$10:$J$89,9,FALSE)*$E461))))))</x:f>
      </x:c>
      <x:c r="K461" s="25" t="str">
        <x:f>IF($A461="","",IF(AND($C461="",$E461=""),"",IF($E461="","brak danych",IF($E461=0,0,IF(COUNTIFS($A$10:$A$89,$C461)&lt;&gt;1,"brak danych",IF(COUNTIFS($A$10:$A$89,$C461,$J$10:$J$89,"&lt;&gt;")=0,"brak danych",VLOOKUP($C461,$A$10:$J$89,10,FALSE)*$E461))))))</x:f>
      </x:c>
      <x:c r="L461" s="24" t="str">
        <x:f>IF($A461="","",IF($F461="","",IF($F461=0,0,IF(COUNTIFS($A$10:$A$89,$C461)&lt;&gt;1,"brak danych",IF(COUNTIFS($A$10:$A$89,$C461,$F$10:$F$89,"&lt;&gt;")=0,"brak danych",VLOOKUP($C461,$A$10:$J$89,6,FALSE)*$F461)))))</x:f>
      </x:c>
      <x:c r="M461" s="25" t="str">
        <x:f>IF($A461="","",IF($F461="","",IF($F461=0,0,IF(COUNTIFS($A$10:$A$89,$C461)&lt;&gt;1,"brak danych",IF(COUNTIFS($A$10:$A$89,$C461,$G$10:$G$89,"&lt;&gt;")=0,"brak danych",VLOOKUP($C461,$A$10:$J$89,7,FALSE)*$F461)))))</x:f>
      </x:c>
      <x:c r="N461" s="25" t="str">
        <x:f>IF($A461="","",IF($F461="","",IF($F461=0,0,IF(COUNTIFS($A$10:$A$89,$C461)&lt;&gt;1,"brak danych",IF(COUNTIFS($A$10:$A$89,$C461,$H$10:$H$89,"&lt;&gt;")=0,"brak danych",VLOOKUP($C461,$A$10:$J$89,8,FALSE)*$F461)))))</x:f>
      </x:c>
      <x:c r="O461" s="25" t="str">
        <x:f>IF($A461="","",IF($F461="","",IF($F461=0,0,IF(COUNTIFS($A$10:$A$89,$C461)&lt;&gt;1,"brak danych",IF(COUNTIFS($A$10:$A$89,$C461,$I$10:$I$89,"&lt;&gt;")=0,"brak danych",VLOOKUP($C461,$A$10:$J$89,9,FALSE)*$F461)))))</x:f>
      </x:c>
      <x:c r="P461" s="25" t="str">
        <x:f>IF($A461="","",IF($F461="","",IF($F461=0,0,IF(COUNTIFS($A$10:$A$89,$C461)&lt;&gt;1,"brak danych",IF(COUNTIFS($A$10:$A$89,$C461,$J$10:$J$89,"&lt;&gt;")=0,"brak danych",VLOOKUP($C461,$A$10:$J$89,10,FALSE)*$F461)))))</x:f>
      </x:c>
      <x:c r="Q461" s="18"/>
    </x:row>
    <x:row r="462" ht="25" customHeight="1">
      <x:c r="A462" s="6"/>
      <x:c r="B462" s="30"/>
      <x:c r="C462" s="5"/>
      <x:c r="D462" s="5"/>
      <x:c r="E462" s="32"/>
      <x:c r="F462" s="32"/>
      <x:c r="G462" s="24" t="str">
        <x:f>IF($A462="","",IF(AND($C462="",$E462=""),"",IF($E462="","brak danych",IF($E462=0,0,IF(COUNTIFS($A$10:$A$89,$C462)&lt;&gt;1,"brak danych",IF(COUNTIFS($A$10:$A$89,$C462,$F$10:$F$89,"&lt;&gt;")=0,"brak danych",VLOOKUP($C462,$A$10:$J$89,6,FALSE)*$E462))))))</x:f>
      </x:c>
      <x:c r="H462" s="25" t="str">
        <x:f>IF($A462="","",IF(AND($C462="",$E462=""),"",IF($E462="","brak danych",IF($E462=0,0,IF(COUNTIFS($A$10:$A$89,$C462)&lt;&gt;1,"brak danych",IF(COUNTIFS($A$10:$A$89,$C462,$G$10:$G$89,"&lt;&gt;")=0,"brak danych",VLOOKUP($C462,$A$10:$J$89,7,FALSE)*$E462))))))</x:f>
      </x:c>
      <x:c r="I462" s="25" t="str">
        <x:f>IF($A462="","",IF(AND($C462="",$E462=""),"",IF($E462="","brak danych",IF($E462=0,0,IF(COUNTIFS($A$10:$A$89,$C462)&lt;&gt;1,"brak danych",IF(COUNTIFS($A$10:$A$89,$C462,$H$10:$H$89,"&lt;&gt;")=0,"brak danych",VLOOKUP($C462,$A$10:$J$89,8,FALSE)*$E462))))))</x:f>
      </x:c>
      <x:c r="J462" s="25" t="str">
        <x:f>IF($A462="","",IF(AND($C462="",$E462=""),"",IF($E462="","brak danych",IF($E462=0,0,IF(COUNTIFS($A$10:$A$89,$C462)&lt;&gt;1,"brak danych",IF(COUNTIFS($A$10:$A$89,$C462,$I$10:$I$89,"&lt;&gt;")=0,"brak danych",VLOOKUP($C462,$A$10:$J$89,9,FALSE)*$E462))))))</x:f>
      </x:c>
      <x:c r="K462" s="25" t="str">
        <x:f>IF($A462="","",IF(AND($C462="",$E462=""),"",IF($E462="","brak danych",IF($E462=0,0,IF(COUNTIFS($A$10:$A$89,$C462)&lt;&gt;1,"brak danych",IF(COUNTIFS($A$10:$A$89,$C462,$J$10:$J$89,"&lt;&gt;")=0,"brak danych",VLOOKUP($C462,$A$10:$J$89,10,FALSE)*$E462))))))</x:f>
      </x:c>
      <x:c r="L462" s="24" t="str">
        <x:f>IF($A462="","",IF($F462="","",IF($F462=0,0,IF(COUNTIFS($A$10:$A$89,$C462)&lt;&gt;1,"brak danych",IF(COUNTIFS($A$10:$A$89,$C462,$F$10:$F$89,"&lt;&gt;")=0,"brak danych",VLOOKUP($C462,$A$10:$J$89,6,FALSE)*$F462)))))</x:f>
      </x:c>
      <x:c r="M462" s="25" t="str">
        <x:f>IF($A462="","",IF($F462="","",IF($F462=0,0,IF(COUNTIFS($A$10:$A$89,$C462)&lt;&gt;1,"brak danych",IF(COUNTIFS($A$10:$A$89,$C462,$G$10:$G$89,"&lt;&gt;")=0,"brak danych",VLOOKUP($C462,$A$10:$J$89,7,FALSE)*$F462)))))</x:f>
      </x:c>
      <x:c r="N462" s="25" t="str">
        <x:f>IF($A462="","",IF($F462="","",IF($F462=0,0,IF(COUNTIFS($A$10:$A$89,$C462)&lt;&gt;1,"brak danych",IF(COUNTIFS($A$10:$A$89,$C462,$H$10:$H$89,"&lt;&gt;")=0,"brak danych",VLOOKUP($C462,$A$10:$J$89,8,FALSE)*$F462)))))</x:f>
      </x:c>
      <x:c r="O462" s="25" t="str">
        <x:f>IF($A462="","",IF($F462="","",IF($F462=0,0,IF(COUNTIFS($A$10:$A$89,$C462)&lt;&gt;1,"brak danych",IF(COUNTIFS($A$10:$A$89,$C462,$I$10:$I$89,"&lt;&gt;")=0,"brak danych",VLOOKUP($C462,$A$10:$J$89,9,FALSE)*$F462)))))</x:f>
      </x:c>
      <x:c r="P462" s="25" t="str">
        <x:f>IF($A462="","",IF($F462="","",IF($F462=0,0,IF(COUNTIFS($A$10:$A$89,$C462)&lt;&gt;1,"brak danych",IF(COUNTIFS($A$10:$A$89,$C462,$J$10:$J$89,"&lt;&gt;")=0,"brak danych",VLOOKUP($C462,$A$10:$J$89,10,FALSE)*$F462)))))</x:f>
      </x:c>
      <x:c r="Q462" s="18"/>
    </x:row>
    <x:row r="463" ht="25" customHeight="1">
      <x:c r="A463" s="6"/>
      <x:c r="B463" s="30"/>
      <x:c r="C463" s="5"/>
      <x:c r="D463" s="5"/>
      <x:c r="E463" s="32"/>
      <x:c r="F463" s="32"/>
      <x:c r="G463" s="24" t="str">
        <x:f>IF($A463="","",IF(AND($C463="",$E463=""),"",IF($E463="","brak danych",IF($E463=0,0,IF(COUNTIFS($A$10:$A$89,$C463)&lt;&gt;1,"brak danych",IF(COUNTIFS($A$10:$A$89,$C463,$F$10:$F$89,"&lt;&gt;")=0,"brak danych",VLOOKUP($C463,$A$10:$J$89,6,FALSE)*$E463))))))</x:f>
      </x:c>
      <x:c r="H463" s="25" t="str">
        <x:f>IF($A463="","",IF(AND($C463="",$E463=""),"",IF($E463="","brak danych",IF($E463=0,0,IF(COUNTIFS($A$10:$A$89,$C463)&lt;&gt;1,"brak danych",IF(COUNTIFS($A$10:$A$89,$C463,$G$10:$G$89,"&lt;&gt;")=0,"brak danych",VLOOKUP($C463,$A$10:$J$89,7,FALSE)*$E463))))))</x:f>
      </x:c>
      <x:c r="I463" s="25" t="str">
        <x:f>IF($A463="","",IF(AND($C463="",$E463=""),"",IF($E463="","brak danych",IF($E463=0,0,IF(COUNTIFS($A$10:$A$89,$C463)&lt;&gt;1,"brak danych",IF(COUNTIFS($A$10:$A$89,$C463,$H$10:$H$89,"&lt;&gt;")=0,"brak danych",VLOOKUP($C463,$A$10:$J$89,8,FALSE)*$E463))))))</x:f>
      </x:c>
      <x:c r="J463" s="25" t="str">
        <x:f>IF($A463="","",IF(AND($C463="",$E463=""),"",IF($E463="","brak danych",IF($E463=0,0,IF(COUNTIFS($A$10:$A$89,$C463)&lt;&gt;1,"brak danych",IF(COUNTIFS($A$10:$A$89,$C463,$I$10:$I$89,"&lt;&gt;")=0,"brak danych",VLOOKUP($C463,$A$10:$J$89,9,FALSE)*$E463))))))</x:f>
      </x:c>
      <x:c r="K463" s="25" t="str">
        <x:f>IF($A463="","",IF(AND($C463="",$E463=""),"",IF($E463="","brak danych",IF($E463=0,0,IF(COUNTIFS($A$10:$A$89,$C463)&lt;&gt;1,"brak danych",IF(COUNTIFS($A$10:$A$89,$C463,$J$10:$J$89,"&lt;&gt;")=0,"brak danych",VLOOKUP($C463,$A$10:$J$89,10,FALSE)*$E463))))))</x:f>
      </x:c>
      <x:c r="L463" s="24" t="str">
        <x:f>IF($A463="","",IF($F463="","",IF($F463=0,0,IF(COUNTIFS($A$10:$A$89,$C463)&lt;&gt;1,"brak danych",IF(COUNTIFS($A$10:$A$89,$C463,$F$10:$F$89,"&lt;&gt;")=0,"brak danych",VLOOKUP($C463,$A$10:$J$89,6,FALSE)*$F463)))))</x:f>
      </x:c>
      <x:c r="M463" s="25" t="str">
        <x:f>IF($A463="","",IF($F463="","",IF($F463=0,0,IF(COUNTIFS($A$10:$A$89,$C463)&lt;&gt;1,"brak danych",IF(COUNTIFS($A$10:$A$89,$C463,$G$10:$G$89,"&lt;&gt;")=0,"brak danych",VLOOKUP($C463,$A$10:$J$89,7,FALSE)*$F463)))))</x:f>
      </x:c>
      <x:c r="N463" s="25" t="str">
        <x:f>IF($A463="","",IF($F463="","",IF($F463=0,0,IF(COUNTIFS($A$10:$A$89,$C463)&lt;&gt;1,"brak danych",IF(COUNTIFS($A$10:$A$89,$C463,$H$10:$H$89,"&lt;&gt;")=0,"brak danych",VLOOKUP($C463,$A$10:$J$89,8,FALSE)*$F463)))))</x:f>
      </x:c>
      <x:c r="O463" s="25" t="str">
        <x:f>IF($A463="","",IF($F463="","",IF($F463=0,0,IF(COUNTIFS($A$10:$A$89,$C463)&lt;&gt;1,"brak danych",IF(COUNTIFS($A$10:$A$89,$C463,$I$10:$I$89,"&lt;&gt;")=0,"brak danych",VLOOKUP($C463,$A$10:$J$89,9,FALSE)*$F463)))))</x:f>
      </x:c>
      <x:c r="P463" s="25" t="str">
        <x:f>IF($A463="","",IF($F463="","",IF($F463=0,0,IF(COUNTIFS($A$10:$A$89,$C463)&lt;&gt;1,"brak danych",IF(COUNTIFS($A$10:$A$89,$C463,$J$10:$J$89,"&lt;&gt;")=0,"brak danych",VLOOKUP($C463,$A$10:$J$89,10,FALSE)*$F463)))))</x:f>
      </x:c>
      <x:c r="Q463" s="18"/>
    </x:row>
    <x:row r="464" ht="25" customHeight="1">
      <x:c r="A464" s="6"/>
      <x:c r="B464" s="30"/>
      <x:c r="C464" s="5"/>
      <x:c r="D464" s="5"/>
      <x:c r="E464" s="32"/>
      <x:c r="F464" s="32"/>
      <x:c r="G464" s="24" t="str">
        <x:f>IF($A464="","",IF(AND($C464="",$E464=""),"",IF($E464="","brak danych",IF($E464=0,0,IF(COUNTIFS($A$10:$A$89,$C464)&lt;&gt;1,"brak danych",IF(COUNTIFS($A$10:$A$89,$C464,$F$10:$F$89,"&lt;&gt;")=0,"brak danych",VLOOKUP($C464,$A$10:$J$89,6,FALSE)*$E464))))))</x:f>
      </x:c>
      <x:c r="H464" s="25" t="str">
        <x:f>IF($A464="","",IF(AND($C464="",$E464=""),"",IF($E464="","brak danych",IF($E464=0,0,IF(COUNTIFS($A$10:$A$89,$C464)&lt;&gt;1,"brak danych",IF(COUNTIFS($A$10:$A$89,$C464,$G$10:$G$89,"&lt;&gt;")=0,"brak danych",VLOOKUP($C464,$A$10:$J$89,7,FALSE)*$E464))))))</x:f>
      </x:c>
      <x:c r="I464" s="25" t="str">
        <x:f>IF($A464="","",IF(AND($C464="",$E464=""),"",IF($E464="","brak danych",IF($E464=0,0,IF(COUNTIFS($A$10:$A$89,$C464)&lt;&gt;1,"brak danych",IF(COUNTIFS($A$10:$A$89,$C464,$H$10:$H$89,"&lt;&gt;")=0,"brak danych",VLOOKUP($C464,$A$10:$J$89,8,FALSE)*$E464))))))</x:f>
      </x:c>
      <x:c r="J464" s="25" t="str">
        <x:f>IF($A464="","",IF(AND($C464="",$E464=""),"",IF($E464="","brak danych",IF($E464=0,0,IF(COUNTIFS($A$10:$A$89,$C464)&lt;&gt;1,"brak danych",IF(COUNTIFS($A$10:$A$89,$C464,$I$10:$I$89,"&lt;&gt;")=0,"brak danych",VLOOKUP($C464,$A$10:$J$89,9,FALSE)*$E464))))))</x:f>
      </x:c>
      <x:c r="K464" s="25" t="str">
        <x:f>IF($A464="","",IF(AND($C464="",$E464=""),"",IF($E464="","brak danych",IF($E464=0,0,IF(COUNTIFS($A$10:$A$89,$C464)&lt;&gt;1,"brak danych",IF(COUNTIFS($A$10:$A$89,$C464,$J$10:$J$89,"&lt;&gt;")=0,"brak danych",VLOOKUP($C464,$A$10:$J$89,10,FALSE)*$E464))))))</x:f>
      </x:c>
      <x:c r="L464" s="24" t="str">
        <x:f>IF($A464="","",IF($F464="","",IF($F464=0,0,IF(COUNTIFS($A$10:$A$89,$C464)&lt;&gt;1,"brak danych",IF(COUNTIFS($A$10:$A$89,$C464,$F$10:$F$89,"&lt;&gt;")=0,"brak danych",VLOOKUP($C464,$A$10:$J$89,6,FALSE)*$F464)))))</x:f>
      </x:c>
      <x:c r="M464" s="25" t="str">
        <x:f>IF($A464="","",IF($F464="","",IF($F464=0,0,IF(COUNTIFS($A$10:$A$89,$C464)&lt;&gt;1,"brak danych",IF(COUNTIFS($A$10:$A$89,$C464,$G$10:$G$89,"&lt;&gt;")=0,"brak danych",VLOOKUP($C464,$A$10:$J$89,7,FALSE)*$F464)))))</x:f>
      </x:c>
      <x:c r="N464" s="25" t="str">
        <x:f>IF($A464="","",IF($F464="","",IF($F464=0,0,IF(COUNTIFS($A$10:$A$89,$C464)&lt;&gt;1,"brak danych",IF(COUNTIFS($A$10:$A$89,$C464,$H$10:$H$89,"&lt;&gt;")=0,"brak danych",VLOOKUP($C464,$A$10:$J$89,8,FALSE)*$F464)))))</x:f>
      </x:c>
      <x:c r="O464" s="25" t="str">
        <x:f>IF($A464="","",IF($F464="","",IF($F464=0,0,IF(COUNTIFS($A$10:$A$89,$C464)&lt;&gt;1,"brak danych",IF(COUNTIFS($A$10:$A$89,$C464,$I$10:$I$89,"&lt;&gt;")=0,"brak danych",VLOOKUP($C464,$A$10:$J$89,9,FALSE)*$F464)))))</x:f>
      </x:c>
      <x:c r="P464" s="25" t="str">
        <x:f>IF($A464="","",IF($F464="","",IF($F464=0,0,IF(COUNTIFS($A$10:$A$89,$C464)&lt;&gt;1,"brak danych",IF(COUNTIFS($A$10:$A$89,$C464,$J$10:$J$89,"&lt;&gt;")=0,"brak danych",VLOOKUP($C464,$A$10:$J$89,10,FALSE)*$F464)))))</x:f>
      </x:c>
      <x:c r="Q464" s="18"/>
    </x:row>
    <x:row r="465" ht="25" customHeight="1">
      <x:c r="A465" s="6"/>
      <x:c r="B465" s="30"/>
      <x:c r="C465" s="5"/>
      <x:c r="D465" s="5"/>
      <x:c r="E465" s="32"/>
      <x:c r="F465" s="32"/>
      <x:c r="G465" s="24" t="str">
        <x:f>IF($A465="","",IF(AND($C465="",$E465=""),"",IF($E465="","brak danych",IF($E465=0,0,IF(COUNTIFS($A$10:$A$89,$C465)&lt;&gt;1,"brak danych",IF(COUNTIFS($A$10:$A$89,$C465,$F$10:$F$89,"&lt;&gt;")=0,"brak danych",VLOOKUP($C465,$A$10:$J$89,6,FALSE)*$E465))))))</x:f>
      </x:c>
      <x:c r="H465" s="25" t="str">
        <x:f>IF($A465="","",IF(AND($C465="",$E465=""),"",IF($E465="","brak danych",IF($E465=0,0,IF(COUNTIFS($A$10:$A$89,$C465)&lt;&gt;1,"brak danych",IF(COUNTIFS($A$10:$A$89,$C465,$G$10:$G$89,"&lt;&gt;")=0,"brak danych",VLOOKUP($C465,$A$10:$J$89,7,FALSE)*$E465))))))</x:f>
      </x:c>
      <x:c r="I465" s="25" t="str">
        <x:f>IF($A465="","",IF(AND($C465="",$E465=""),"",IF($E465="","brak danych",IF($E465=0,0,IF(COUNTIFS($A$10:$A$89,$C465)&lt;&gt;1,"brak danych",IF(COUNTIFS($A$10:$A$89,$C465,$H$10:$H$89,"&lt;&gt;")=0,"brak danych",VLOOKUP($C465,$A$10:$J$89,8,FALSE)*$E465))))))</x:f>
      </x:c>
      <x:c r="J465" s="25" t="str">
        <x:f>IF($A465="","",IF(AND($C465="",$E465=""),"",IF($E465="","brak danych",IF($E465=0,0,IF(COUNTIFS($A$10:$A$89,$C465)&lt;&gt;1,"brak danych",IF(COUNTIFS($A$10:$A$89,$C465,$I$10:$I$89,"&lt;&gt;")=0,"brak danych",VLOOKUP($C465,$A$10:$J$89,9,FALSE)*$E465))))))</x:f>
      </x:c>
      <x:c r="K465" s="25" t="str">
        <x:f>IF($A465="","",IF(AND($C465="",$E465=""),"",IF($E465="","brak danych",IF($E465=0,0,IF(COUNTIFS($A$10:$A$89,$C465)&lt;&gt;1,"brak danych",IF(COUNTIFS($A$10:$A$89,$C465,$J$10:$J$89,"&lt;&gt;")=0,"brak danych",VLOOKUP($C465,$A$10:$J$89,10,FALSE)*$E465))))))</x:f>
      </x:c>
      <x:c r="L465" s="24" t="str">
        <x:f>IF($A465="","",IF($F465="","",IF($F465=0,0,IF(COUNTIFS($A$10:$A$89,$C465)&lt;&gt;1,"brak danych",IF(COUNTIFS($A$10:$A$89,$C465,$F$10:$F$89,"&lt;&gt;")=0,"brak danych",VLOOKUP($C465,$A$10:$J$89,6,FALSE)*$F465)))))</x:f>
      </x:c>
      <x:c r="M465" s="25" t="str">
        <x:f>IF($A465="","",IF($F465="","",IF($F465=0,0,IF(COUNTIFS($A$10:$A$89,$C465)&lt;&gt;1,"brak danych",IF(COUNTIFS($A$10:$A$89,$C465,$G$10:$G$89,"&lt;&gt;")=0,"brak danych",VLOOKUP($C465,$A$10:$J$89,7,FALSE)*$F465)))))</x:f>
      </x:c>
      <x:c r="N465" s="25" t="str">
        <x:f>IF($A465="","",IF($F465="","",IF($F465=0,0,IF(COUNTIFS($A$10:$A$89,$C465)&lt;&gt;1,"brak danych",IF(COUNTIFS($A$10:$A$89,$C465,$H$10:$H$89,"&lt;&gt;")=0,"brak danych",VLOOKUP($C465,$A$10:$J$89,8,FALSE)*$F465)))))</x:f>
      </x:c>
      <x:c r="O465" s="25" t="str">
        <x:f>IF($A465="","",IF($F465="","",IF($F465=0,0,IF(COUNTIFS($A$10:$A$89,$C465)&lt;&gt;1,"brak danych",IF(COUNTIFS($A$10:$A$89,$C465,$I$10:$I$89,"&lt;&gt;")=0,"brak danych",VLOOKUP($C465,$A$10:$J$89,9,FALSE)*$F465)))))</x:f>
      </x:c>
      <x:c r="P465" s="25" t="str">
        <x:f>IF($A465="","",IF($F465="","",IF($F465=0,0,IF(COUNTIFS($A$10:$A$89,$C465)&lt;&gt;1,"brak danych",IF(COUNTIFS($A$10:$A$89,$C465,$J$10:$J$89,"&lt;&gt;")=0,"brak danych",VLOOKUP($C465,$A$10:$J$89,10,FALSE)*$F465)))))</x:f>
      </x:c>
      <x:c r="Q465" s="18"/>
    </x:row>
    <x:row r="466" ht="25" customHeight="1">
      <x:c r="A466" s="6"/>
      <x:c r="B466" s="30"/>
      <x:c r="C466" s="5"/>
      <x:c r="D466" s="5"/>
      <x:c r="E466" s="32"/>
      <x:c r="F466" s="32"/>
      <x:c r="G466" s="24" t="str">
        <x:f>IF($A466="","",IF(AND($C466="",$E466=""),"",IF($E466="","brak danych",IF($E466=0,0,IF(COUNTIFS($A$10:$A$89,$C466)&lt;&gt;1,"brak danych",IF(COUNTIFS($A$10:$A$89,$C466,$F$10:$F$89,"&lt;&gt;")=0,"brak danych",VLOOKUP($C466,$A$10:$J$89,6,FALSE)*$E466))))))</x:f>
      </x:c>
      <x:c r="H466" s="25" t="str">
        <x:f>IF($A466="","",IF(AND($C466="",$E466=""),"",IF($E466="","brak danych",IF($E466=0,0,IF(COUNTIFS($A$10:$A$89,$C466)&lt;&gt;1,"brak danych",IF(COUNTIFS($A$10:$A$89,$C466,$G$10:$G$89,"&lt;&gt;")=0,"brak danych",VLOOKUP($C466,$A$10:$J$89,7,FALSE)*$E466))))))</x:f>
      </x:c>
      <x:c r="I466" s="25" t="str">
        <x:f>IF($A466="","",IF(AND($C466="",$E466=""),"",IF($E466="","brak danych",IF($E466=0,0,IF(COUNTIFS($A$10:$A$89,$C466)&lt;&gt;1,"brak danych",IF(COUNTIFS($A$10:$A$89,$C466,$H$10:$H$89,"&lt;&gt;")=0,"brak danych",VLOOKUP($C466,$A$10:$J$89,8,FALSE)*$E466))))))</x:f>
      </x:c>
      <x:c r="J466" s="25" t="str">
        <x:f>IF($A466="","",IF(AND($C466="",$E466=""),"",IF($E466="","brak danych",IF($E466=0,0,IF(COUNTIFS($A$10:$A$89,$C466)&lt;&gt;1,"brak danych",IF(COUNTIFS($A$10:$A$89,$C466,$I$10:$I$89,"&lt;&gt;")=0,"brak danych",VLOOKUP($C466,$A$10:$J$89,9,FALSE)*$E466))))))</x:f>
      </x:c>
      <x:c r="K466" s="25" t="str">
        <x:f>IF($A466="","",IF(AND($C466="",$E466=""),"",IF($E466="","brak danych",IF($E466=0,0,IF(COUNTIFS($A$10:$A$89,$C466)&lt;&gt;1,"brak danych",IF(COUNTIFS($A$10:$A$89,$C466,$J$10:$J$89,"&lt;&gt;")=0,"brak danych",VLOOKUP($C466,$A$10:$J$89,10,FALSE)*$E466))))))</x:f>
      </x:c>
      <x:c r="L466" s="24" t="str">
        <x:f>IF($A466="","",IF($F466="","",IF($F466=0,0,IF(COUNTIFS($A$10:$A$89,$C466)&lt;&gt;1,"brak danych",IF(COUNTIFS($A$10:$A$89,$C466,$F$10:$F$89,"&lt;&gt;")=0,"brak danych",VLOOKUP($C466,$A$10:$J$89,6,FALSE)*$F466)))))</x:f>
      </x:c>
      <x:c r="M466" s="25" t="str">
        <x:f>IF($A466="","",IF($F466="","",IF($F466=0,0,IF(COUNTIFS($A$10:$A$89,$C466)&lt;&gt;1,"brak danych",IF(COUNTIFS($A$10:$A$89,$C466,$G$10:$G$89,"&lt;&gt;")=0,"brak danych",VLOOKUP($C466,$A$10:$J$89,7,FALSE)*$F466)))))</x:f>
      </x:c>
      <x:c r="N466" s="25" t="str">
        <x:f>IF($A466="","",IF($F466="","",IF($F466=0,0,IF(COUNTIFS($A$10:$A$89,$C466)&lt;&gt;1,"brak danych",IF(COUNTIFS($A$10:$A$89,$C466,$H$10:$H$89,"&lt;&gt;")=0,"brak danych",VLOOKUP($C466,$A$10:$J$89,8,FALSE)*$F466)))))</x:f>
      </x:c>
      <x:c r="O466" s="25" t="str">
        <x:f>IF($A466="","",IF($F466="","",IF($F466=0,0,IF(COUNTIFS($A$10:$A$89,$C466)&lt;&gt;1,"brak danych",IF(COUNTIFS($A$10:$A$89,$C466,$I$10:$I$89,"&lt;&gt;")=0,"brak danych",VLOOKUP($C466,$A$10:$J$89,9,FALSE)*$F466)))))</x:f>
      </x:c>
      <x:c r="P466" s="25" t="str">
        <x:f>IF($A466="","",IF($F466="","",IF($F466=0,0,IF(COUNTIFS($A$10:$A$89,$C466)&lt;&gt;1,"brak danych",IF(COUNTIFS($A$10:$A$89,$C466,$J$10:$J$89,"&lt;&gt;")=0,"brak danych",VLOOKUP($C466,$A$10:$J$89,10,FALSE)*$F466)))))</x:f>
      </x:c>
      <x:c r="Q466" s="18"/>
    </x:row>
    <x:row r="467" ht="25" customHeight="1">
      <x:c r="A467" s="6"/>
      <x:c r="B467" s="30"/>
      <x:c r="C467" s="5"/>
      <x:c r="D467" s="5"/>
      <x:c r="E467" s="32"/>
      <x:c r="F467" s="32"/>
      <x:c r="G467" s="24" t="str">
        <x:f>IF($A467="","",IF(AND($C467="",$E467=""),"",IF($E467="","brak danych",IF($E467=0,0,IF(COUNTIFS($A$10:$A$89,$C467)&lt;&gt;1,"brak danych",IF(COUNTIFS($A$10:$A$89,$C467,$F$10:$F$89,"&lt;&gt;")=0,"brak danych",VLOOKUP($C467,$A$10:$J$89,6,FALSE)*$E467))))))</x:f>
      </x:c>
      <x:c r="H467" s="25" t="str">
        <x:f>IF($A467="","",IF(AND($C467="",$E467=""),"",IF($E467="","brak danych",IF($E467=0,0,IF(COUNTIFS($A$10:$A$89,$C467)&lt;&gt;1,"brak danych",IF(COUNTIFS($A$10:$A$89,$C467,$G$10:$G$89,"&lt;&gt;")=0,"brak danych",VLOOKUP($C467,$A$10:$J$89,7,FALSE)*$E467))))))</x:f>
      </x:c>
      <x:c r="I467" s="25" t="str">
        <x:f>IF($A467="","",IF(AND($C467="",$E467=""),"",IF($E467="","brak danych",IF($E467=0,0,IF(COUNTIFS($A$10:$A$89,$C467)&lt;&gt;1,"brak danych",IF(COUNTIFS($A$10:$A$89,$C467,$H$10:$H$89,"&lt;&gt;")=0,"brak danych",VLOOKUP($C467,$A$10:$J$89,8,FALSE)*$E467))))))</x:f>
      </x:c>
      <x:c r="J467" s="25" t="str">
        <x:f>IF($A467="","",IF(AND($C467="",$E467=""),"",IF($E467="","brak danych",IF($E467=0,0,IF(COUNTIFS($A$10:$A$89,$C467)&lt;&gt;1,"brak danych",IF(COUNTIFS($A$10:$A$89,$C467,$I$10:$I$89,"&lt;&gt;")=0,"brak danych",VLOOKUP($C467,$A$10:$J$89,9,FALSE)*$E467))))))</x:f>
      </x:c>
      <x:c r="K467" s="25" t="str">
        <x:f>IF($A467="","",IF(AND($C467="",$E467=""),"",IF($E467="","brak danych",IF($E467=0,0,IF(COUNTIFS($A$10:$A$89,$C467)&lt;&gt;1,"brak danych",IF(COUNTIFS($A$10:$A$89,$C467,$J$10:$J$89,"&lt;&gt;")=0,"brak danych",VLOOKUP($C467,$A$10:$J$89,10,FALSE)*$E467))))))</x:f>
      </x:c>
      <x:c r="L467" s="24" t="str">
        <x:f>IF($A467="","",IF($F467="","",IF($F467=0,0,IF(COUNTIFS($A$10:$A$89,$C467)&lt;&gt;1,"brak danych",IF(COUNTIFS($A$10:$A$89,$C467,$F$10:$F$89,"&lt;&gt;")=0,"brak danych",VLOOKUP($C467,$A$10:$J$89,6,FALSE)*$F467)))))</x:f>
      </x:c>
      <x:c r="M467" s="25" t="str">
        <x:f>IF($A467="","",IF($F467="","",IF($F467=0,0,IF(COUNTIFS($A$10:$A$89,$C467)&lt;&gt;1,"brak danych",IF(COUNTIFS($A$10:$A$89,$C467,$G$10:$G$89,"&lt;&gt;")=0,"brak danych",VLOOKUP($C467,$A$10:$J$89,7,FALSE)*$F467)))))</x:f>
      </x:c>
      <x:c r="N467" s="25" t="str">
        <x:f>IF($A467="","",IF($F467="","",IF($F467=0,0,IF(COUNTIFS($A$10:$A$89,$C467)&lt;&gt;1,"brak danych",IF(COUNTIFS($A$10:$A$89,$C467,$H$10:$H$89,"&lt;&gt;")=0,"brak danych",VLOOKUP($C467,$A$10:$J$89,8,FALSE)*$F467)))))</x:f>
      </x:c>
      <x:c r="O467" s="25" t="str">
        <x:f>IF($A467="","",IF($F467="","",IF($F467=0,0,IF(COUNTIFS($A$10:$A$89,$C467)&lt;&gt;1,"brak danych",IF(COUNTIFS($A$10:$A$89,$C467,$I$10:$I$89,"&lt;&gt;")=0,"brak danych",VLOOKUP($C467,$A$10:$J$89,9,FALSE)*$F467)))))</x:f>
      </x:c>
      <x:c r="P467" s="25" t="str">
        <x:f>IF($A467="","",IF($F467="","",IF($F467=0,0,IF(COUNTIFS($A$10:$A$89,$C467)&lt;&gt;1,"brak danych",IF(COUNTIFS($A$10:$A$89,$C467,$J$10:$J$89,"&lt;&gt;")=0,"brak danych",VLOOKUP($C467,$A$10:$J$89,10,FALSE)*$F467)))))</x:f>
      </x:c>
      <x:c r="Q467" s="18"/>
    </x:row>
    <x:row r="468" ht="25" customHeight="1">
      <x:c r="A468" s="6"/>
      <x:c r="B468" s="30"/>
      <x:c r="C468" s="5"/>
      <x:c r="D468" s="5"/>
      <x:c r="E468" s="32"/>
      <x:c r="F468" s="32"/>
      <x:c r="G468" s="24" t="str">
        <x:f>IF($A468="","",IF(AND($C468="",$E468=""),"",IF($E468="","brak danych",IF($E468=0,0,IF(COUNTIFS($A$10:$A$89,$C468)&lt;&gt;1,"brak danych",IF(COUNTIFS($A$10:$A$89,$C468,$F$10:$F$89,"&lt;&gt;")=0,"brak danych",VLOOKUP($C468,$A$10:$J$89,6,FALSE)*$E468))))))</x:f>
      </x:c>
      <x:c r="H468" s="25" t="str">
        <x:f>IF($A468="","",IF(AND($C468="",$E468=""),"",IF($E468="","brak danych",IF($E468=0,0,IF(COUNTIFS($A$10:$A$89,$C468)&lt;&gt;1,"brak danych",IF(COUNTIFS($A$10:$A$89,$C468,$G$10:$G$89,"&lt;&gt;")=0,"brak danych",VLOOKUP($C468,$A$10:$J$89,7,FALSE)*$E468))))))</x:f>
      </x:c>
      <x:c r="I468" s="25" t="str">
        <x:f>IF($A468="","",IF(AND($C468="",$E468=""),"",IF($E468="","brak danych",IF($E468=0,0,IF(COUNTIFS($A$10:$A$89,$C468)&lt;&gt;1,"brak danych",IF(COUNTIFS($A$10:$A$89,$C468,$H$10:$H$89,"&lt;&gt;")=0,"brak danych",VLOOKUP($C468,$A$10:$J$89,8,FALSE)*$E468))))))</x:f>
      </x:c>
      <x:c r="J468" s="25" t="str">
        <x:f>IF($A468="","",IF(AND($C468="",$E468=""),"",IF($E468="","brak danych",IF($E468=0,0,IF(COUNTIFS($A$10:$A$89,$C468)&lt;&gt;1,"brak danych",IF(COUNTIFS($A$10:$A$89,$C468,$I$10:$I$89,"&lt;&gt;")=0,"brak danych",VLOOKUP($C468,$A$10:$J$89,9,FALSE)*$E468))))))</x:f>
      </x:c>
      <x:c r="K468" s="25" t="str">
        <x:f>IF($A468="","",IF(AND($C468="",$E468=""),"",IF($E468="","brak danych",IF($E468=0,0,IF(COUNTIFS($A$10:$A$89,$C468)&lt;&gt;1,"brak danych",IF(COUNTIFS($A$10:$A$89,$C468,$J$10:$J$89,"&lt;&gt;")=0,"brak danych",VLOOKUP($C468,$A$10:$J$89,10,FALSE)*$E468))))))</x:f>
      </x:c>
      <x:c r="L468" s="24" t="str">
        <x:f>IF($A468="","",IF($F468="","",IF($F468=0,0,IF(COUNTIFS($A$10:$A$89,$C468)&lt;&gt;1,"brak danych",IF(COUNTIFS($A$10:$A$89,$C468,$F$10:$F$89,"&lt;&gt;")=0,"brak danych",VLOOKUP($C468,$A$10:$J$89,6,FALSE)*$F468)))))</x:f>
      </x:c>
      <x:c r="M468" s="25" t="str">
        <x:f>IF($A468="","",IF($F468="","",IF($F468=0,0,IF(COUNTIFS($A$10:$A$89,$C468)&lt;&gt;1,"brak danych",IF(COUNTIFS($A$10:$A$89,$C468,$G$10:$G$89,"&lt;&gt;")=0,"brak danych",VLOOKUP($C468,$A$10:$J$89,7,FALSE)*$F468)))))</x:f>
      </x:c>
      <x:c r="N468" s="25" t="str">
        <x:f>IF($A468="","",IF($F468="","",IF($F468=0,0,IF(COUNTIFS($A$10:$A$89,$C468)&lt;&gt;1,"brak danych",IF(COUNTIFS($A$10:$A$89,$C468,$H$10:$H$89,"&lt;&gt;")=0,"brak danych",VLOOKUP($C468,$A$10:$J$89,8,FALSE)*$F468)))))</x:f>
      </x:c>
      <x:c r="O468" s="25" t="str">
        <x:f>IF($A468="","",IF($F468="","",IF($F468=0,0,IF(COUNTIFS($A$10:$A$89,$C468)&lt;&gt;1,"brak danych",IF(COUNTIFS($A$10:$A$89,$C468,$I$10:$I$89,"&lt;&gt;")=0,"brak danych",VLOOKUP($C468,$A$10:$J$89,9,FALSE)*$F468)))))</x:f>
      </x:c>
      <x:c r="P468" s="25" t="str">
        <x:f>IF($A468="","",IF($F468="","",IF($F468=0,0,IF(COUNTIFS($A$10:$A$89,$C468)&lt;&gt;1,"brak danych",IF(COUNTIFS($A$10:$A$89,$C468,$J$10:$J$89,"&lt;&gt;")=0,"brak danych",VLOOKUP($C468,$A$10:$J$89,10,FALSE)*$F468)))))</x:f>
      </x:c>
      <x:c r="Q468" s="18"/>
    </x:row>
    <x:row r="469" ht="25" customHeight="1">
      <x:c r="A469" s="6"/>
      <x:c r="B469" s="30"/>
      <x:c r="C469" s="5"/>
      <x:c r="D469" s="5"/>
      <x:c r="E469" s="32"/>
      <x:c r="F469" s="32"/>
      <x:c r="G469" s="24" t="str">
        <x:f>IF($A469="","",IF(AND($C469="",$E469=""),"",IF($E469="","brak danych",IF($E469=0,0,IF(COUNTIFS($A$10:$A$89,$C469)&lt;&gt;1,"brak danych",IF(COUNTIFS($A$10:$A$89,$C469,$F$10:$F$89,"&lt;&gt;")=0,"brak danych",VLOOKUP($C469,$A$10:$J$89,6,FALSE)*$E469))))))</x:f>
      </x:c>
      <x:c r="H469" s="25" t="str">
        <x:f>IF($A469="","",IF(AND($C469="",$E469=""),"",IF($E469="","brak danych",IF($E469=0,0,IF(COUNTIFS($A$10:$A$89,$C469)&lt;&gt;1,"brak danych",IF(COUNTIFS($A$10:$A$89,$C469,$G$10:$G$89,"&lt;&gt;")=0,"brak danych",VLOOKUP($C469,$A$10:$J$89,7,FALSE)*$E469))))))</x:f>
      </x:c>
      <x:c r="I469" s="25" t="str">
        <x:f>IF($A469="","",IF(AND($C469="",$E469=""),"",IF($E469="","brak danych",IF($E469=0,0,IF(COUNTIFS($A$10:$A$89,$C469)&lt;&gt;1,"brak danych",IF(COUNTIFS($A$10:$A$89,$C469,$H$10:$H$89,"&lt;&gt;")=0,"brak danych",VLOOKUP($C469,$A$10:$J$89,8,FALSE)*$E469))))))</x:f>
      </x:c>
      <x:c r="J469" s="25" t="str">
        <x:f>IF($A469="","",IF(AND($C469="",$E469=""),"",IF($E469="","brak danych",IF($E469=0,0,IF(COUNTIFS($A$10:$A$89,$C469)&lt;&gt;1,"brak danych",IF(COUNTIFS($A$10:$A$89,$C469,$I$10:$I$89,"&lt;&gt;")=0,"brak danych",VLOOKUP($C469,$A$10:$J$89,9,FALSE)*$E469))))))</x:f>
      </x:c>
      <x:c r="K469" s="25" t="str">
        <x:f>IF($A469="","",IF(AND($C469="",$E469=""),"",IF($E469="","brak danych",IF($E469=0,0,IF(COUNTIFS($A$10:$A$89,$C469)&lt;&gt;1,"brak danych",IF(COUNTIFS($A$10:$A$89,$C469,$J$10:$J$89,"&lt;&gt;")=0,"brak danych",VLOOKUP($C469,$A$10:$J$89,10,FALSE)*$E469))))))</x:f>
      </x:c>
      <x:c r="L469" s="24" t="str">
        <x:f>IF($A469="","",IF($F469="","",IF($F469=0,0,IF(COUNTIFS($A$10:$A$89,$C469)&lt;&gt;1,"brak danych",IF(COUNTIFS($A$10:$A$89,$C469,$F$10:$F$89,"&lt;&gt;")=0,"brak danych",VLOOKUP($C469,$A$10:$J$89,6,FALSE)*$F469)))))</x:f>
      </x:c>
      <x:c r="M469" s="25" t="str">
        <x:f>IF($A469="","",IF($F469="","",IF($F469=0,0,IF(COUNTIFS($A$10:$A$89,$C469)&lt;&gt;1,"brak danych",IF(COUNTIFS($A$10:$A$89,$C469,$G$10:$G$89,"&lt;&gt;")=0,"brak danych",VLOOKUP($C469,$A$10:$J$89,7,FALSE)*$F469)))))</x:f>
      </x:c>
      <x:c r="N469" s="25" t="str">
        <x:f>IF($A469="","",IF($F469="","",IF($F469=0,0,IF(COUNTIFS($A$10:$A$89,$C469)&lt;&gt;1,"brak danych",IF(COUNTIFS($A$10:$A$89,$C469,$H$10:$H$89,"&lt;&gt;")=0,"brak danych",VLOOKUP($C469,$A$10:$J$89,8,FALSE)*$F469)))))</x:f>
      </x:c>
      <x:c r="O469" s="25" t="str">
        <x:f>IF($A469="","",IF($F469="","",IF($F469=0,0,IF(COUNTIFS($A$10:$A$89,$C469)&lt;&gt;1,"brak danych",IF(COUNTIFS($A$10:$A$89,$C469,$I$10:$I$89,"&lt;&gt;")=0,"brak danych",VLOOKUP($C469,$A$10:$J$89,9,FALSE)*$F469)))))</x:f>
      </x:c>
      <x:c r="P469" s="25" t="str">
        <x:f>IF($A469="","",IF($F469="","",IF($F469=0,0,IF(COUNTIFS($A$10:$A$89,$C469)&lt;&gt;1,"brak danych",IF(COUNTIFS($A$10:$A$89,$C469,$J$10:$J$89,"&lt;&gt;")=0,"brak danych",VLOOKUP($C469,$A$10:$J$89,10,FALSE)*$F469)))))</x:f>
      </x:c>
      <x:c r="Q469" s="18"/>
    </x:row>
    <x:row r="470" ht="25" customHeight="1">
      <x:c r="A470" s="6"/>
      <x:c r="B470" s="30"/>
      <x:c r="C470" s="5"/>
      <x:c r="D470" s="5"/>
      <x:c r="E470" s="32"/>
      <x:c r="F470" s="32"/>
      <x:c r="G470" s="24" t="str">
        <x:f>IF($A470="","",IF(AND($C470="",$E470=""),"",IF($E470="","brak danych",IF($E470=0,0,IF(COUNTIFS($A$10:$A$89,$C470)&lt;&gt;1,"brak danych",IF(COUNTIFS($A$10:$A$89,$C470,$F$10:$F$89,"&lt;&gt;")=0,"brak danych",VLOOKUP($C470,$A$10:$J$89,6,FALSE)*$E470))))))</x:f>
      </x:c>
      <x:c r="H470" s="25" t="str">
        <x:f>IF($A470="","",IF(AND($C470="",$E470=""),"",IF($E470="","brak danych",IF($E470=0,0,IF(COUNTIFS($A$10:$A$89,$C470)&lt;&gt;1,"brak danych",IF(COUNTIFS($A$10:$A$89,$C470,$G$10:$G$89,"&lt;&gt;")=0,"brak danych",VLOOKUP($C470,$A$10:$J$89,7,FALSE)*$E470))))))</x:f>
      </x:c>
      <x:c r="I470" s="25" t="str">
        <x:f>IF($A470="","",IF(AND($C470="",$E470=""),"",IF($E470="","brak danych",IF($E470=0,0,IF(COUNTIFS($A$10:$A$89,$C470)&lt;&gt;1,"brak danych",IF(COUNTIFS($A$10:$A$89,$C470,$H$10:$H$89,"&lt;&gt;")=0,"brak danych",VLOOKUP($C470,$A$10:$J$89,8,FALSE)*$E470))))))</x:f>
      </x:c>
      <x:c r="J470" s="25" t="str">
        <x:f>IF($A470="","",IF(AND($C470="",$E470=""),"",IF($E470="","brak danych",IF($E470=0,0,IF(COUNTIFS($A$10:$A$89,$C470)&lt;&gt;1,"brak danych",IF(COUNTIFS($A$10:$A$89,$C470,$I$10:$I$89,"&lt;&gt;")=0,"brak danych",VLOOKUP($C470,$A$10:$J$89,9,FALSE)*$E470))))))</x:f>
      </x:c>
      <x:c r="K470" s="25" t="str">
        <x:f>IF($A470="","",IF(AND($C470="",$E470=""),"",IF($E470="","brak danych",IF($E470=0,0,IF(COUNTIFS($A$10:$A$89,$C470)&lt;&gt;1,"brak danych",IF(COUNTIFS($A$10:$A$89,$C470,$J$10:$J$89,"&lt;&gt;")=0,"brak danych",VLOOKUP($C470,$A$10:$J$89,10,FALSE)*$E470))))))</x:f>
      </x:c>
      <x:c r="L470" s="24" t="str">
        <x:f>IF($A470="","",IF($F470="","",IF($F470=0,0,IF(COUNTIFS($A$10:$A$89,$C470)&lt;&gt;1,"brak danych",IF(COUNTIFS($A$10:$A$89,$C470,$F$10:$F$89,"&lt;&gt;")=0,"brak danych",VLOOKUP($C470,$A$10:$J$89,6,FALSE)*$F470)))))</x:f>
      </x:c>
      <x:c r="M470" s="25" t="str">
        <x:f>IF($A470="","",IF($F470="","",IF($F470=0,0,IF(COUNTIFS($A$10:$A$89,$C470)&lt;&gt;1,"brak danych",IF(COUNTIFS($A$10:$A$89,$C470,$G$10:$G$89,"&lt;&gt;")=0,"brak danych",VLOOKUP($C470,$A$10:$J$89,7,FALSE)*$F470)))))</x:f>
      </x:c>
      <x:c r="N470" s="25" t="str">
        <x:f>IF($A470="","",IF($F470="","",IF($F470=0,0,IF(COUNTIFS($A$10:$A$89,$C470)&lt;&gt;1,"brak danych",IF(COUNTIFS($A$10:$A$89,$C470,$H$10:$H$89,"&lt;&gt;")=0,"brak danych",VLOOKUP($C470,$A$10:$J$89,8,FALSE)*$F470)))))</x:f>
      </x:c>
      <x:c r="O470" s="25" t="str">
        <x:f>IF($A470="","",IF($F470="","",IF($F470=0,0,IF(COUNTIFS($A$10:$A$89,$C470)&lt;&gt;1,"brak danych",IF(COUNTIFS($A$10:$A$89,$C470,$I$10:$I$89,"&lt;&gt;")=0,"brak danych",VLOOKUP($C470,$A$10:$J$89,9,FALSE)*$F470)))))</x:f>
      </x:c>
      <x:c r="P470" s="25" t="str">
        <x:f>IF($A470="","",IF($F470="","",IF($F470=0,0,IF(COUNTIFS($A$10:$A$89,$C470)&lt;&gt;1,"brak danych",IF(COUNTIFS($A$10:$A$89,$C470,$J$10:$J$89,"&lt;&gt;")=0,"brak danych",VLOOKUP($C470,$A$10:$J$89,10,FALSE)*$F470)))))</x:f>
      </x:c>
      <x:c r="Q470" s="18"/>
    </x:row>
    <x:row r="471" ht="25" customHeight="1">
      <x:c r="A471" s="6"/>
      <x:c r="B471" s="30"/>
      <x:c r="C471" s="5"/>
      <x:c r="D471" s="5"/>
      <x:c r="E471" s="32"/>
      <x:c r="F471" s="32"/>
      <x:c r="G471" s="24" t="str">
        <x:f>IF($A471="","",IF(AND($C471="",$E471=""),"",IF($E471="","brak danych",IF($E471=0,0,IF(COUNTIFS($A$10:$A$89,$C471)&lt;&gt;1,"brak danych",IF(COUNTIFS($A$10:$A$89,$C471,$F$10:$F$89,"&lt;&gt;")=0,"brak danych",VLOOKUP($C471,$A$10:$J$89,6,FALSE)*$E471))))))</x:f>
      </x:c>
      <x:c r="H471" s="25" t="str">
        <x:f>IF($A471="","",IF(AND($C471="",$E471=""),"",IF($E471="","brak danych",IF($E471=0,0,IF(COUNTIFS($A$10:$A$89,$C471)&lt;&gt;1,"brak danych",IF(COUNTIFS($A$10:$A$89,$C471,$G$10:$G$89,"&lt;&gt;")=0,"brak danych",VLOOKUP($C471,$A$10:$J$89,7,FALSE)*$E471))))))</x:f>
      </x:c>
      <x:c r="I471" s="25" t="str">
        <x:f>IF($A471="","",IF(AND($C471="",$E471=""),"",IF($E471="","brak danych",IF($E471=0,0,IF(COUNTIFS($A$10:$A$89,$C471)&lt;&gt;1,"brak danych",IF(COUNTIFS($A$10:$A$89,$C471,$H$10:$H$89,"&lt;&gt;")=0,"brak danych",VLOOKUP($C471,$A$10:$J$89,8,FALSE)*$E471))))))</x:f>
      </x:c>
      <x:c r="J471" s="25" t="str">
        <x:f>IF($A471="","",IF(AND($C471="",$E471=""),"",IF($E471="","brak danych",IF($E471=0,0,IF(COUNTIFS($A$10:$A$89,$C471)&lt;&gt;1,"brak danych",IF(COUNTIFS($A$10:$A$89,$C471,$I$10:$I$89,"&lt;&gt;")=0,"brak danych",VLOOKUP($C471,$A$10:$J$89,9,FALSE)*$E471))))))</x:f>
      </x:c>
      <x:c r="K471" s="25" t="str">
        <x:f>IF($A471="","",IF(AND($C471="",$E471=""),"",IF($E471="","brak danych",IF($E471=0,0,IF(COUNTIFS($A$10:$A$89,$C471)&lt;&gt;1,"brak danych",IF(COUNTIFS($A$10:$A$89,$C471,$J$10:$J$89,"&lt;&gt;")=0,"brak danych",VLOOKUP($C471,$A$10:$J$89,10,FALSE)*$E471))))))</x:f>
      </x:c>
      <x:c r="L471" s="24" t="str">
        <x:f>IF($A471="","",IF($F471="","",IF($F471=0,0,IF(COUNTIFS($A$10:$A$89,$C471)&lt;&gt;1,"brak danych",IF(COUNTIFS($A$10:$A$89,$C471,$F$10:$F$89,"&lt;&gt;")=0,"brak danych",VLOOKUP($C471,$A$10:$J$89,6,FALSE)*$F471)))))</x:f>
      </x:c>
      <x:c r="M471" s="25" t="str">
        <x:f>IF($A471="","",IF($F471="","",IF($F471=0,0,IF(COUNTIFS($A$10:$A$89,$C471)&lt;&gt;1,"brak danych",IF(COUNTIFS($A$10:$A$89,$C471,$G$10:$G$89,"&lt;&gt;")=0,"brak danych",VLOOKUP($C471,$A$10:$J$89,7,FALSE)*$F471)))))</x:f>
      </x:c>
      <x:c r="N471" s="25" t="str">
        <x:f>IF($A471="","",IF($F471="","",IF($F471=0,0,IF(COUNTIFS($A$10:$A$89,$C471)&lt;&gt;1,"brak danych",IF(COUNTIFS($A$10:$A$89,$C471,$H$10:$H$89,"&lt;&gt;")=0,"brak danych",VLOOKUP($C471,$A$10:$J$89,8,FALSE)*$F471)))))</x:f>
      </x:c>
      <x:c r="O471" s="25" t="str">
        <x:f>IF($A471="","",IF($F471="","",IF($F471=0,0,IF(COUNTIFS($A$10:$A$89,$C471)&lt;&gt;1,"brak danych",IF(COUNTIFS($A$10:$A$89,$C471,$I$10:$I$89,"&lt;&gt;")=0,"brak danych",VLOOKUP($C471,$A$10:$J$89,9,FALSE)*$F471)))))</x:f>
      </x:c>
      <x:c r="P471" s="25" t="str">
        <x:f>IF($A471="","",IF($F471="","",IF($F471=0,0,IF(COUNTIFS($A$10:$A$89,$C471)&lt;&gt;1,"brak danych",IF(COUNTIFS($A$10:$A$89,$C471,$J$10:$J$89,"&lt;&gt;")=0,"brak danych",VLOOKUP($C471,$A$10:$J$89,10,FALSE)*$F471)))))</x:f>
      </x:c>
      <x:c r="Q471" s="18"/>
    </x:row>
    <x:row r="472" ht="25" customHeight="1">
      <x:c r="A472" s="6"/>
      <x:c r="B472" s="30"/>
      <x:c r="C472" s="5"/>
      <x:c r="D472" s="5"/>
      <x:c r="E472" s="32"/>
      <x:c r="F472" s="32"/>
      <x:c r="G472" s="24" t="str">
        <x:f>IF($A472="","",IF(AND($C472="",$E472=""),"",IF($E472="","brak danych",IF($E472=0,0,IF(COUNTIFS($A$10:$A$89,$C472)&lt;&gt;1,"brak danych",IF(COUNTIFS($A$10:$A$89,$C472,$F$10:$F$89,"&lt;&gt;")=0,"brak danych",VLOOKUP($C472,$A$10:$J$89,6,FALSE)*$E472))))))</x:f>
      </x:c>
      <x:c r="H472" s="25" t="str">
        <x:f>IF($A472="","",IF(AND($C472="",$E472=""),"",IF($E472="","brak danych",IF($E472=0,0,IF(COUNTIFS($A$10:$A$89,$C472)&lt;&gt;1,"brak danych",IF(COUNTIFS($A$10:$A$89,$C472,$G$10:$G$89,"&lt;&gt;")=0,"brak danych",VLOOKUP($C472,$A$10:$J$89,7,FALSE)*$E472))))))</x:f>
      </x:c>
      <x:c r="I472" s="25" t="str">
        <x:f>IF($A472="","",IF(AND($C472="",$E472=""),"",IF($E472="","brak danych",IF($E472=0,0,IF(COUNTIFS($A$10:$A$89,$C472)&lt;&gt;1,"brak danych",IF(COUNTIFS($A$10:$A$89,$C472,$H$10:$H$89,"&lt;&gt;")=0,"brak danych",VLOOKUP($C472,$A$10:$J$89,8,FALSE)*$E472))))))</x:f>
      </x:c>
      <x:c r="J472" s="25" t="str">
        <x:f>IF($A472="","",IF(AND($C472="",$E472=""),"",IF($E472="","brak danych",IF($E472=0,0,IF(COUNTIFS($A$10:$A$89,$C472)&lt;&gt;1,"brak danych",IF(COUNTIFS($A$10:$A$89,$C472,$I$10:$I$89,"&lt;&gt;")=0,"brak danych",VLOOKUP($C472,$A$10:$J$89,9,FALSE)*$E472))))))</x:f>
      </x:c>
      <x:c r="K472" s="25" t="str">
        <x:f>IF($A472="","",IF(AND($C472="",$E472=""),"",IF($E472="","brak danych",IF($E472=0,0,IF(COUNTIFS($A$10:$A$89,$C472)&lt;&gt;1,"brak danych",IF(COUNTIFS($A$10:$A$89,$C472,$J$10:$J$89,"&lt;&gt;")=0,"brak danych",VLOOKUP($C472,$A$10:$J$89,10,FALSE)*$E472))))))</x:f>
      </x:c>
      <x:c r="L472" s="24" t="str">
        <x:f>IF($A472="","",IF($F472="","",IF($F472=0,0,IF(COUNTIFS($A$10:$A$89,$C472)&lt;&gt;1,"brak danych",IF(COUNTIFS($A$10:$A$89,$C472,$F$10:$F$89,"&lt;&gt;")=0,"brak danych",VLOOKUP($C472,$A$10:$J$89,6,FALSE)*$F472)))))</x:f>
      </x:c>
      <x:c r="M472" s="25" t="str">
        <x:f>IF($A472="","",IF($F472="","",IF($F472=0,0,IF(COUNTIFS($A$10:$A$89,$C472)&lt;&gt;1,"brak danych",IF(COUNTIFS($A$10:$A$89,$C472,$G$10:$G$89,"&lt;&gt;")=0,"brak danych",VLOOKUP($C472,$A$10:$J$89,7,FALSE)*$F472)))))</x:f>
      </x:c>
      <x:c r="N472" s="25" t="str">
        <x:f>IF($A472="","",IF($F472="","",IF($F472=0,0,IF(COUNTIFS($A$10:$A$89,$C472)&lt;&gt;1,"brak danych",IF(COUNTIFS($A$10:$A$89,$C472,$H$10:$H$89,"&lt;&gt;")=0,"brak danych",VLOOKUP($C472,$A$10:$J$89,8,FALSE)*$F472)))))</x:f>
      </x:c>
      <x:c r="O472" s="25" t="str">
        <x:f>IF($A472="","",IF($F472="","",IF($F472=0,0,IF(COUNTIFS($A$10:$A$89,$C472)&lt;&gt;1,"brak danych",IF(COUNTIFS($A$10:$A$89,$C472,$I$10:$I$89,"&lt;&gt;")=0,"brak danych",VLOOKUP($C472,$A$10:$J$89,9,FALSE)*$F472)))))</x:f>
      </x:c>
      <x:c r="P472" s="25" t="str">
        <x:f>IF($A472="","",IF($F472="","",IF($F472=0,0,IF(COUNTIFS($A$10:$A$89,$C472)&lt;&gt;1,"brak danych",IF(COUNTIFS($A$10:$A$89,$C472,$J$10:$J$89,"&lt;&gt;")=0,"brak danych",VLOOKUP($C472,$A$10:$J$89,10,FALSE)*$F472)))))</x:f>
      </x:c>
      <x:c r="Q472" s="18"/>
    </x:row>
    <x:row r="473" ht="25" customHeight="1">
      <x:c r="A473" s="6"/>
      <x:c r="B473" s="30"/>
      <x:c r="C473" s="5"/>
      <x:c r="D473" s="5"/>
      <x:c r="E473" s="32"/>
      <x:c r="F473" s="32"/>
      <x:c r="G473" s="24" t="str">
        <x:f>IF($A473="","",IF(AND($C473="",$E473=""),"",IF($E473="","brak danych",IF($E473=0,0,IF(COUNTIFS($A$10:$A$89,$C473)&lt;&gt;1,"brak danych",IF(COUNTIFS($A$10:$A$89,$C473,$F$10:$F$89,"&lt;&gt;")=0,"brak danych",VLOOKUP($C473,$A$10:$J$89,6,FALSE)*$E473))))))</x:f>
      </x:c>
      <x:c r="H473" s="25" t="str">
        <x:f>IF($A473="","",IF(AND($C473="",$E473=""),"",IF($E473="","brak danych",IF($E473=0,0,IF(COUNTIFS($A$10:$A$89,$C473)&lt;&gt;1,"brak danych",IF(COUNTIFS($A$10:$A$89,$C473,$G$10:$G$89,"&lt;&gt;")=0,"brak danych",VLOOKUP($C473,$A$10:$J$89,7,FALSE)*$E473))))))</x:f>
      </x:c>
      <x:c r="I473" s="25" t="str">
        <x:f>IF($A473="","",IF(AND($C473="",$E473=""),"",IF($E473="","brak danych",IF($E473=0,0,IF(COUNTIFS($A$10:$A$89,$C473)&lt;&gt;1,"brak danych",IF(COUNTIFS($A$10:$A$89,$C473,$H$10:$H$89,"&lt;&gt;")=0,"brak danych",VLOOKUP($C473,$A$10:$J$89,8,FALSE)*$E473))))))</x:f>
      </x:c>
      <x:c r="J473" s="25" t="str">
        <x:f>IF($A473="","",IF(AND($C473="",$E473=""),"",IF($E473="","brak danych",IF($E473=0,0,IF(COUNTIFS($A$10:$A$89,$C473)&lt;&gt;1,"brak danych",IF(COUNTIFS($A$10:$A$89,$C473,$I$10:$I$89,"&lt;&gt;")=0,"brak danych",VLOOKUP($C473,$A$10:$J$89,9,FALSE)*$E473))))))</x:f>
      </x:c>
      <x:c r="K473" s="25" t="str">
        <x:f>IF($A473="","",IF(AND($C473="",$E473=""),"",IF($E473="","brak danych",IF($E473=0,0,IF(COUNTIFS($A$10:$A$89,$C473)&lt;&gt;1,"brak danych",IF(COUNTIFS($A$10:$A$89,$C473,$J$10:$J$89,"&lt;&gt;")=0,"brak danych",VLOOKUP($C473,$A$10:$J$89,10,FALSE)*$E473))))))</x:f>
      </x:c>
      <x:c r="L473" s="24" t="str">
        <x:f>IF($A473="","",IF($F473="","",IF($F473=0,0,IF(COUNTIFS($A$10:$A$89,$C473)&lt;&gt;1,"brak danych",IF(COUNTIFS($A$10:$A$89,$C473,$F$10:$F$89,"&lt;&gt;")=0,"brak danych",VLOOKUP($C473,$A$10:$J$89,6,FALSE)*$F473)))))</x:f>
      </x:c>
      <x:c r="M473" s="25" t="str">
        <x:f>IF($A473="","",IF($F473="","",IF($F473=0,0,IF(COUNTIFS($A$10:$A$89,$C473)&lt;&gt;1,"brak danych",IF(COUNTIFS($A$10:$A$89,$C473,$G$10:$G$89,"&lt;&gt;")=0,"brak danych",VLOOKUP($C473,$A$10:$J$89,7,FALSE)*$F473)))))</x:f>
      </x:c>
      <x:c r="N473" s="25" t="str">
        <x:f>IF($A473="","",IF($F473="","",IF($F473=0,0,IF(COUNTIFS($A$10:$A$89,$C473)&lt;&gt;1,"brak danych",IF(COUNTIFS($A$10:$A$89,$C473,$H$10:$H$89,"&lt;&gt;")=0,"brak danych",VLOOKUP($C473,$A$10:$J$89,8,FALSE)*$F473)))))</x:f>
      </x:c>
      <x:c r="O473" s="25" t="str">
        <x:f>IF($A473="","",IF($F473="","",IF($F473=0,0,IF(COUNTIFS($A$10:$A$89,$C473)&lt;&gt;1,"brak danych",IF(COUNTIFS($A$10:$A$89,$C473,$I$10:$I$89,"&lt;&gt;")=0,"brak danych",VLOOKUP($C473,$A$10:$J$89,9,FALSE)*$F473)))))</x:f>
      </x:c>
      <x:c r="P473" s="25" t="str">
        <x:f>IF($A473="","",IF($F473="","",IF($F473=0,0,IF(COUNTIFS($A$10:$A$89,$C473)&lt;&gt;1,"brak danych",IF(COUNTIFS($A$10:$A$89,$C473,$J$10:$J$89,"&lt;&gt;")=0,"brak danych",VLOOKUP($C473,$A$10:$J$89,10,FALSE)*$F473)))))</x:f>
      </x:c>
      <x:c r="Q473" s="18"/>
    </x:row>
    <x:row r="474" ht="25" customHeight="1">
      <x:c r="A474" s="6"/>
      <x:c r="B474" s="30"/>
      <x:c r="C474" s="5"/>
      <x:c r="D474" s="5"/>
      <x:c r="E474" s="32"/>
      <x:c r="F474" s="32"/>
      <x:c r="G474" s="24" t="str">
        <x:f>IF($A474="","",IF(AND($C474="",$E474=""),"",IF($E474="","brak danych",IF($E474=0,0,IF(COUNTIFS($A$10:$A$89,$C474)&lt;&gt;1,"brak danych",IF(COUNTIFS($A$10:$A$89,$C474,$F$10:$F$89,"&lt;&gt;")=0,"brak danych",VLOOKUP($C474,$A$10:$J$89,6,FALSE)*$E474))))))</x:f>
      </x:c>
      <x:c r="H474" s="25" t="str">
        <x:f>IF($A474="","",IF(AND($C474="",$E474=""),"",IF($E474="","brak danych",IF($E474=0,0,IF(COUNTIFS($A$10:$A$89,$C474)&lt;&gt;1,"brak danych",IF(COUNTIFS($A$10:$A$89,$C474,$G$10:$G$89,"&lt;&gt;")=0,"brak danych",VLOOKUP($C474,$A$10:$J$89,7,FALSE)*$E474))))))</x:f>
      </x:c>
      <x:c r="I474" s="25" t="str">
        <x:f>IF($A474="","",IF(AND($C474="",$E474=""),"",IF($E474="","brak danych",IF($E474=0,0,IF(COUNTIFS($A$10:$A$89,$C474)&lt;&gt;1,"brak danych",IF(COUNTIFS($A$10:$A$89,$C474,$H$10:$H$89,"&lt;&gt;")=0,"brak danych",VLOOKUP($C474,$A$10:$J$89,8,FALSE)*$E474))))))</x:f>
      </x:c>
      <x:c r="J474" s="25" t="str">
        <x:f>IF($A474="","",IF(AND($C474="",$E474=""),"",IF($E474="","brak danych",IF($E474=0,0,IF(COUNTIFS($A$10:$A$89,$C474)&lt;&gt;1,"brak danych",IF(COUNTIFS($A$10:$A$89,$C474,$I$10:$I$89,"&lt;&gt;")=0,"brak danych",VLOOKUP($C474,$A$10:$J$89,9,FALSE)*$E474))))))</x:f>
      </x:c>
      <x:c r="K474" s="25" t="str">
        <x:f>IF($A474="","",IF(AND($C474="",$E474=""),"",IF($E474="","brak danych",IF($E474=0,0,IF(COUNTIFS($A$10:$A$89,$C474)&lt;&gt;1,"brak danych",IF(COUNTIFS($A$10:$A$89,$C474,$J$10:$J$89,"&lt;&gt;")=0,"brak danych",VLOOKUP($C474,$A$10:$J$89,10,FALSE)*$E474))))))</x:f>
      </x:c>
      <x:c r="L474" s="24" t="str">
        <x:f>IF($A474="","",IF($F474="","",IF($F474=0,0,IF(COUNTIFS($A$10:$A$89,$C474)&lt;&gt;1,"brak danych",IF(COUNTIFS($A$10:$A$89,$C474,$F$10:$F$89,"&lt;&gt;")=0,"brak danych",VLOOKUP($C474,$A$10:$J$89,6,FALSE)*$F474)))))</x:f>
      </x:c>
      <x:c r="M474" s="25" t="str">
        <x:f>IF($A474="","",IF($F474="","",IF($F474=0,0,IF(COUNTIFS($A$10:$A$89,$C474)&lt;&gt;1,"brak danych",IF(COUNTIFS($A$10:$A$89,$C474,$G$10:$G$89,"&lt;&gt;")=0,"brak danych",VLOOKUP($C474,$A$10:$J$89,7,FALSE)*$F474)))))</x:f>
      </x:c>
      <x:c r="N474" s="25" t="str">
        <x:f>IF($A474="","",IF($F474="","",IF($F474=0,0,IF(COUNTIFS($A$10:$A$89,$C474)&lt;&gt;1,"brak danych",IF(COUNTIFS($A$10:$A$89,$C474,$H$10:$H$89,"&lt;&gt;")=0,"brak danych",VLOOKUP($C474,$A$10:$J$89,8,FALSE)*$F474)))))</x:f>
      </x:c>
      <x:c r="O474" s="25" t="str">
        <x:f>IF($A474="","",IF($F474="","",IF($F474=0,0,IF(COUNTIFS($A$10:$A$89,$C474)&lt;&gt;1,"brak danych",IF(COUNTIFS($A$10:$A$89,$C474,$I$10:$I$89,"&lt;&gt;")=0,"brak danych",VLOOKUP($C474,$A$10:$J$89,9,FALSE)*$F474)))))</x:f>
      </x:c>
      <x:c r="P474" s="25" t="str">
        <x:f>IF($A474="","",IF($F474="","",IF($F474=0,0,IF(COUNTIFS($A$10:$A$89,$C474)&lt;&gt;1,"brak danych",IF(COUNTIFS($A$10:$A$89,$C474,$J$10:$J$89,"&lt;&gt;")=0,"brak danych",VLOOKUP($C474,$A$10:$J$89,10,FALSE)*$F474)))))</x:f>
      </x:c>
      <x:c r="Q474" s="18"/>
    </x:row>
    <x:row r="475" ht="25" customHeight="1">
      <x:c r="A475" s="6"/>
      <x:c r="B475" s="30"/>
      <x:c r="C475" s="5"/>
      <x:c r="D475" s="5"/>
      <x:c r="E475" s="32"/>
      <x:c r="F475" s="32"/>
      <x:c r="G475" s="24" t="str">
        <x:f>IF($A475="","",IF(AND($C475="",$E475=""),"",IF($E475="","brak danych",IF($E475=0,0,IF(COUNTIFS($A$10:$A$89,$C475)&lt;&gt;1,"brak danych",IF(COUNTIFS($A$10:$A$89,$C475,$F$10:$F$89,"&lt;&gt;")=0,"brak danych",VLOOKUP($C475,$A$10:$J$89,6,FALSE)*$E475))))))</x:f>
      </x:c>
      <x:c r="H475" s="25" t="str">
        <x:f>IF($A475="","",IF(AND($C475="",$E475=""),"",IF($E475="","brak danych",IF($E475=0,0,IF(COUNTIFS($A$10:$A$89,$C475)&lt;&gt;1,"brak danych",IF(COUNTIFS($A$10:$A$89,$C475,$G$10:$G$89,"&lt;&gt;")=0,"brak danych",VLOOKUP($C475,$A$10:$J$89,7,FALSE)*$E475))))))</x:f>
      </x:c>
      <x:c r="I475" s="25" t="str">
        <x:f>IF($A475="","",IF(AND($C475="",$E475=""),"",IF($E475="","brak danych",IF($E475=0,0,IF(COUNTIFS($A$10:$A$89,$C475)&lt;&gt;1,"brak danych",IF(COUNTIFS($A$10:$A$89,$C475,$H$10:$H$89,"&lt;&gt;")=0,"brak danych",VLOOKUP($C475,$A$10:$J$89,8,FALSE)*$E475))))))</x:f>
      </x:c>
      <x:c r="J475" s="25" t="str">
        <x:f>IF($A475="","",IF(AND($C475="",$E475=""),"",IF($E475="","brak danych",IF($E475=0,0,IF(COUNTIFS($A$10:$A$89,$C475)&lt;&gt;1,"brak danych",IF(COUNTIFS($A$10:$A$89,$C475,$I$10:$I$89,"&lt;&gt;")=0,"brak danych",VLOOKUP($C475,$A$10:$J$89,9,FALSE)*$E475))))))</x:f>
      </x:c>
      <x:c r="K475" s="25" t="str">
        <x:f>IF($A475="","",IF(AND($C475="",$E475=""),"",IF($E475="","brak danych",IF($E475=0,0,IF(COUNTIFS($A$10:$A$89,$C475)&lt;&gt;1,"brak danych",IF(COUNTIFS($A$10:$A$89,$C475,$J$10:$J$89,"&lt;&gt;")=0,"brak danych",VLOOKUP($C475,$A$10:$J$89,10,FALSE)*$E475))))))</x:f>
      </x:c>
      <x:c r="L475" s="24" t="str">
        <x:f>IF($A475="","",IF($F475="","",IF($F475=0,0,IF(COUNTIFS($A$10:$A$89,$C475)&lt;&gt;1,"brak danych",IF(COUNTIFS($A$10:$A$89,$C475,$F$10:$F$89,"&lt;&gt;")=0,"brak danych",VLOOKUP($C475,$A$10:$J$89,6,FALSE)*$F475)))))</x:f>
      </x:c>
      <x:c r="M475" s="25" t="str">
        <x:f>IF($A475="","",IF($F475="","",IF($F475=0,0,IF(COUNTIFS($A$10:$A$89,$C475)&lt;&gt;1,"brak danych",IF(COUNTIFS($A$10:$A$89,$C475,$G$10:$G$89,"&lt;&gt;")=0,"brak danych",VLOOKUP($C475,$A$10:$J$89,7,FALSE)*$F475)))))</x:f>
      </x:c>
      <x:c r="N475" s="25" t="str">
        <x:f>IF($A475="","",IF($F475="","",IF($F475=0,0,IF(COUNTIFS($A$10:$A$89,$C475)&lt;&gt;1,"brak danych",IF(COUNTIFS($A$10:$A$89,$C475,$H$10:$H$89,"&lt;&gt;")=0,"brak danych",VLOOKUP($C475,$A$10:$J$89,8,FALSE)*$F475)))))</x:f>
      </x:c>
      <x:c r="O475" s="25" t="str">
        <x:f>IF($A475="","",IF($F475="","",IF($F475=0,0,IF(COUNTIFS($A$10:$A$89,$C475)&lt;&gt;1,"brak danych",IF(COUNTIFS($A$10:$A$89,$C475,$I$10:$I$89,"&lt;&gt;")=0,"brak danych",VLOOKUP($C475,$A$10:$J$89,9,FALSE)*$F475)))))</x:f>
      </x:c>
      <x:c r="P475" s="25" t="str">
        <x:f>IF($A475="","",IF($F475="","",IF($F475=0,0,IF(COUNTIFS($A$10:$A$89,$C475)&lt;&gt;1,"brak danych",IF(COUNTIFS($A$10:$A$89,$C475,$J$10:$J$89,"&lt;&gt;")=0,"brak danych",VLOOKUP($C475,$A$10:$J$89,10,FALSE)*$F475)))))</x:f>
      </x:c>
      <x:c r="Q475" s="18"/>
    </x:row>
    <x:row r="476" ht="25" customHeight="1">
      <x:c r="A476" s="6"/>
      <x:c r="B476" s="30"/>
      <x:c r="C476" s="5"/>
      <x:c r="D476" s="5"/>
      <x:c r="E476" s="32"/>
      <x:c r="F476" s="32"/>
      <x:c r="G476" s="24" t="str">
        <x:f>IF($A476="","",IF(AND($C476="",$E476=""),"",IF($E476="","brak danych",IF($E476=0,0,IF(COUNTIFS($A$10:$A$89,$C476)&lt;&gt;1,"brak danych",IF(COUNTIFS($A$10:$A$89,$C476,$F$10:$F$89,"&lt;&gt;")=0,"brak danych",VLOOKUP($C476,$A$10:$J$89,6,FALSE)*$E476))))))</x:f>
      </x:c>
      <x:c r="H476" s="25" t="str">
        <x:f>IF($A476="","",IF(AND($C476="",$E476=""),"",IF($E476="","brak danych",IF($E476=0,0,IF(COUNTIFS($A$10:$A$89,$C476)&lt;&gt;1,"brak danych",IF(COUNTIFS($A$10:$A$89,$C476,$G$10:$G$89,"&lt;&gt;")=0,"brak danych",VLOOKUP($C476,$A$10:$J$89,7,FALSE)*$E476))))))</x:f>
      </x:c>
      <x:c r="I476" s="25" t="str">
        <x:f>IF($A476="","",IF(AND($C476="",$E476=""),"",IF($E476="","brak danych",IF($E476=0,0,IF(COUNTIFS($A$10:$A$89,$C476)&lt;&gt;1,"brak danych",IF(COUNTIFS($A$10:$A$89,$C476,$H$10:$H$89,"&lt;&gt;")=0,"brak danych",VLOOKUP($C476,$A$10:$J$89,8,FALSE)*$E476))))))</x:f>
      </x:c>
      <x:c r="J476" s="25" t="str">
        <x:f>IF($A476="","",IF(AND($C476="",$E476=""),"",IF($E476="","brak danych",IF($E476=0,0,IF(COUNTIFS($A$10:$A$89,$C476)&lt;&gt;1,"brak danych",IF(COUNTIFS($A$10:$A$89,$C476,$I$10:$I$89,"&lt;&gt;")=0,"brak danych",VLOOKUP($C476,$A$10:$J$89,9,FALSE)*$E476))))))</x:f>
      </x:c>
      <x:c r="K476" s="25" t="str">
        <x:f>IF($A476="","",IF(AND($C476="",$E476=""),"",IF($E476="","brak danych",IF($E476=0,0,IF(COUNTIFS($A$10:$A$89,$C476)&lt;&gt;1,"brak danych",IF(COUNTIFS($A$10:$A$89,$C476,$J$10:$J$89,"&lt;&gt;")=0,"brak danych",VLOOKUP($C476,$A$10:$J$89,10,FALSE)*$E476))))))</x:f>
      </x:c>
      <x:c r="L476" s="24" t="str">
        <x:f>IF($A476="","",IF($F476="","",IF($F476=0,0,IF(COUNTIFS($A$10:$A$89,$C476)&lt;&gt;1,"brak danych",IF(COUNTIFS($A$10:$A$89,$C476,$F$10:$F$89,"&lt;&gt;")=0,"brak danych",VLOOKUP($C476,$A$10:$J$89,6,FALSE)*$F476)))))</x:f>
      </x:c>
      <x:c r="M476" s="25" t="str">
        <x:f>IF($A476="","",IF($F476="","",IF($F476=0,0,IF(COUNTIFS($A$10:$A$89,$C476)&lt;&gt;1,"brak danych",IF(COUNTIFS($A$10:$A$89,$C476,$G$10:$G$89,"&lt;&gt;")=0,"brak danych",VLOOKUP($C476,$A$10:$J$89,7,FALSE)*$F476)))))</x:f>
      </x:c>
      <x:c r="N476" s="25" t="str">
        <x:f>IF($A476="","",IF($F476="","",IF($F476=0,0,IF(COUNTIFS($A$10:$A$89,$C476)&lt;&gt;1,"brak danych",IF(COUNTIFS($A$10:$A$89,$C476,$H$10:$H$89,"&lt;&gt;")=0,"brak danych",VLOOKUP($C476,$A$10:$J$89,8,FALSE)*$F476)))))</x:f>
      </x:c>
      <x:c r="O476" s="25" t="str">
        <x:f>IF($A476="","",IF($F476="","",IF($F476=0,0,IF(COUNTIFS($A$10:$A$89,$C476)&lt;&gt;1,"brak danych",IF(COUNTIFS($A$10:$A$89,$C476,$I$10:$I$89,"&lt;&gt;")=0,"brak danych",VLOOKUP($C476,$A$10:$J$89,9,FALSE)*$F476)))))</x:f>
      </x:c>
      <x:c r="P476" s="25" t="str">
        <x:f>IF($A476="","",IF($F476="","",IF($F476=0,0,IF(COUNTIFS($A$10:$A$89,$C476)&lt;&gt;1,"brak danych",IF(COUNTIFS($A$10:$A$89,$C476,$J$10:$J$89,"&lt;&gt;")=0,"brak danych",VLOOKUP($C476,$A$10:$J$89,10,FALSE)*$F476)))))</x:f>
      </x:c>
      <x:c r="Q476" s="18"/>
    </x:row>
    <x:row r="477" ht="25" customHeight="1">
      <x:c r="A477" s="6"/>
      <x:c r="B477" s="30"/>
      <x:c r="C477" s="5"/>
      <x:c r="D477" s="5"/>
      <x:c r="E477" s="32"/>
      <x:c r="F477" s="32"/>
      <x:c r="G477" s="24" t="str">
        <x:f>IF($A477="","",IF(AND($C477="",$E477=""),"",IF($E477="","brak danych",IF($E477=0,0,IF(COUNTIFS($A$10:$A$89,$C477)&lt;&gt;1,"brak danych",IF(COUNTIFS($A$10:$A$89,$C477,$F$10:$F$89,"&lt;&gt;")=0,"brak danych",VLOOKUP($C477,$A$10:$J$89,6,FALSE)*$E477))))))</x:f>
      </x:c>
      <x:c r="H477" s="25" t="str">
        <x:f>IF($A477="","",IF(AND($C477="",$E477=""),"",IF($E477="","brak danych",IF($E477=0,0,IF(COUNTIFS($A$10:$A$89,$C477)&lt;&gt;1,"brak danych",IF(COUNTIFS($A$10:$A$89,$C477,$G$10:$G$89,"&lt;&gt;")=0,"brak danych",VLOOKUP($C477,$A$10:$J$89,7,FALSE)*$E477))))))</x:f>
      </x:c>
      <x:c r="I477" s="25" t="str">
        <x:f>IF($A477="","",IF(AND($C477="",$E477=""),"",IF($E477="","brak danych",IF($E477=0,0,IF(COUNTIFS($A$10:$A$89,$C477)&lt;&gt;1,"brak danych",IF(COUNTIFS($A$10:$A$89,$C477,$H$10:$H$89,"&lt;&gt;")=0,"brak danych",VLOOKUP($C477,$A$10:$J$89,8,FALSE)*$E477))))))</x:f>
      </x:c>
      <x:c r="J477" s="25" t="str">
        <x:f>IF($A477="","",IF(AND($C477="",$E477=""),"",IF($E477="","brak danych",IF($E477=0,0,IF(COUNTIFS($A$10:$A$89,$C477)&lt;&gt;1,"brak danych",IF(COUNTIFS($A$10:$A$89,$C477,$I$10:$I$89,"&lt;&gt;")=0,"brak danych",VLOOKUP($C477,$A$10:$J$89,9,FALSE)*$E477))))))</x:f>
      </x:c>
      <x:c r="K477" s="25" t="str">
        <x:f>IF($A477="","",IF(AND($C477="",$E477=""),"",IF($E477="","brak danych",IF($E477=0,0,IF(COUNTIFS($A$10:$A$89,$C477)&lt;&gt;1,"brak danych",IF(COUNTIFS($A$10:$A$89,$C477,$J$10:$J$89,"&lt;&gt;")=0,"brak danych",VLOOKUP($C477,$A$10:$J$89,10,FALSE)*$E477))))))</x:f>
      </x:c>
      <x:c r="L477" s="24" t="str">
        <x:f>IF($A477="","",IF($F477="","",IF($F477=0,0,IF(COUNTIFS($A$10:$A$89,$C477)&lt;&gt;1,"brak danych",IF(COUNTIFS($A$10:$A$89,$C477,$F$10:$F$89,"&lt;&gt;")=0,"brak danych",VLOOKUP($C477,$A$10:$J$89,6,FALSE)*$F477)))))</x:f>
      </x:c>
      <x:c r="M477" s="25" t="str">
        <x:f>IF($A477="","",IF($F477="","",IF($F477=0,0,IF(COUNTIFS($A$10:$A$89,$C477)&lt;&gt;1,"brak danych",IF(COUNTIFS($A$10:$A$89,$C477,$G$10:$G$89,"&lt;&gt;")=0,"brak danych",VLOOKUP($C477,$A$10:$J$89,7,FALSE)*$F477)))))</x:f>
      </x:c>
      <x:c r="N477" s="25" t="str">
        <x:f>IF($A477="","",IF($F477="","",IF($F477=0,0,IF(COUNTIFS($A$10:$A$89,$C477)&lt;&gt;1,"brak danych",IF(COUNTIFS($A$10:$A$89,$C477,$H$10:$H$89,"&lt;&gt;")=0,"brak danych",VLOOKUP($C477,$A$10:$J$89,8,FALSE)*$F477)))))</x:f>
      </x:c>
      <x:c r="O477" s="25" t="str">
        <x:f>IF($A477="","",IF($F477="","",IF($F477=0,0,IF(COUNTIFS($A$10:$A$89,$C477)&lt;&gt;1,"brak danych",IF(COUNTIFS($A$10:$A$89,$C477,$I$10:$I$89,"&lt;&gt;")=0,"brak danych",VLOOKUP($C477,$A$10:$J$89,9,FALSE)*$F477)))))</x:f>
      </x:c>
      <x:c r="P477" s="25" t="str">
        <x:f>IF($A477="","",IF($F477="","",IF($F477=0,0,IF(COUNTIFS($A$10:$A$89,$C477)&lt;&gt;1,"brak danych",IF(COUNTIFS($A$10:$A$89,$C477,$J$10:$J$89,"&lt;&gt;")=0,"brak danych",VLOOKUP($C477,$A$10:$J$89,10,FALSE)*$F477)))))</x:f>
      </x:c>
      <x:c r="Q477" s="18"/>
    </x:row>
    <x:row r="478" ht="25" customHeight="1">
      <x:c r="A478" s="6"/>
      <x:c r="B478" s="30"/>
      <x:c r="C478" s="5"/>
      <x:c r="D478" s="5"/>
      <x:c r="E478" s="32"/>
      <x:c r="F478" s="32"/>
      <x:c r="G478" s="24" t="str">
        <x:f>IF($A478="","",IF(AND($C478="",$E478=""),"",IF($E478="","brak danych",IF($E478=0,0,IF(COUNTIFS($A$10:$A$89,$C478)&lt;&gt;1,"brak danych",IF(COUNTIFS($A$10:$A$89,$C478,$F$10:$F$89,"&lt;&gt;")=0,"brak danych",VLOOKUP($C478,$A$10:$J$89,6,FALSE)*$E478))))))</x:f>
      </x:c>
      <x:c r="H478" s="25" t="str">
        <x:f>IF($A478="","",IF(AND($C478="",$E478=""),"",IF($E478="","brak danych",IF($E478=0,0,IF(COUNTIFS($A$10:$A$89,$C478)&lt;&gt;1,"brak danych",IF(COUNTIFS($A$10:$A$89,$C478,$G$10:$G$89,"&lt;&gt;")=0,"brak danych",VLOOKUP($C478,$A$10:$J$89,7,FALSE)*$E478))))))</x:f>
      </x:c>
      <x:c r="I478" s="25" t="str">
        <x:f>IF($A478="","",IF(AND($C478="",$E478=""),"",IF($E478="","brak danych",IF($E478=0,0,IF(COUNTIFS($A$10:$A$89,$C478)&lt;&gt;1,"brak danych",IF(COUNTIFS($A$10:$A$89,$C478,$H$10:$H$89,"&lt;&gt;")=0,"brak danych",VLOOKUP($C478,$A$10:$J$89,8,FALSE)*$E478))))))</x:f>
      </x:c>
      <x:c r="J478" s="25" t="str">
        <x:f>IF($A478="","",IF(AND($C478="",$E478=""),"",IF($E478="","brak danych",IF($E478=0,0,IF(COUNTIFS($A$10:$A$89,$C478)&lt;&gt;1,"brak danych",IF(COUNTIFS($A$10:$A$89,$C478,$I$10:$I$89,"&lt;&gt;")=0,"brak danych",VLOOKUP($C478,$A$10:$J$89,9,FALSE)*$E478))))))</x:f>
      </x:c>
      <x:c r="K478" s="25" t="str">
        <x:f>IF($A478="","",IF(AND($C478="",$E478=""),"",IF($E478="","brak danych",IF($E478=0,0,IF(COUNTIFS($A$10:$A$89,$C478)&lt;&gt;1,"brak danych",IF(COUNTIFS($A$10:$A$89,$C478,$J$10:$J$89,"&lt;&gt;")=0,"brak danych",VLOOKUP($C478,$A$10:$J$89,10,FALSE)*$E478))))))</x:f>
      </x:c>
      <x:c r="L478" s="24" t="str">
        <x:f>IF($A478="","",IF($F478="","",IF($F478=0,0,IF(COUNTIFS($A$10:$A$89,$C478)&lt;&gt;1,"brak danych",IF(COUNTIFS($A$10:$A$89,$C478,$F$10:$F$89,"&lt;&gt;")=0,"brak danych",VLOOKUP($C478,$A$10:$J$89,6,FALSE)*$F478)))))</x:f>
      </x:c>
      <x:c r="M478" s="25" t="str">
        <x:f>IF($A478="","",IF($F478="","",IF($F478=0,0,IF(COUNTIFS($A$10:$A$89,$C478)&lt;&gt;1,"brak danych",IF(COUNTIFS($A$10:$A$89,$C478,$G$10:$G$89,"&lt;&gt;")=0,"brak danych",VLOOKUP($C478,$A$10:$J$89,7,FALSE)*$F478)))))</x:f>
      </x:c>
      <x:c r="N478" s="25" t="str">
        <x:f>IF($A478="","",IF($F478="","",IF($F478=0,0,IF(COUNTIFS($A$10:$A$89,$C478)&lt;&gt;1,"brak danych",IF(COUNTIFS($A$10:$A$89,$C478,$H$10:$H$89,"&lt;&gt;")=0,"brak danych",VLOOKUP($C478,$A$10:$J$89,8,FALSE)*$F478)))))</x:f>
      </x:c>
      <x:c r="O478" s="25" t="str">
        <x:f>IF($A478="","",IF($F478="","",IF($F478=0,0,IF(COUNTIFS($A$10:$A$89,$C478)&lt;&gt;1,"brak danych",IF(COUNTIFS($A$10:$A$89,$C478,$I$10:$I$89,"&lt;&gt;")=0,"brak danych",VLOOKUP($C478,$A$10:$J$89,9,FALSE)*$F478)))))</x:f>
      </x:c>
      <x:c r="P478" s="25" t="str">
        <x:f>IF($A478="","",IF($F478="","",IF($F478=0,0,IF(COUNTIFS($A$10:$A$89,$C478)&lt;&gt;1,"brak danych",IF(COUNTIFS($A$10:$A$89,$C478,$J$10:$J$89,"&lt;&gt;")=0,"brak danych",VLOOKUP($C478,$A$10:$J$89,10,FALSE)*$F478)))))</x:f>
      </x:c>
      <x:c r="Q478" s="18"/>
    </x:row>
    <x:row r="479" ht="25" customHeight="1">
      <x:c r="A479" s="6"/>
      <x:c r="B479" s="30"/>
      <x:c r="C479" s="5"/>
      <x:c r="D479" s="5"/>
      <x:c r="E479" s="32"/>
      <x:c r="F479" s="32"/>
      <x:c r="G479" s="24" t="str">
        <x:f>IF($A479="","",IF(AND($C479="",$E479=""),"",IF($E479="","brak danych",IF($E479=0,0,IF(COUNTIFS($A$10:$A$89,$C479)&lt;&gt;1,"brak danych",IF(COUNTIFS($A$10:$A$89,$C479,$F$10:$F$89,"&lt;&gt;")=0,"brak danych",VLOOKUP($C479,$A$10:$J$89,6,FALSE)*$E479))))))</x:f>
      </x:c>
      <x:c r="H479" s="25" t="str">
        <x:f>IF($A479="","",IF(AND($C479="",$E479=""),"",IF($E479="","brak danych",IF($E479=0,0,IF(COUNTIFS($A$10:$A$89,$C479)&lt;&gt;1,"brak danych",IF(COUNTIFS($A$10:$A$89,$C479,$G$10:$G$89,"&lt;&gt;")=0,"brak danych",VLOOKUP($C479,$A$10:$J$89,7,FALSE)*$E479))))))</x:f>
      </x:c>
      <x:c r="I479" s="25" t="str">
        <x:f>IF($A479="","",IF(AND($C479="",$E479=""),"",IF($E479="","brak danych",IF($E479=0,0,IF(COUNTIFS($A$10:$A$89,$C479)&lt;&gt;1,"brak danych",IF(COUNTIFS($A$10:$A$89,$C479,$H$10:$H$89,"&lt;&gt;")=0,"brak danych",VLOOKUP($C479,$A$10:$J$89,8,FALSE)*$E479))))))</x:f>
      </x:c>
      <x:c r="J479" s="25" t="str">
        <x:f>IF($A479="","",IF(AND($C479="",$E479=""),"",IF($E479="","brak danych",IF($E479=0,0,IF(COUNTIFS($A$10:$A$89,$C479)&lt;&gt;1,"brak danych",IF(COUNTIFS($A$10:$A$89,$C479,$I$10:$I$89,"&lt;&gt;")=0,"brak danych",VLOOKUP($C479,$A$10:$J$89,9,FALSE)*$E479))))))</x:f>
      </x:c>
      <x:c r="K479" s="25" t="str">
        <x:f>IF($A479="","",IF(AND($C479="",$E479=""),"",IF($E479="","brak danych",IF($E479=0,0,IF(COUNTIFS($A$10:$A$89,$C479)&lt;&gt;1,"brak danych",IF(COUNTIFS($A$10:$A$89,$C479,$J$10:$J$89,"&lt;&gt;")=0,"brak danych",VLOOKUP($C479,$A$10:$J$89,10,FALSE)*$E479))))))</x:f>
      </x:c>
      <x:c r="L479" s="24" t="str">
        <x:f>IF($A479="","",IF($F479="","",IF($F479=0,0,IF(COUNTIFS($A$10:$A$89,$C479)&lt;&gt;1,"brak danych",IF(COUNTIFS($A$10:$A$89,$C479,$F$10:$F$89,"&lt;&gt;")=0,"brak danych",VLOOKUP($C479,$A$10:$J$89,6,FALSE)*$F479)))))</x:f>
      </x:c>
      <x:c r="M479" s="25" t="str">
        <x:f>IF($A479="","",IF($F479="","",IF($F479=0,0,IF(COUNTIFS($A$10:$A$89,$C479)&lt;&gt;1,"brak danych",IF(COUNTIFS($A$10:$A$89,$C479,$G$10:$G$89,"&lt;&gt;")=0,"brak danych",VLOOKUP($C479,$A$10:$J$89,7,FALSE)*$F479)))))</x:f>
      </x:c>
      <x:c r="N479" s="25" t="str">
        <x:f>IF($A479="","",IF($F479="","",IF($F479=0,0,IF(COUNTIFS($A$10:$A$89,$C479)&lt;&gt;1,"brak danych",IF(COUNTIFS($A$10:$A$89,$C479,$H$10:$H$89,"&lt;&gt;")=0,"brak danych",VLOOKUP($C479,$A$10:$J$89,8,FALSE)*$F479)))))</x:f>
      </x:c>
      <x:c r="O479" s="25" t="str">
        <x:f>IF($A479="","",IF($F479="","",IF($F479=0,0,IF(COUNTIFS($A$10:$A$89,$C479)&lt;&gt;1,"brak danych",IF(COUNTIFS($A$10:$A$89,$C479,$I$10:$I$89,"&lt;&gt;")=0,"brak danych",VLOOKUP($C479,$A$10:$J$89,9,FALSE)*$F479)))))</x:f>
      </x:c>
      <x:c r="P479" s="25" t="str">
        <x:f>IF($A479="","",IF($F479="","",IF($F479=0,0,IF(COUNTIFS($A$10:$A$89,$C479)&lt;&gt;1,"brak danych",IF(COUNTIFS($A$10:$A$89,$C479,$J$10:$J$89,"&lt;&gt;")=0,"brak danych",VLOOKUP($C479,$A$10:$J$89,10,FALSE)*$F479)))))</x:f>
      </x:c>
      <x:c r="Q479" s="18"/>
    </x:row>
    <x:row r="480" ht="25" customHeight="1">
      <x:c r="A480" s="6"/>
      <x:c r="B480" s="30"/>
      <x:c r="C480" s="5"/>
      <x:c r="D480" s="5"/>
      <x:c r="E480" s="32"/>
      <x:c r="F480" s="32"/>
      <x:c r="G480" s="24" t="str">
        <x:f>IF($A480="","",IF(AND($C480="",$E480=""),"",IF($E480="","brak danych",IF($E480=0,0,IF(COUNTIFS($A$10:$A$89,$C480)&lt;&gt;1,"brak danych",IF(COUNTIFS($A$10:$A$89,$C480,$F$10:$F$89,"&lt;&gt;")=0,"brak danych",VLOOKUP($C480,$A$10:$J$89,6,FALSE)*$E480))))))</x:f>
      </x:c>
      <x:c r="H480" s="25" t="str">
        <x:f>IF($A480="","",IF(AND($C480="",$E480=""),"",IF($E480="","brak danych",IF($E480=0,0,IF(COUNTIFS($A$10:$A$89,$C480)&lt;&gt;1,"brak danych",IF(COUNTIFS($A$10:$A$89,$C480,$G$10:$G$89,"&lt;&gt;")=0,"brak danych",VLOOKUP($C480,$A$10:$J$89,7,FALSE)*$E480))))))</x:f>
      </x:c>
      <x:c r="I480" s="25" t="str">
        <x:f>IF($A480="","",IF(AND($C480="",$E480=""),"",IF($E480="","brak danych",IF($E480=0,0,IF(COUNTIFS($A$10:$A$89,$C480)&lt;&gt;1,"brak danych",IF(COUNTIFS($A$10:$A$89,$C480,$H$10:$H$89,"&lt;&gt;")=0,"brak danych",VLOOKUP($C480,$A$10:$J$89,8,FALSE)*$E480))))))</x:f>
      </x:c>
      <x:c r="J480" s="25" t="str">
        <x:f>IF($A480="","",IF(AND($C480="",$E480=""),"",IF($E480="","brak danych",IF($E480=0,0,IF(COUNTIFS($A$10:$A$89,$C480)&lt;&gt;1,"brak danych",IF(COUNTIFS($A$10:$A$89,$C480,$I$10:$I$89,"&lt;&gt;")=0,"brak danych",VLOOKUP($C480,$A$10:$J$89,9,FALSE)*$E480))))))</x:f>
      </x:c>
      <x:c r="K480" s="25" t="str">
        <x:f>IF($A480="","",IF(AND($C480="",$E480=""),"",IF($E480="","brak danych",IF($E480=0,0,IF(COUNTIFS($A$10:$A$89,$C480)&lt;&gt;1,"brak danych",IF(COUNTIFS($A$10:$A$89,$C480,$J$10:$J$89,"&lt;&gt;")=0,"brak danych",VLOOKUP($C480,$A$10:$J$89,10,FALSE)*$E480))))))</x:f>
      </x:c>
      <x:c r="L480" s="24" t="str">
        <x:f>IF($A480="","",IF($F480="","",IF($F480=0,0,IF(COUNTIFS($A$10:$A$89,$C480)&lt;&gt;1,"brak danych",IF(COUNTIFS($A$10:$A$89,$C480,$F$10:$F$89,"&lt;&gt;")=0,"brak danych",VLOOKUP($C480,$A$10:$J$89,6,FALSE)*$F480)))))</x:f>
      </x:c>
      <x:c r="M480" s="25" t="str">
        <x:f>IF($A480="","",IF($F480="","",IF($F480=0,0,IF(COUNTIFS($A$10:$A$89,$C480)&lt;&gt;1,"brak danych",IF(COUNTIFS($A$10:$A$89,$C480,$G$10:$G$89,"&lt;&gt;")=0,"brak danych",VLOOKUP($C480,$A$10:$J$89,7,FALSE)*$F480)))))</x:f>
      </x:c>
      <x:c r="N480" s="25" t="str">
        <x:f>IF($A480="","",IF($F480="","",IF($F480=0,0,IF(COUNTIFS($A$10:$A$89,$C480)&lt;&gt;1,"brak danych",IF(COUNTIFS($A$10:$A$89,$C480,$H$10:$H$89,"&lt;&gt;")=0,"brak danych",VLOOKUP($C480,$A$10:$J$89,8,FALSE)*$F480)))))</x:f>
      </x:c>
      <x:c r="O480" s="25" t="str">
        <x:f>IF($A480="","",IF($F480="","",IF($F480=0,0,IF(COUNTIFS($A$10:$A$89,$C480)&lt;&gt;1,"brak danych",IF(COUNTIFS($A$10:$A$89,$C480,$I$10:$I$89,"&lt;&gt;")=0,"brak danych",VLOOKUP($C480,$A$10:$J$89,9,FALSE)*$F480)))))</x:f>
      </x:c>
      <x:c r="P480" s="25" t="str">
        <x:f>IF($A480="","",IF($F480="","",IF($F480=0,0,IF(COUNTIFS($A$10:$A$89,$C480)&lt;&gt;1,"brak danych",IF(COUNTIFS($A$10:$A$89,$C480,$J$10:$J$89,"&lt;&gt;")=0,"brak danych",VLOOKUP($C480,$A$10:$J$89,10,FALSE)*$F480)))))</x:f>
      </x:c>
      <x:c r="Q480" s="18"/>
    </x:row>
    <x:row r="481" ht="25" customHeight="1">
      <x:c r="A481" s="6"/>
      <x:c r="B481" s="30"/>
      <x:c r="C481" s="5"/>
      <x:c r="D481" s="5"/>
      <x:c r="E481" s="32"/>
      <x:c r="F481" s="32"/>
      <x:c r="G481" s="24" t="str">
        <x:f>IF($A481="","",IF(AND($C481="",$E481=""),"",IF($E481="","brak danych",IF($E481=0,0,IF(COUNTIFS($A$10:$A$89,$C481)&lt;&gt;1,"brak danych",IF(COUNTIFS($A$10:$A$89,$C481,$F$10:$F$89,"&lt;&gt;")=0,"brak danych",VLOOKUP($C481,$A$10:$J$89,6,FALSE)*$E481))))))</x:f>
      </x:c>
      <x:c r="H481" s="25" t="str">
        <x:f>IF($A481="","",IF(AND($C481="",$E481=""),"",IF($E481="","brak danych",IF($E481=0,0,IF(COUNTIFS($A$10:$A$89,$C481)&lt;&gt;1,"brak danych",IF(COUNTIFS($A$10:$A$89,$C481,$G$10:$G$89,"&lt;&gt;")=0,"brak danych",VLOOKUP($C481,$A$10:$J$89,7,FALSE)*$E481))))))</x:f>
      </x:c>
      <x:c r="I481" s="25" t="str">
        <x:f>IF($A481="","",IF(AND($C481="",$E481=""),"",IF($E481="","brak danych",IF($E481=0,0,IF(COUNTIFS($A$10:$A$89,$C481)&lt;&gt;1,"brak danych",IF(COUNTIFS($A$10:$A$89,$C481,$H$10:$H$89,"&lt;&gt;")=0,"brak danych",VLOOKUP($C481,$A$10:$J$89,8,FALSE)*$E481))))))</x:f>
      </x:c>
      <x:c r="J481" s="25" t="str">
        <x:f>IF($A481="","",IF(AND($C481="",$E481=""),"",IF($E481="","brak danych",IF($E481=0,0,IF(COUNTIFS($A$10:$A$89,$C481)&lt;&gt;1,"brak danych",IF(COUNTIFS($A$10:$A$89,$C481,$I$10:$I$89,"&lt;&gt;")=0,"brak danych",VLOOKUP($C481,$A$10:$J$89,9,FALSE)*$E481))))))</x:f>
      </x:c>
      <x:c r="K481" s="25" t="str">
        <x:f>IF($A481="","",IF(AND($C481="",$E481=""),"",IF($E481="","brak danych",IF($E481=0,0,IF(COUNTIFS($A$10:$A$89,$C481)&lt;&gt;1,"brak danych",IF(COUNTIFS($A$10:$A$89,$C481,$J$10:$J$89,"&lt;&gt;")=0,"brak danych",VLOOKUP($C481,$A$10:$J$89,10,FALSE)*$E481))))))</x:f>
      </x:c>
      <x:c r="L481" s="24" t="str">
        <x:f>IF($A481="","",IF($F481="","",IF($F481=0,0,IF(COUNTIFS($A$10:$A$89,$C481)&lt;&gt;1,"brak danych",IF(COUNTIFS($A$10:$A$89,$C481,$F$10:$F$89,"&lt;&gt;")=0,"brak danych",VLOOKUP($C481,$A$10:$J$89,6,FALSE)*$F481)))))</x:f>
      </x:c>
      <x:c r="M481" s="25" t="str">
        <x:f>IF($A481="","",IF($F481="","",IF($F481=0,0,IF(COUNTIFS($A$10:$A$89,$C481)&lt;&gt;1,"brak danych",IF(COUNTIFS($A$10:$A$89,$C481,$G$10:$G$89,"&lt;&gt;")=0,"brak danych",VLOOKUP($C481,$A$10:$J$89,7,FALSE)*$F481)))))</x:f>
      </x:c>
      <x:c r="N481" s="25" t="str">
        <x:f>IF($A481="","",IF($F481="","",IF($F481=0,0,IF(COUNTIFS($A$10:$A$89,$C481)&lt;&gt;1,"brak danych",IF(COUNTIFS($A$10:$A$89,$C481,$H$10:$H$89,"&lt;&gt;")=0,"brak danych",VLOOKUP($C481,$A$10:$J$89,8,FALSE)*$F481)))))</x:f>
      </x:c>
      <x:c r="O481" s="25" t="str">
        <x:f>IF($A481="","",IF($F481="","",IF($F481=0,0,IF(COUNTIFS($A$10:$A$89,$C481)&lt;&gt;1,"brak danych",IF(COUNTIFS($A$10:$A$89,$C481,$I$10:$I$89,"&lt;&gt;")=0,"brak danych",VLOOKUP($C481,$A$10:$J$89,9,FALSE)*$F481)))))</x:f>
      </x:c>
      <x:c r="P481" s="25" t="str">
        <x:f>IF($A481="","",IF($F481="","",IF($F481=0,0,IF(COUNTIFS($A$10:$A$89,$C481)&lt;&gt;1,"brak danych",IF(COUNTIFS($A$10:$A$89,$C481,$J$10:$J$89,"&lt;&gt;")=0,"brak danych",VLOOKUP($C481,$A$10:$J$89,10,FALSE)*$F481)))))</x:f>
      </x:c>
      <x:c r="Q481" s="18"/>
    </x:row>
    <x:row r="482" ht="25" customHeight="1">
      <x:c r="A482" s="6"/>
      <x:c r="B482" s="30"/>
      <x:c r="C482" s="5"/>
      <x:c r="D482" s="5"/>
      <x:c r="E482" s="32"/>
      <x:c r="F482" s="32"/>
      <x:c r="G482" s="24" t="str">
        <x:f>IF($A482="","",IF(AND($C482="",$E482=""),"",IF($E482="","brak danych",IF($E482=0,0,IF(COUNTIFS($A$10:$A$89,$C482)&lt;&gt;1,"brak danych",IF(COUNTIFS($A$10:$A$89,$C482,$F$10:$F$89,"&lt;&gt;")=0,"brak danych",VLOOKUP($C482,$A$10:$J$89,6,FALSE)*$E482))))))</x:f>
      </x:c>
      <x:c r="H482" s="25" t="str">
        <x:f>IF($A482="","",IF(AND($C482="",$E482=""),"",IF($E482="","brak danych",IF($E482=0,0,IF(COUNTIFS($A$10:$A$89,$C482)&lt;&gt;1,"brak danych",IF(COUNTIFS($A$10:$A$89,$C482,$G$10:$G$89,"&lt;&gt;")=0,"brak danych",VLOOKUP($C482,$A$10:$J$89,7,FALSE)*$E482))))))</x:f>
      </x:c>
      <x:c r="I482" s="25" t="str">
        <x:f>IF($A482="","",IF(AND($C482="",$E482=""),"",IF($E482="","brak danych",IF($E482=0,0,IF(COUNTIFS($A$10:$A$89,$C482)&lt;&gt;1,"brak danych",IF(COUNTIFS($A$10:$A$89,$C482,$H$10:$H$89,"&lt;&gt;")=0,"brak danych",VLOOKUP($C482,$A$10:$J$89,8,FALSE)*$E482))))))</x:f>
      </x:c>
      <x:c r="J482" s="25" t="str">
        <x:f>IF($A482="","",IF(AND($C482="",$E482=""),"",IF($E482="","brak danych",IF($E482=0,0,IF(COUNTIFS($A$10:$A$89,$C482)&lt;&gt;1,"brak danych",IF(COUNTIFS($A$10:$A$89,$C482,$I$10:$I$89,"&lt;&gt;")=0,"brak danych",VLOOKUP($C482,$A$10:$J$89,9,FALSE)*$E482))))))</x:f>
      </x:c>
      <x:c r="K482" s="25" t="str">
        <x:f>IF($A482="","",IF(AND($C482="",$E482=""),"",IF($E482="","brak danych",IF($E482=0,0,IF(COUNTIFS($A$10:$A$89,$C482)&lt;&gt;1,"brak danych",IF(COUNTIFS($A$10:$A$89,$C482,$J$10:$J$89,"&lt;&gt;")=0,"brak danych",VLOOKUP($C482,$A$10:$J$89,10,FALSE)*$E482))))))</x:f>
      </x:c>
      <x:c r="L482" s="24" t="str">
        <x:f>IF($A482="","",IF($F482="","",IF($F482=0,0,IF(COUNTIFS($A$10:$A$89,$C482)&lt;&gt;1,"brak danych",IF(COUNTIFS($A$10:$A$89,$C482,$F$10:$F$89,"&lt;&gt;")=0,"brak danych",VLOOKUP($C482,$A$10:$J$89,6,FALSE)*$F482)))))</x:f>
      </x:c>
      <x:c r="M482" s="25" t="str">
        <x:f>IF($A482="","",IF($F482="","",IF($F482=0,0,IF(COUNTIFS($A$10:$A$89,$C482)&lt;&gt;1,"brak danych",IF(COUNTIFS($A$10:$A$89,$C482,$G$10:$G$89,"&lt;&gt;")=0,"brak danych",VLOOKUP($C482,$A$10:$J$89,7,FALSE)*$F482)))))</x:f>
      </x:c>
      <x:c r="N482" s="25" t="str">
        <x:f>IF($A482="","",IF($F482="","",IF($F482=0,0,IF(COUNTIFS($A$10:$A$89,$C482)&lt;&gt;1,"brak danych",IF(COUNTIFS($A$10:$A$89,$C482,$H$10:$H$89,"&lt;&gt;")=0,"brak danych",VLOOKUP($C482,$A$10:$J$89,8,FALSE)*$F482)))))</x:f>
      </x:c>
      <x:c r="O482" s="25" t="str">
        <x:f>IF($A482="","",IF($F482="","",IF($F482=0,0,IF(COUNTIFS($A$10:$A$89,$C482)&lt;&gt;1,"brak danych",IF(COUNTIFS($A$10:$A$89,$C482,$I$10:$I$89,"&lt;&gt;")=0,"brak danych",VLOOKUP($C482,$A$10:$J$89,9,FALSE)*$F482)))))</x:f>
      </x:c>
      <x:c r="P482" s="25" t="str">
        <x:f>IF($A482="","",IF($F482="","",IF($F482=0,0,IF(COUNTIFS($A$10:$A$89,$C482)&lt;&gt;1,"brak danych",IF(COUNTIFS($A$10:$A$89,$C482,$J$10:$J$89,"&lt;&gt;")=0,"brak danych",VLOOKUP($C482,$A$10:$J$89,10,FALSE)*$F482)))))</x:f>
      </x:c>
      <x:c r="Q482" s="18"/>
    </x:row>
    <x:row r="483" ht="25" customHeight="1">
      <x:c r="A483" s="6"/>
      <x:c r="B483" s="30"/>
      <x:c r="C483" s="5"/>
      <x:c r="D483" s="5"/>
      <x:c r="E483" s="32"/>
      <x:c r="F483" s="32"/>
      <x:c r="G483" s="24" t="str">
        <x:f>IF($A483="","",IF(AND($C483="",$E483=""),"",IF($E483="","brak danych",IF($E483=0,0,IF(COUNTIFS($A$10:$A$89,$C483)&lt;&gt;1,"brak danych",IF(COUNTIFS($A$10:$A$89,$C483,$F$10:$F$89,"&lt;&gt;")=0,"brak danych",VLOOKUP($C483,$A$10:$J$89,6,FALSE)*$E483))))))</x:f>
      </x:c>
      <x:c r="H483" s="25" t="str">
        <x:f>IF($A483="","",IF(AND($C483="",$E483=""),"",IF($E483="","brak danych",IF($E483=0,0,IF(COUNTIFS($A$10:$A$89,$C483)&lt;&gt;1,"brak danych",IF(COUNTIFS($A$10:$A$89,$C483,$G$10:$G$89,"&lt;&gt;")=0,"brak danych",VLOOKUP($C483,$A$10:$J$89,7,FALSE)*$E483))))))</x:f>
      </x:c>
      <x:c r="I483" s="25" t="str">
        <x:f>IF($A483="","",IF(AND($C483="",$E483=""),"",IF($E483="","brak danych",IF($E483=0,0,IF(COUNTIFS($A$10:$A$89,$C483)&lt;&gt;1,"brak danych",IF(COUNTIFS($A$10:$A$89,$C483,$H$10:$H$89,"&lt;&gt;")=0,"brak danych",VLOOKUP($C483,$A$10:$J$89,8,FALSE)*$E483))))))</x:f>
      </x:c>
      <x:c r="J483" s="25" t="str">
        <x:f>IF($A483="","",IF(AND($C483="",$E483=""),"",IF($E483="","brak danych",IF($E483=0,0,IF(COUNTIFS($A$10:$A$89,$C483)&lt;&gt;1,"brak danych",IF(COUNTIFS($A$10:$A$89,$C483,$I$10:$I$89,"&lt;&gt;")=0,"brak danych",VLOOKUP($C483,$A$10:$J$89,9,FALSE)*$E483))))))</x:f>
      </x:c>
      <x:c r="K483" s="25" t="str">
        <x:f>IF($A483="","",IF(AND($C483="",$E483=""),"",IF($E483="","brak danych",IF($E483=0,0,IF(COUNTIFS($A$10:$A$89,$C483)&lt;&gt;1,"brak danych",IF(COUNTIFS($A$10:$A$89,$C483,$J$10:$J$89,"&lt;&gt;")=0,"brak danych",VLOOKUP($C483,$A$10:$J$89,10,FALSE)*$E483))))))</x:f>
      </x:c>
      <x:c r="L483" s="24" t="str">
        <x:f>IF($A483="","",IF($F483="","",IF($F483=0,0,IF(COUNTIFS($A$10:$A$89,$C483)&lt;&gt;1,"brak danych",IF(COUNTIFS($A$10:$A$89,$C483,$F$10:$F$89,"&lt;&gt;")=0,"brak danych",VLOOKUP($C483,$A$10:$J$89,6,FALSE)*$F483)))))</x:f>
      </x:c>
      <x:c r="M483" s="25" t="str">
        <x:f>IF($A483="","",IF($F483="","",IF($F483=0,0,IF(COUNTIFS($A$10:$A$89,$C483)&lt;&gt;1,"brak danych",IF(COUNTIFS($A$10:$A$89,$C483,$G$10:$G$89,"&lt;&gt;")=0,"brak danych",VLOOKUP($C483,$A$10:$J$89,7,FALSE)*$F483)))))</x:f>
      </x:c>
      <x:c r="N483" s="25" t="str">
        <x:f>IF($A483="","",IF($F483="","",IF($F483=0,0,IF(COUNTIFS($A$10:$A$89,$C483)&lt;&gt;1,"brak danych",IF(COUNTIFS($A$10:$A$89,$C483,$H$10:$H$89,"&lt;&gt;")=0,"brak danych",VLOOKUP($C483,$A$10:$J$89,8,FALSE)*$F483)))))</x:f>
      </x:c>
      <x:c r="O483" s="25" t="str">
        <x:f>IF($A483="","",IF($F483="","",IF($F483=0,0,IF(COUNTIFS($A$10:$A$89,$C483)&lt;&gt;1,"brak danych",IF(COUNTIFS($A$10:$A$89,$C483,$I$10:$I$89,"&lt;&gt;")=0,"brak danych",VLOOKUP($C483,$A$10:$J$89,9,FALSE)*$F483)))))</x:f>
      </x:c>
      <x:c r="P483" s="25" t="str">
        <x:f>IF($A483="","",IF($F483="","",IF($F483=0,0,IF(COUNTIFS($A$10:$A$89,$C483)&lt;&gt;1,"brak danych",IF(COUNTIFS($A$10:$A$89,$C483,$J$10:$J$89,"&lt;&gt;")=0,"brak danych",VLOOKUP($C483,$A$10:$J$89,10,FALSE)*$F483)))))</x:f>
      </x:c>
      <x:c r="Q483" s="18"/>
    </x:row>
    <x:row r="484" ht="25" customHeight="1">
      <x:c r="A484" s="6"/>
      <x:c r="B484" s="30"/>
      <x:c r="C484" s="5"/>
      <x:c r="D484" s="5"/>
      <x:c r="E484" s="32"/>
      <x:c r="F484" s="32"/>
      <x:c r="G484" s="24" t="str">
        <x:f>IF($A484="","",IF(AND($C484="",$E484=""),"",IF($E484="","brak danych",IF($E484=0,0,IF(COUNTIFS($A$10:$A$89,$C484)&lt;&gt;1,"brak danych",IF(COUNTIFS($A$10:$A$89,$C484,$F$10:$F$89,"&lt;&gt;")=0,"brak danych",VLOOKUP($C484,$A$10:$J$89,6,FALSE)*$E484))))))</x:f>
      </x:c>
      <x:c r="H484" s="25" t="str">
        <x:f>IF($A484="","",IF(AND($C484="",$E484=""),"",IF($E484="","brak danych",IF($E484=0,0,IF(COUNTIFS($A$10:$A$89,$C484)&lt;&gt;1,"brak danych",IF(COUNTIFS($A$10:$A$89,$C484,$G$10:$G$89,"&lt;&gt;")=0,"brak danych",VLOOKUP($C484,$A$10:$J$89,7,FALSE)*$E484))))))</x:f>
      </x:c>
      <x:c r="I484" s="25" t="str">
        <x:f>IF($A484="","",IF(AND($C484="",$E484=""),"",IF($E484="","brak danych",IF($E484=0,0,IF(COUNTIFS($A$10:$A$89,$C484)&lt;&gt;1,"brak danych",IF(COUNTIFS($A$10:$A$89,$C484,$H$10:$H$89,"&lt;&gt;")=0,"brak danych",VLOOKUP($C484,$A$10:$J$89,8,FALSE)*$E484))))))</x:f>
      </x:c>
      <x:c r="J484" s="25" t="str">
        <x:f>IF($A484="","",IF(AND($C484="",$E484=""),"",IF($E484="","brak danych",IF($E484=0,0,IF(COUNTIFS($A$10:$A$89,$C484)&lt;&gt;1,"brak danych",IF(COUNTIFS($A$10:$A$89,$C484,$I$10:$I$89,"&lt;&gt;")=0,"brak danych",VLOOKUP($C484,$A$10:$J$89,9,FALSE)*$E484))))))</x:f>
      </x:c>
      <x:c r="K484" s="25" t="str">
        <x:f>IF($A484="","",IF(AND($C484="",$E484=""),"",IF($E484="","brak danych",IF($E484=0,0,IF(COUNTIFS($A$10:$A$89,$C484)&lt;&gt;1,"brak danych",IF(COUNTIFS($A$10:$A$89,$C484,$J$10:$J$89,"&lt;&gt;")=0,"brak danych",VLOOKUP($C484,$A$10:$J$89,10,FALSE)*$E484))))))</x:f>
      </x:c>
      <x:c r="L484" s="24" t="str">
        <x:f>IF($A484="","",IF($F484="","",IF($F484=0,0,IF(COUNTIFS($A$10:$A$89,$C484)&lt;&gt;1,"brak danych",IF(COUNTIFS($A$10:$A$89,$C484,$F$10:$F$89,"&lt;&gt;")=0,"brak danych",VLOOKUP($C484,$A$10:$J$89,6,FALSE)*$F484)))))</x:f>
      </x:c>
      <x:c r="M484" s="25" t="str">
        <x:f>IF($A484="","",IF($F484="","",IF($F484=0,0,IF(COUNTIFS($A$10:$A$89,$C484)&lt;&gt;1,"brak danych",IF(COUNTIFS($A$10:$A$89,$C484,$G$10:$G$89,"&lt;&gt;")=0,"brak danych",VLOOKUP($C484,$A$10:$J$89,7,FALSE)*$F484)))))</x:f>
      </x:c>
      <x:c r="N484" s="25" t="str">
        <x:f>IF($A484="","",IF($F484="","",IF($F484=0,0,IF(COUNTIFS($A$10:$A$89,$C484)&lt;&gt;1,"brak danych",IF(COUNTIFS($A$10:$A$89,$C484,$H$10:$H$89,"&lt;&gt;")=0,"brak danych",VLOOKUP($C484,$A$10:$J$89,8,FALSE)*$F484)))))</x:f>
      </x:c>
      <x:c r="O484" s="25" t="str">
        <x:f>IF($A484="","",IF($F484="","",IF($F484=0,0,IF(COUNTIFS($A$10:$A$89,$C484)&lt;&gt;1,"brak danych",IF(COUNTIFS($A$10:$A$89,$C484,$I$10:$I$89,"&lt;&gt;")=0,"brak danych",VLOOKUP($C484,$A$10:$J$89,9,FALSE)*$F484)))))</x:f>
      </x:c>
      <x:c r="P484" s="25" t="str">
        <x:f>IF($A484="","",IF($F484="","",IF($F484=0,0,IF(COUNTIFS($A$10:$A$89,$C484)&lt;&gt;1,"brak danych",IF(COUNTIFS($A$10:$A$89,$C484,$J$10:$J$89,"&lt;&gt;")=0,"brak danych",VLOOKUP($C484,$A$10:$J$89,10,FALSE)*$F484)))))</x:f>
      </x:c>
      <x:c r="Q484" s="18"/>
    </x:row>
    <x:row r="485" ht="25" customHeight="1">
      <x:c r="A485" s="6"/>
      <x:c r="B485" s="30"/>
      <x:c r="C485" s="5"/>
      <x:c r="D485" s="5"/>
      <x:c r="E485" s="32"/>
      <x:c r="F485" s="32"/>
      <x:c r="G485" s="24" t="str">
        <x:f>IF($A485="","",IF(AND($C485="",$E485=""),"",IF($E485="","brak danych",IF($E485=0,0,IF(COUNTIFS($A$10:$A$89,$C485)&lt;&gt;1,"brak danych",IF(COUNTIFS($A$10:$A$89,$C485,$F$10:$F$89,"&lt;&gt;")=0,"brak danych",VLOOKUP($C485,$A$10:$J$89,6,FALSE)*$E485))))))</x:f>
      </x:c>
      <x:c r="H485" s="25" t="str">
        <x:f>IF($A485="","",IF(AND($C485="",$E485=""),"",IF($E485="","brak danych",IF($E485=0,0,IF(COUNTIFS($A$10:$A$89,$C485)&lt;&gt;1,"brak danych",IF(COUNTIFS($A$10:$A$89,$C485,$G$10:$G$89,"&lt;&gt;")=0,"brak danych",VLOOKUP($C485,$A$10:$J$89,7,FALSE)*$E485))))))</x:f>
      </x:c>
      <x:c r="I485" s="25" t="str">
        <x:f>IF($A485="","",IF(AND($C485="",$E485=""),"",IF($E485="","brak danych",IF($E485=0,0,IF(COUNTIFS($A$10:$A$89,$C485)&lt;&gt;1,"brak danych",IF(COUNTIFS($A$10:$A$89,$C485,$H$10:$H$89,"&lt;&gt;")=0,"brak danych",VLOOKUP($C485,$A$10:$J$89,8,FALSE)*$E485))))))</x:f>
      </x:c>
      <x:c r="J485" s="25" t="str">
        <x:f>IF($A485="","",IF(AND($C485="",$E485=""),"",IF($E485="","brak danych",IF($E485=0,0,IF(COUNTIFS($A$10:$A$89,$C485)&lt;&gt;1,"brak danych",IF(COUNTIFS($A$10:$A$89,$C485,$I$10:$I$89,"&lt;&gt;")=0,"brak danych",VLOOKUP($C485,$A$10:$J$89,9,FALSE)*$E485))))))</x:f>
      </x:c>
      <x:c r="K485" s="25" t="str">
        <x:f>IF($A485="","",IF(AND($C485="",$E485=""),"",IF($E485="","brak danych",IF($E485=0,0,IF(COUNTIFS($A$10:$A$89,$C485)&lt;&gt;1,"brak danych",IF(COUNTIFS($A$10:$A$89,$C485,$J$10:$J$89,"&lt;&gt;")=0,"brak danych",VLOOKUP($C485,$A$10:$J$89,10,FALSE)*$E485))))))</x:f>
      </x:c>
      <x:c r="L485" s="24" t="str">
        <x:f>IF($A485="","",IF($F485="","",IF($F485=0,0,IF(COUNTIFS($A$10:$A$89,$C485)&lt;&gt;1,"brak danych",IF(COUNTIFS($A$10:$A$89,$C485,$F$10:$F$89,"&lt;&gt;")=0,"brak danych",VLOOKUP($C485,$A$10:$J$89,6,FALSE)*$F485)))))</x:f>
      </x:c>
      <x:c r="M485" s="25" t="str">
        <x:f>IF($A485="","",IF($F485="","",IF($F485=0,0,IF(COUNTIFS($A$10:$A$89,$C485)&lt;&gt;1,"brak danych",IF(COUNTIFS($A$10:$A$89,$C485,$G$10:$G$89,"&lt;&gt;")=0,"brak danych",VLOOKUP($C485,$A$10:$J$89,7,FALSE)*$F485)))))</x:f>
      </x:c>
      <x:c r="N485" s="25" t="str">
        <x:f>IF($A485="","",IF($F485="","",IF($F485=0,0,IF(COUNTIFS($A$10:$A$89,$C485)&lt;&gt;1,"brak danych",IF(COUNTIFS($A$10:$A$89,$C485,$H$10:$H$89,"&lt;&gt;")=0,"brak danych",VLOOKUP($C485,$A$10:$J$89,8,FALSE)*$F485)))))</x:f>
      </x:c>
      <x:c r="O485" s="25" t="str">
        <x:f>IF($A485="","",IF($F485="","",IF($F485=0,0,IF(COUNTIFS($A$10:$A$89,$C485)&lt;&gt;1,"brak danych",IF(COUNTIFS($A$10:$A$89,$C485,$I$10:$I$89,"&lt;&gt;")=0,"brak danych",VLOOKUP($C485,$A$10:$J$89,9,FALSE)*$F485)))))</x:f>
      </x:c>
      <x:c r="P485" s="25" t="str">
        <x:f>IF($A485="","",IF($F485="","",IF($F485=0,0,IF(COUNTIFS($A$10:$A$89,$C485)&lt;&gt;1,"brak danych",IF(COUNTIFS($A$10:$A$89,$C485,$J$10:$J$89,"&lt;&gt;")=0,"brak danych",VLOOKUP($C485,$A$10:$J$89,10,FALSE)*$F485)))))</x:f>
      </x:c>
      <x:c r="Q485" s="18"/>
    </x:row>
    <x:row r="486" ht="25" customHeight="1">
      <x:c r="A486" s="6"/>
      <x:c r="B486" s="30"/>
      <x:c r="C486" s="5"/>
      <x:c r="D486" s="5"/>
      <x:c r="E486" s="32"/>
      <x:c r="F486" s="32"/>
      <x:c r="G486" s="24" t="str">
        <x:f>IF($A486="","",IF(AND($C486="",$E486=""),"",IF($E486="","brak danych",IF($E486=0,0,IF(COUNTIFS($A$10:$A$89,$C486)&lt;&gt;1,"brak danych",IF(COUNTIFS($A$10:$A$89,$C486,$F$10:$F$89,"&lt;&gt;")=0,"brak danych",VLOOKUP($C486,$A$10:$J$89,6,FALSE)*$E486))))))</x:f>
      </x:c>
      <x:c r="H486" s="25" t="str">
        <x:f>IF($A486="","",IF(AND($C486="",$E486=""),"",IF($E486="","brak danych",IF($E486=0,0,IF(COUNTIFS($A$10:$A$89,$C486)&lt;&gt;1,"brak danych",IF(COUNTIFS($A$10:$A$89,$C486,$G$10:$G$89,"&lt;&gt;")=0,"brak danych",VLOOKUP($C486,$A$10:$J$89,7,FALSE)*$E486))))))</x:f>
      </x:c>
      <x:c r="I486" s="25" t="str">
        <x:f>IF($A486="","",IF(AND($C486="",$E486=""),"",IF($E486="","brak danych",IF($E486=0,0,IF(COUNTIFS($A$10:$A$89,$C486)&lt;&gt;1,"brak danych",IF(COUNTIFS($A$10:$A$89,$C486,$H$10:$H$89,"&lt;&gt;")=0,"brak danych",VLOOKUP($C486,$A$10:$J$89,8,FALSE)*$E486))))))</x:f>
      </x:c>
      <x:c r="J486" s="25" t="str">
        <x:f>IF($A486="","",IF(AND($C486="",$E486=""),"",IF($E486="","brak danych",IF($E486=0,0,IF(COUNTIFS($A$10:$A$89,$C486)&lt;&gt;1,"brak danych",IF(COUNTIFS($A$10:$A$89,$C486,$I$10:$I$89,"&lt;&gt;")=0,"brak danych",VLOOKUP($C486,$A$10:$J$89,9,FALSE)*$E486))))))</x:f>
      </x:c>
      <x:c r="K486" s="25" t="str">
        <x:f>IF($A486="","",IF(AND($C486="",$E486=""),"",IF($E486="","brak danych",IF($E486=0,0,IF(COUNTIFS($A$10:$A$89,$C486)&lt;&gt;1,"brak danych",IF(COUNTIFS($A$10:$A$89,$C486,$J$10:$J$89,"&lt;&gt;")=0,"brak danych",VLOOKUP($C486,$A$10:$J$89,10,FALSE)*$E486))))))</x:f>
      </x:c>
      <x:c r="L486" s="24" t="str">
        <x:f>IF($A486="","",IF($F486="","",IF($F486=0,0,IF(COUNTIFS($A$10:$A$89,$C486)&lt;&gt;1,"brak danych",IF(COUNTIFS($A$10:$A$89,$C486,$F$10:$F$89,"&lt;&gt;")=0,"brak danych",VLOOKUP($C486,$A$10:$J$89,6,FALSE)*$F486)))))</x:f>
      </x:c>
      <x:c r="M486" s="25" t="str">
        <x:f>IF($A486="","",IF($F486="","",IF($F486=0,0,IF(COUNTIFS($A$10:$A$89,$C486)&lt;&gt;1,"brak danych",IF(COUNTIFS($A$10:$A$89,$C486,$G$10:$G$89,"&lt;&gt;")=0,"brak danych",VLOOKUP($C486,$A$10:$J$89,7,FALSE)*$F486)))))</x:f>
      </x:c>
      <x:c r="N486" s="25" t="str">
        <x:f>IF($A486="","",IF($F486="","",IF($F486=0,0,IF(COUNTIFS($A$10:$A$89,$C486)&lt;&gt;1,"brak danych",IF(COUNTIFS($A$10:$A$89,$C486,$H$10:$H$89,"&lt;&gt;")=0,"brak danych",VLOOKUP($C486,$A$10:$J$89,8,FALSE)*$F486)))))</x:f>
      </x:c>
      <x:c r="O486" s="25" t="str">
        <x:f>IF($A486="","",IF($F486="","",IF($F486=0,0,IF(COUNTIFS($A$10:$A$89,$C486)&lt;&gt;1,"brak danych",IF(COUNTIFS($A$10:$A$89,$C486,$I$10:$I$89,"&lt;&gt;")=0,"brak danych",VLOOKUP($C486,$A$10:$J$89,9,FALSE)*$F486)))))</x:f>
      </x:c>
      <x:c r="P486" s="25" t="str">
        <x:f>IF($A486="","",IF($F486="","",IF($F486=0,0,IF(COUNTIFS($A$10:$A$89,$C486)&lt;&gt;1,"brak danych",IF(COUNTIFS($A$10:$A$89,$C486,$J$10:$J$89,"&lt;&gt;")=0,"brak danych",VLOOKUP($C486,$A$10:$J$89,10,FALSE)*$F486)))))</x:f>
      </x:c>
      <x:c r="Q486" s="18"/>
    </x:row>
    <x:row r="487" ht="25" customHeight="1">
      <x:c r="A487" s="6"/>
      <x:c r="B487" s="30"/>
      <x:c r="C487" s="5"/>
      <x:c r="D487" s="5"/>
      <x:c r="E487" s="32"/>
      <x:c r="F487" s="32"/>
      <x:c r="G487" s="24" t="str">
        <x:f>IF($A487="","",IF(AND($C487="",$E487=""),"",IF($E487="","brak danych",IF($E487=0,0,IF(COUNTIFS($A$10:$A$89,$C487)&lt;&gt;1,"brak danych",IF(COUNTIFS($A$10:$A$89,$C487,$F$10:$F$89,"&lt;&gt;")=0,"brak danych",VLOOKUP($C487,$A$10:$J$89,6,FALSE)*$E487))))))</x:f>
      </x:c>
      <x:c r="H487" s="25" t="str">
        <x:f>IF($A487="","",IF(AND($C487="",$E487=""),"",IF($E487="","brak danych",IF($E487=0,0,IF(COUNTIFS($A$10:$A$89,$C487)&lt;&gt;1,"brak danych",IF(COUNTIFS($A$10:$A$89,$C487,$G$10:$G$89,"&lt;&gt;")=0,"brak danych",VLOOKUP($C487,$A$10:$J$89,7,FALSE)*$E487))))))</x:f>
      </x:c>
      <x:c r="I487" s="25" t="str">
        <x:f>IF($A487="","",IF(AND($C487="",$E487=""),"",IF($E487="","brak danych",IF($E487=0,0,IF(COUNTIFS($A$10:$A$89,$C487)&lt;&gt;1,"brak danych",IF(COUNTIFS($A$10:$A$89,$C487,$H$10:$H$89,"&lt;&gt;")=0,"brak danych",VLOOKUP($C487,$A$10:$J$89,8,FALSE)*$E487))))))</x:f>
      </x:c>
      <x:c r="J487" s="25" t="str">
        <x:f>IF($A487="","",IF(AND($C487="",$E487=""),"",IF($E487="","brak danych",IF($E487=0,0,IF(COUNTIFS($A$10:$A$89,$C487)&lt;&gt;1,"brak danych",IF(COUNTIFS($A$10:$A$89,$C487,$I$10:$I$89,"&lt;&gt;")=0,"brak danych",VLOOKUP($C487,$A$10:$J$89,9,FALSE)*$E487))))))</x:f>
      </x:c>
      <x:c r="K487" s="25" t="str">
        <x:f>IF($A487="","",IF(AND($C487="",$E487=""),"",IF($E487="","brak danych",IF($E487=0,0,IF(COUNTIFS($A$10:$A$89,$C487)&lt;&gt;1,"brak danych",IF(COUNTIFS($A$10:$A$89,$C487,$J$10:$J$89,"&lt;&gt;")=0,"brak danych",VLOOKUP($C487,$A$10:$J$89,10,FALSE)*$E487))))))</x:f>
      </x:c>
      <x:c r="L487" s="24" t="str">
        <x:f>IF($A487="","",IF($F487="","",IF($F487=0,0,IF(COUNTIFS($A$10:$A$89,$C487)&lt;&gt;1,"brak danych",IF(COUNTIFS($A$10:$A$89,$C487,$F$10:$F$89,"&lt;&gt;")=0,"brak danych",VLOOKUP($C487,$A$10:$J$89,6,FALSE)*$F487)))))</x:f>
      </x:c>
      <x:c r="M487" s="25" t="str">
        <x:f>IF($A487="","",IF($F487="","",IF($F487=0,0,IF(COUNTIFS($A$10:$A$89,$C487)&lt;&gt;1,"brak danych",IF(COUNTIFS($A$10:$A$89,$C487,$G$10:$G$89,"&lt;&gt;")=0,"brak danych",VLOOKUP($C487,$A$10:$J$89,7,FALSE)*$F487)))))</x:f>
      </x:c>
      <x:c r="N487" s="25" t="str">
        <x:f>IF($A487="","",IF($F487="","",IF($F487=0,0,IF(COUNTIFS($A$10:$A$89,$C487)&lt;&gt;1,"brak danych",IF(COUNTIFS($A$10:$A$89,$C487,$H$10:$H$89,"&lt;&gt;")=0,"brak danych",VLOOKUP($C487,$A$10:$J$89,8,FALSE)*$F487)))))</x:f>
      </x:c>
      <x:c r="O487" s="25" t="str">
        <x:f>IF($A487="","",IF($F487="","",IF($F487=0,0,IF(COUNTIFS($A$10:$A$89,$C487)&lt;&gt;1,"brak danych",IF(COUNTIFS($A$10:$A$89,$C487,$I$10:$I$89,"&lt;&gt;")=0,"brak danych",VLOOKUP($C487,$A$10:$J$89,9,FALSE)*$F487)))))</x:f>
      </x:c>
      <x:c r="P487" s="25" t="str">
        <x:f>IF($A487="","",IF($F487="","",IF($F487=0,0,IF(COUNTIFS($A$10:$A$89,$C487)&lt;&gt;1,"brak danych",IF(COUNTIFS($A$10:$A$89,$C487,$J$10:$J$89,"&lt;&gt;")=0,"brak danych",VLOOKUP($C487,$A$10:$J$89,10,FALSE)*$F487)))))</x:f>
      </x:c>
      <x:c r="Q487" s="18"/>
    </x:row>
    <x:row r="488" ht="25" customHeight="1">
      <x:c r="A488" s="6"/>
      <x:c r="B488" s="30"/>
      <x:c r="C488" s="5"/>
      <x:c r="D488" s="5"/>
      <x:c r="E488" s="32"/>
      <x:c r="F488" s="32"/>
      <x:c r="G488" s="24" t="str">
        <x:f>IF($A488="","",IF(AND($C488="",$E488=""),"",IF($E488="","brak danych",IF($E488=0,0,IF(COUNTIFS($A$10:$A$89,$C488)&lt;&gt;1,"brak danych",IF(COUNTIFS($A$10:$A$89,$C488,$F$10:$F$89,"&lt;&gt;")=0,"brak danych",VLOOKUP($C488,$A$10:$J$89,6,FALSE)*$E488))))))</x:f>
      </x:c>
      <x:c r="H488" s="25" t="str">
        <x:f>IF($A488="","",IF(AND($C488="",$E488=""),"",IF($E488="","brak danych",IF($E488=0,0,IF(COUNTIFS($A$10:$A$89,$C488)&lt;&gt;1,"brak danych",IF(COUNTIFS($A$10:$A$89,$C488,$G$10:$G$89,"&lt;&gt;")=0,"brak danych",VLOOKUP($C488,$A$10:$J$89,7,FALSE)*$E488))))))</x:f>
      </x:c>
      <x:c r="I488" s="25" t="str">
        <x:f>IF($A488="","",IF(AND($C488="",$E488=""),"",IF($E488="","brak danych",IF($E488=0,0,IF(COUNTIFS($A$10:$A$89,$C488)&lt;&gt;1,"brak danych",IF(COUNTIFS($A$10:$A$89,$C488,$H$10:$H$89,"&lt;&gt;")=0,"brak danych",VLOOKUP($C488,$A$10:$J$89,8,FALSE)*$E488))))))</x:f>
      </x:c>
      <x:c r="J488" s="25" t="str">
        <x:f>IF($A488="","",IF(AND($C488="",$E488=""),"",IF($E488="","brak danych",IF($E488=0,0,IF(COUNTIFS($A$10:$A$89,$C488)&lt;&gt;1,"brak danych",IF(COUNTIFS($A$10:$A$89,$C488,$I$10:$I$89,"&lt;&gt;")=0,"brak danych",VLOOKUP($C488,$A$10:$J$89,9,FALSE)*$E488))))))</x:f>
      </x:c>
      <x:c r="K488" s="25" t="str">
        <x:f>IF($A488="","",IF(AND($C488="",$E488=""),"",IF($E488="","brak danych",IF($E488=0,0,IF(COUNTIFS($A$10:$A$89,$C488)&lt;&gt;1,"brak danych",IF(COUNTIFS($A$10:$A$89,$C488,$J$10:$J$89,"&lt;&gt;")=0,"brak danych",VLOOKUP($C488,$A$10:$J$89,10,FALSE)*$E488))))))</x:f>
      </x:c>
      <x:c r="L488" s="24" t="str">
        <x:f>IF($A488="","",IF($F488="","",IF($F488=0,0,IF(COUNTIFS($A$10:$A$89,$C488)&lt;&gt;1,"brak danych",IF(COUNTIFS($A$10:$A$89,$C488,$F$10:$F$89,"&lt;&gt;")=0,"brak danych",VLOOKUP($C488,$A$10:$J$89,6,FALSE)*$F488)))))</x:f>
      </x:c>
      <x:c r="M488" s="25" t="str">
        <x:f>IF($A488="","",IF($F488="","",IF($F488=0,0,IF(COUNTIFS($A$10:$A$89,$C488)&lt;&gt;1,"brak danych",IF(COUNTIFS($A$10:$A$89,$C488,$G$10:$G$89,"&lt;&gt;")=0,"brak danych",VLOOKUP($C488,$A$10:$J$89,7,FALSE)*$F488)))))</x:f>
      </x:c>
      <x:c r="N488" s="25" t="str">
        <x:f>IF($A488="","",IF($F488="","",IF($F488=0,0,IF(COUNTIFS($A$10:$A$89,$C488)&lt;&gt;1,"brak danych",IF(COUNTIFS($A$10:$A$89,$C488,$H$10:$H$89,"&lt;&gt;")=0,"brak danych",VLOOKUP($C488,$A$10:$J$89,8,FALSE)*$F488)))))</x:f>
      </x:c>
      <x:c r="O488" s="25" t="str">
        <x:f>IF($A488="","",IF($F488="","",IF($F488=0,0,IF(COUNTIFS($A$10:$A$89,$C488)&lt;&gt;1,"brak danych",IF(COUNTIFS($A$10:$A$89,$C488,$I$10:$I$89,"&lt;&gt;")=0,"brak danych",VLOOKUP($C488,$A$10:$J$89,9,FALSE)*$F488)))))</x:f>
      </x:c>
      <x:c r="P488" s="25" t="str">
        <x:f>IF($A488="","",IF($F488="","",IF($F488=0,0,IF(COUNTIFS($A$10:$A$89,$C488)&lt;&gt;1,"brak danych",IF(COUNTIFS($A$10:$A$89,$C488,$J$10:$J$89,"&lt;&gt;")=0,"brak danych",VLOOKUP($C488,$A$10:$J$89,10,FALSE)*$F488)))))</x:f>
      </x:c>
      <x:c r="Q488" s="18"/>
    </x:row>
    <x:row r="489" ht="25" customHeight="1">
      <x:c r="A489" s="6"/>
      <x:c r="B489" s="30"/>
      <x:c r="C489" s="5"/>
      <x:c r="D489" s="5"/>
      <x:c r="E489" s="32"/>
      <x:c r="F489" s="32"/>
      <x:c r="G489" s="24" t="str">
        <x:f>IF($A489="","",IF(AND($C489="",$E489=""),"",IF($E489="","brak danych",IF($E489=0,0,IF(COUNTIFS($A$10:$A$89,$C489)&lt;&gt;1,"brak danych",IF(COUNTIFS($A$10:$A$89,$C489,$F$10:$F$89,"&lt;&gt;")=0,"brak danych",VLOOKUP($C489,$A$10:$J$89,6,FALSE)*$E489))))))</x:f>
      </x:c>
      <x:c r="H489" s="25" t="str">
        <x:f>IF($A489="","",IF(AND($C489="",$E489=""),"",IF($E489="","brak danych",IF($E489=0,0,IF(COUNTIFS($A$10:$A$89,$C489)&lt;&gt;1,"brak danych",IF(COUNTIFS($A$10:$A$89,$C489,$G$10:$G$89,"&lt;&gt;")=0,"brak danych",VLOOKUP($C489,$A$10:$J$89,7,FALSE)*$E489))))))</x:f>
      </x:c>
      <x:c r="I489" s="25" t="str">
        <x:f>IF($A489="","",IF(AND($C489="",$E489=""),"",IF($E489="","brak danych",IF($E489=0,0,IF(COUNTIFS($A$10:$A$89,$C489)&lt;&gt;1,"brak danych",IF(COUNTIFS($A$10:$A$89,$C489,$H$10:$H$89,"&lt;&gt;")=0,"brak danych",VLOOKUP($C489,$A$10:$J$89,8,FALSE)*$E489))))))</x:f>
      </x:c>
      <x:c r="J489" s="25" t="str">
        <x:f>IF($A489="","",IF(AND($C489="",$E489=""),"",IF($E489="","brak danych",IF($E489=0,0,IF(COUNTIFS($A$10:$A$89,$C489)&lt;&gt;1,"brak danych",IF(COUNTIFS($A$10:$A$89,$C489,$I$10:$I$89,"&lt;&gt;")=0,"brak danych",VLOOKUP($C489,$A$10:$J$89,9,FALSE)*$E489))))))</x:f>
      </x:c>
      <x:c r="K489" s="25" t="str">
        <x:f>IF($A489="","",IF(AND($C489="",$E489=""),"",IF($E489="","brak danych",IF($E489=0,0,IF(COUNTIFS($A$10:$A$89,$C489)&lt;&gt;1,"brak danych",IF(COUNTIFS($A$10:$A$89,$C489,$J$10:$J$89,"&lt;&gt;")=0,"brak danych",VLOOKUP($C489,$A$10:$J$89,10,FALSE)*$E489))))))</x:f>
      </x:c>
      <x:c r="L489" s="24" t="str">
        <x:f>IF($A489="","",IF($F489="","",IF($F489=0,0,IF(COUNTIFS($A$10:$A$89,$C489)&lt;&gt;1,"brak danych",IF(COUNTIFS($A$10:$A$89,$C489,$F$10:$F$89,"&lt;&gt;")=0,"brak danych",VLOOKUP($C489,$A$10:$J$89,6,FALSE)*$F489)))))</x:f>
      </x:c>
      <x:c r="M489" s="25" t="str">
        <x:f>IF($A489="","",IF($F489="","",IF($F489=0,0,IF(COUNTIFS($A$10:$A$89,$C489)&lt;&gt;1,"brak danych",IF(COUNTIFS($A$10:$A$89,$C489,$G$10:$G$89,"&lt;&gt;")=0,"brak danych",VLOOKUP($C489,$A$10:$J$89,7,FALSE)*$F489)))))</x:f>
      </x:c>
      <x:c r="N489" s="25" t="str">
        <x:f>IF($A489="","",IF($F489="","",IF($F489=0,0,IF(COUNTIFS($A$10:$A$89,$C489)&lt;&gt;1,"brak danych",IF(COUNTIFS($A$10:$A$89,$C489,$H$10:$H$89,"&lt;&gt;")=0,"brak danych",VLOOKUP($C489,$A$10:$J$89,8,FALSE)*$F489)))))</x:f>
      </x:c>
      <x:c r="O489" s="25" t="str">
        <x:f>IF($A489="","",IF($F489="","",IF($F489=0,0,IF(COUNTIFS($A$10:$A$89,$C489)&lt;&gt;1,"brak danych",IF(COUNTIFS($A$10:$A$89,$C489,$I$10:$I$89,"&lt;&gt;")=0,"brak danych",VLOOKUP($C489,$A$10:$J$89,9,FALSE)*$F489)))))</x:f>
      </x:c>
      <x:c r="P489" s="25" t="str">
        <x:f>IF($A489="","",IF($F489="","",IF($F489=0,0,IF(COUNTIFS($A$10:$A$89,$C489)&lt;&gt;1,"brak danych",IF(COUNTIFS($A$10:$A$89,$C489,$J$10:$J$89,"&lt;&gt;")=0,"brak danych",VLOOKUP($C489,$A$10:$J$89,10,FALSE)*$F489)))))</x:f>
      </x:c>
      <x:c r="Q489" s="18"/>
    </x:row>
    <x:row r="490" ht="25" customHeight="1">
      <x:c r="A490" s="6"/>
      <x:c r="B490" s="30"/>
      <x:c r="C490" s="5"/>
      <x:c r="D490" s="5"/>
      <x:c r="E490" s="32"/>
      <x:c r="F490" s="32"/>
      <x:c r="G490" s="24" t="str">
        <x:f>IF($A490="","",IF(AND($C490="",$E490=""),"",IF($E490="","brak danych",IF($E490=0,0,IF(COUNTIFS($A$10:$A$89,$C490)&lt;&gt;1,"brak danych",IF(COUNTIFS($A$10:$A$89,$C490,$F$10:$F$89,"&lt;&gt;")=0,"brak danych",VLOOKUP($C490,$A$10:$J$89,6,FALSE)*$E490))))))</x:f>
      </x:c>
      <x:c r="H490" s="25" t="str">
        <x:f>IF($A490="","",IF(AND($C490="",$E490=""),"",IF($E490="","brak danych",IF($E490=0,0,IF(COUNTIFS($A$10:$A$89,$C490)&lt;&gt;1,"brak danych",IF(COUNTIFS($A$10:$A$89,$C490,$G$10:$G$89,"&lt;&gt;")=0,"brak danych",VLOOKUP($C490,$A$10:$J$89,7,FALSE)*$E490))))))</x:f>
      </x:c>
      <x:c r="I490" s="25" t="str">
        <x:f>IF($A490="","",IF(AND($C490="",$E490=""),"",IF($E490="","brak danych",IF($E490=0,0,IF(COUNTIFS($A$10:$A$89,$C490)&lt;&gt;1,"brak danych",IF(COUNTIFS($A$10:$A$89,$C490,$H$10:$H$89,"&lt;&gt;")=0,"brak danych",VLOOKUP($C490,$A$10:$J$89,8,FALSE)*$E490))))))</x:f>
      </x:c>
      <x:c r="J490" s="25" t="str">
        <x:f>IF($A490="","",IF(AND($C490="",$E490=""),"",IF($E490="","brak danych",IF($E490=0,0,IF(COUNTIFS($A$10:$A$89,$C490)&lt;&gt;1,"brak danych",IF(COUNTIFS($A$10:$A$89,$C490,$I$10:$I$89,"&lt;&gt;")=0,"brak danych",VLOOKUP($C490,$A$10:$J$89,9,FALSE)*$E490))))))</x:f>
      </x:c>
      <x:c r="K490" s="25" t="str">
        <x:f>IF($A490="","",IF(AND($C490="",$E490=""),"",IF($E490="","brak danych",IF($E490=0,0,IF(COUNTIFS($A$10:$A$89,$C490)&lt;&gt;1,"brak danych",IF(COUNTIFS($A$10:$A$89,$C490,$J$10:$J$89,"&lt;&gt;")=0,"brak danych",VLOOKUP($C490,$A$10:$J$89,10,FALSE)*$E490))))))</x:f>
      </x:c>
      <x:c r="L490" s="24" t="str">
        <x:f>IF($A490="","",IF($F490="","",IF($F490=0,0,IF(COUNTIFS($A$10:$A$89,$C490)&lt;&gt;1,"brak danych",IF(COUNTIFS($A$10:$A$89,$C490,$F$10:$F$89,"&lt;&gt;")=0,"brak danych",VLOOKUP($C490,$A$10:$J$89,6,FALSE)*$F490)))))</x:f>
      </x:c>
      <x:c r="M490" s="25" t="str">
        <x:f>IF($A490="","",IF($F490="","",IF($F490=0,0,IF(COUNTIFS($A$10:$A$89,$C490)&lt;&gt;1,"brak danych",IF(COUNTIFS($A$10:$A$89,$C490,$G$10:$G$89,"&lt;&gt;")=0,"brak danych",VLOOKUP($C490,$A$10:$J$89,7,FALSE)*$F490)))))</x:f>
      </x:c>
      <x:c r="N490" s="25" t="str">
        <x:f>IF($A490="","",IF($F490="","",IF($F490=0,0,IF(COUNTIFS($A$10:$A$89,$C490)&lt;&gt;1,"brak danych",IF(COUNTIFS($A$10:$A$89,$C490,$H$10:$H$89,"&lt;&gt;")=0,"brak danych",VLOOKUP($C490,$A$10:$J$89,8,FALSE)*$F490)))))</x:f>
      </x:c>
      <x:c r="O490" s="25" t="str">
        <x:f>IF($A490="","",IF($F490="","",IF($F490=0,0,IF(COUNTIFS($A$10:$A$89,$C490)&lt;&gt;1,"brak danych",IF(COUNTIFS($A$10:$A$89,$C490,$I$10:$I$89,"&lt;&gt;")=0,"brak danych",VLOOKUP($C490,$A$10:$J$89,9,FALSE)*$F490)))))</x:f>
      </x:c>
      <x:c r="P490" s="25" t="str">
        <x:f>IF($A490="","",IF($F490="","",IF($F490=0,0,IF(COUNTIFS($A$10:$A$89,$C490)&lt;&gt;1,"brak danych",IF(COUNTIFS($A$10:$A$89,$C490,$J$10:$J$89,"&lt;&gt;")=0,"brak danych",VLOOKUP($C490,$A$10:$J$89,10,FALSE)*$F490)))))</x:f>
      </x:c>
      <x:c r="Q490" s="18"/>
    </x:row>
    <x:row r="491" ht="25" customHeight="1">
      <x:c r="A491" s="6"/>
      <x:c r="B491" s="30"/>
      <x:c r="C491" s="5"/>
      <x:c r="D491" s="5"/>
      <x:c r="E491" s="32"/>
      <x:c r="F491" s="32"/>
      <x:c r="G491" s="24" t="str">
        <x:f>IF($A491="","",IF(AND($C491="",$E491=""),"",IF($E491="","brak danych",IF($E491=0,0,IF(COUNTIFS($A$10:$A$89,$C491)&lt;&gt;1,"brak danych",IF(COUNTIFS($A$10:$A$89,$C491,$F$10:$F$89,"&lt;&gt;")=0,"brak danych",VLOOKUP($C491,$A$10:$J$89,6,FALSE)*$E491))))))</x:f>
      </x:c>
      <x:c r="H491" s="25" t="str">
        <x:f>IF($A491="","",IF(AND($C491="",$E491=""),"",IF($E491="","brak danych",IF($E491=0,0,IF(COUNTIFS($A$10:$A$89,$C491)&lt;&gt;1,"brak danych",IF(COUNTIFS($A$10:$A$89,$C491,$G$10:$G$89,"&lt;&gt;")=0,"brak danych",VLOOKUP($C491,$A$10:$J$89,7,FALSE)*$E491))))))</x:f>
      </x:c>
      <x:c r="I491" s="25" t="str">
        <x:f>IF($A491="","",IF(AND($C491="",$E491=""),"",IF($E491="","brak danych",IF($E491=0,0,IF(COUNTIFS($A$10:$A$89,$C491)&lt;&gt;1,"brak danych",IF(COUNTIFS($A$10:$A$89,$C491,$H$10:$H$89,"&lt;&gt;")=0,"brak danych",VLOOKUP($C491,$A$10:$J$89,8,FALSE)*$E491))))))</x:f>
      </x:c>
      <x:c r="J491" s="25" t="str">
        <x:f>IF($A491="","",IF(AND($C491="",$E491=""),"",IF($E491="","brak danych",IF($E491=0,0,IF(COUNTIFS($A$10:$A$89,$C491)&lt;&gt;1,"brak danych",IF(COUNTIFS($A$10:$A$89,$C491,$I$10:$I$89,"&lt;&gt;")=0,"brak danych",VLOOKUP($C491,$A$10:$J$89,9,FALSE)*$E491))))))</x:f>
      </x:c>
      <x:c r="K491" s="25" t="str">
        <x:f>IF($A491="","",IF(AND($C491="",$E491=""),"",IF($E491="","brak danych",IF($E491=0,0,IF(COUNTIFS($A$10:$A$89,$C491)&lt;&gt;1,"brak danych",IF(COUNTIFS($A$10:$A$89,$C491,$J$10:$J$89,"&lt;&gt;")=0,"brak danych",VLOOKUP($C491,$A$10:$J$89,10,FALSE)*$E491))))))</x:f>
      </x:c>
      <x:c r="L491" s="24" t="str">
        <x:f>IF($A491="","",IF($F491="","",IF($F491=0,0,IF(COUNTIFS($A$10:$A$89,$C491)&lt;&gt;1,"brak danych",IF(COUNTIFS($A$10:$A$89,$C491,$F$10:$F$89,"&lt;&gt;")=0,"brak danych",VLOOKUP($C491,$A$10:$J$89,6,FALSE)*$F491)))))</x:f>
      </x:c>
      <x:c r="M491" s="25" t="str">
        <x:f>IF($A491="","",IF($F491="","",IF($F491=0,0,IF(COUNTIFS($A$10:$A$89,$C491)&lt;&gt;1,"brak danych",IF(COUNTIFS($A$10:$A$89,$C491,$G$10:$G$89,"&lt;&gt;")=0,"brak danych",VLOOKUP($C491,$A$10:$J$89,7,FALSE)*$F491)))))</x:f>
      </x:c>
      <x:c r="N491" s="25" t="str">
        <x:f>IF($A491="","",IF($F491="","",IF($F491=0,0,IF(COUNTIFS($A$10:$A$89,$C491)&lt;&gt;1,"brak danych",IF(COUNTIFS($A$10:$A$89,$C491,$H$10:$H$89,"&lt;&gt;")=0,"brak danych",VLOOKUP($C491,$A$10:$J$89,8,FALSE)*$F491)))))</x:f>
      </x:c>
      <x:c r="O491" s="25" t="str">
        <x:f>IF($A491="","",IF($F491="","",IF($F491=0,0,IF(COUNTIFS($A$10:$A$89,$C491)&lt;&gt;1,"brak danych",IF(COUNTIFS($A$10:$A$89,$C491,$I$10:$I$89,"&lt;&gt;")=0,"brak danych",VLOOKUP($C491,$A$10:$J$89,9,FALSE)*$F491)))))</x:f>
      </x:c>
      <x:c r="P491" s="25" t="str">
        <x:f>IF($A491="","",IF($F491="","",IF($F491=0,0,IF(COUNTIFS($A$10:$A$89,$C491)&lt;&gt;1,"brak danych",IF(COUNTIFS($A$10:$A$89,$C491,$J$10:$J$89,"&lt;&gt;")=0,"brak danych",VLOOKUP($C491,$A$10:$J$89,10,FALSE)*$F491)))))</x:f>
      </x:c>
      <x:c r="Q491" s="18"/>
    </x:row>
    <x:row r="492" ht="25" customHeight="1">
      <x:c r="A492" s="6"/>
      <x:c r="B492" s="30"/>
      <x:c r="C492" s="5"/>
      <x:c r="D492" s="5"/>
      <x:c r="E492" s="32"/>
      <x:c r="F492" s="32"/>
      <x:c r="G492" s="24" t="str">
        <x:f>IF($A492="","",IF(AND($C492="",$E492=""),"",IF($E492="","brak danych",IF($E492=0,0,IF(COUNTIFS($A$10:$A$89,$C492)&lt;&gt;1,"brak danych",IF(COUNTIFS($A$10:$A$89,$C492,$F$10:$F$89,"&lt;&gt;")=0,"brak danych",VLOOKUP($C492,$A$10:$J$89,6,FALSE)*$E492))))))</x:f>
      </x:c>
      <x:c r="H492" s="25" t="str">
        <x:f>IF($A492="","",IF(AND($C492="",$E492=""),"",IF($E492="","brak danych",IF($E492=0,0,IF(COUNTIFS($A$10:$A$89,$C492)&lt;&gt;1,"brak danych",IF(COUNTIFS($A$10:$A$89,$C492,$G$10:$G$89,"&lt;&gt;")=0,"brak danych",VLOOKUP($C492,$A$10:$J$89,7,FALSE)*$E492))))))</x:f>
      </x:c>
      <x:c r="I492" s="25" t="str">
        <x:f>IF($A492="","",IF(AND($C492="",$E492=""),"",IF($E492="","brak danych",IF($E492=0,0,IF(COUNTIFS($A$10:$A$89,$C492)&lt;&gt;1,"brak danych",IF(COUNTIFS($A$10:$A$89,$C492,$H$10:$H$89,"&lt;&gt;")=0,"brak danych",VLOOKUP($C492,$A$10:$J$89,8,FALSE)*$E492))))))</x:f>
      </x:c>
      <x:c r="J492" s="25" t="str">
        <x:f>IF($A492="","",IF(AND($C492="",$E492=""),"",IF($E492="","brak danych",IF($E492=0,0,IF(COUNTIFS($A$10:$A$89,$C492)&lt;&gt;1,"brak danych",IF(COUNTIFS($A$10:$A$89,$C492,$I$10:$I$89,"&lt;&gt;")=0,"brak danych",VLOOKUP($C492,$A$10:$J$89,9,FALSE)*$E492))))))</x:f>
      </x:c>
      <x:c r="K492" s="25" t="str">
        <x:f>IF($A492="","",IF(AND($C492="",$E492=""),"",IF($E492="","brak danych",IF($E492=0,0,IF(COUNTIFS($A$10:$A$89,$C492)&lt;&gt;1,"brak danych",IF(COUNTIFS($A$10:$A$89,$C492,$J$10:$J$89,"&lt;&gt;")=0,"brak danych",VLOOKUP($C492,$A$10:$J$89,10,FALSE)*$E492))))))</x:f>
      </x:c>
      <x:c r="L492" s="24" t="str">
        <x:f>IF($A492="","",IF($F492="","",IF($F492=0,0,IF(COUNTIFS($A$10:$A$89,$C492)&lt;&gt;1,"brak danych",IF(COUNTIFS($A$10:$A$89,$C492,$F$10:$F$89,"&lt;&gt;")=0,"brak danych",VLOOKUP($C492,$A$10:$J$89,6,FALSE)*$F492)))))</x:f>
      </x:c>
      <x:c r="M492" s="25" t="str">
        <x:f>IF($A492="","",IF($F492="","",IF($F492=0,0,IF(COUNTIFS($A$10:$A$89,$C492)&lt;&gt;1,"brak danych",IF(COUNTIFS($A$10:$A$89,$C492,$G$10:$G$89,"&lt;&gt;")=0,"brak danych",VLOOKUP($C492,$A$10:$J$89,7,FALSE)*$F492)))))</x:f>
      </x:c>
      <x:c r="N492" s="25" t="str">
        <x:f>IF($A492="","",IF($F492="","",IF($F492=0,0,IF(COUNTIFS($A$10:$A$89,$C492)&lt;&gt;1,"brak danych",IF(COUNTIFS($A$10:$A$89,$C492,$H$10:$H$89,"&lt;&gt;")=0,"brak danych",VLOOKUP($C492,$A$10:$J$89,8,FALSE)*$F492)))))</x:f>
      </x:c>
      <x:c r="O492" s="25" t="str">
        <x:f>IF($A492="","",IF($F492="","",IF($F492=0,0,IF(COUNTIFS($A$10:$A$89,$C492)&lt;&gt;1,"brak danych",IF(COUNTIFS($A$10:$A$89,$C492,$I$10:$I$89,"&lt;&gt;")=0,"brak danych",VLOOKUP($C492,$A$10:$J$89,9,FALSE)*$F492)))))</x:f>
      </x:c>
      <x:c r="P492" s="25" t="str">
        <x:f>IF($A492="","",IF($F492="","",IF($F492=0,0,IF(COUNTIFS($A$10:$A$89,$C492)&lt;&gt;1,"brak danych",IF(COUNTIFS($A$10:$A$89,$C492,$J$10:$J$89,"&lt;&gt;")=0,"brak danych",VLOOKUP($C492,$A$10:$J$89,10,FALSE)*$F492)))))</x:f>
      </x:c>
      <x:c r="Q492" s="18"/>
    </x:row>
    <x:row r="493" ht="25" customHeight="1">
      <x:c r="A493" s="6"/>
      <x:c r="B493" s="30"/>
      <x:c r="C493" s="5"/>
      <x:c r="D493" s="5"/>
      <x:c r="E493" s="32"/>
      <x:c r="F493" s="32"/>
      <x:c r="G493" s="24" t="str">
        <x:f>IF($A493="","",IF(AND($C493="",$E493=""),"",IF($E493="","brak danych",IF($E493=0,0,IF(COUNTIFS($A$10:$A$89,$C493)&lt;&gt;1,"brak danych",IF(COUNTIFS($A$10:$A$89,$C493,$F$10:$F$89,"&lt;&gt;")=0,"brak danych",VLOOKUP($C493,$A$10:$J$89,6,FALSE)*$E493))))))</x:f>
      </x:c>
      <x:c r="H493" s="25" t="str">
        <x:f>IF($A493="","",IF(AND($C493="",$E493=""),"",IF($E493="","brak danych",IF($E493=0,0,IF(COUNTIFS($A$10:$A$89,$C493)&lt;&gt;1,"brak danych",IF(COUNTIFS($A$10:$A$89,$C493,$G$10:$G$89,"&lt;&gt;")=0,"brak danych",VLOOKUP($C493,$A$10:$J$89,7,FALSE)*$E493))))))</x:f>
      </x:c>
      <x:c r="I493" s="25" t="str">
        <x:f>IF($A493="","",IF(AND($C493="",$E493=""),"",IF($E493="","brak danych",IF($E493=0,0,IF(COUNTIFS($A$10:$A$89,$C493)&lt;&gt;1,"brak danych",IF(COUNTIFS($A$10:$A$89,$C493,$H$10:$H$89,"&lt;&gt;")=0,"brak danych",VLOOKUP($C493,$A$10:$J$89,8,FALSE)*$E493))))))</x:f>
      </x:c>
      <x:c r="J493" s="25" t="str">
        <x:f>IF($A493="","",IF(AND($C493="",$E493=""),"",IF($E493="","brak danych",IF($E493=0,0,IF(COUNTIFS($A$10:$A$89,$C493)&lt;&gt;1,"brak danych",IF(COUNTIFS($A$10:$A$89,$C493,$I$10:$I$89,"&lt;&gt;")=0,"brak danych",VLOOKUP($C493,$A$10:$J$89,9,FALSE)*$E493))))))</x:f>
      </x:c>
      <x:c r="K493" s="25" t="str">
        <x:f>IF($A493="","",IF(AND($C493="",$E493=""),"",IF($E493="","brak danych",IF($E493=0,0,IF(COUNTIFS($A$10:$A$89,$C493)&lt;&gt;1,"brak danych",IF(COUNTIFS($A$10:$A$89,$C493,$J$10:$J$89,"&lt;&gt;")=0,"brak danych",VLOOKUP($C493,$A$10:$J$89,10,FALSE)*$E493))))))</x:f>
      </x:c>
      <x:c r="L493" s="24" t="str">
        <x:f>IF($A493="","",IF($F493="","",IF($F493=0,0,IF(COUNTIFS($A$10:$A$89,$C493)&lt;&gt;1,"brak danych",IF(COUNTIFS($A$10:$A$89,$C493,$F$10:$F$89,"&lt;&gt;")=0,"brak danych",VLOOKUP($C493,$A$10:$J$89,6,FALSE)*$F493)))))</x:f>
      </x:c>
      <x:c r="M493" s="25" t="str">
        <x:f>IF($A493="","",IF($F493="","",IF($F493=0,0,IF(COUNTIFS($A$10:$A$89,$C493)&lt;&gt;1,"brak danych",IF(COUNTIFS($A$10:$A$89,$C493,$G$10:$G$89,"&lt;&gt;")=0,"brak danych",VLOOKUP($C493,$A$10:$J$89,7,FALSE)*$F493)))))</x:f>
      </x:c>
      <x:c r="N493" s="25" t="str">
        <x:f>IF($A493="","",IF($F493="","",IF($F493=0,0,IF(COUNTIFS($A$10:$A$89,$C493)&lt;&gt;1,"brak danych",IF(COUNTIFS($A$10:$A$89,$C493,$H$10:$H$89,"&lt;&gt;")=0,"brak danych",VLOOKUP($C493,$A$10:$J$89,8,FALSE)*$F493)))))</x:f>
      </x:c>
      <x:c r="O493" s="25" t="str">
        <x:f>IF($A493="","",IF($F493="","",IF($F493=0,0,IF(COUNTIFS($A$10:$A$89,$C493)&lt;&gt;1,"brak danych",IF(COUNTIFS($A$10:$A$89,$C493,$I$10:$I$89,"&lt;&gt;")=0,"brak danych",VLOOKUP($C493,$A$10:$J$89,9,FALSE)*$F493)))))</x:f>
      </x:c>
      <x:c r="P493" s="25" t="str">
        <x:f>IF($A493="","",IF($F493="","",IF($F493=0,0,IF(COUNTIFS($A$10:$A$89,$C493)&lt;&gt;1,"brak danych",IF(COUNTIFS($A$10:$A$89,$C493,$J$10:$J$89,"&lt;&gt;")=0,"brak danych",VLOOKUP($C493,$A$10:$J$89,10,FALSE)*$F493)))))</x:f>
      </x:c>
      <x:c r="Q493" s="18"/>
    </x:row>
    <x:row r="494" ht="25" customHeight="1">
      <x:c r="A494" s="6"/>
      <x:c r="B494" s="30"/>
      <x:c r="C494" s="5"/>
      <x:c r="D494" s="5"/>
      <x:c r="E494" s="32"/>
      <x:c r="F494" s="32"/>
      <x:c r="G494" s="24" t="str">
        <x:f>IF($A494="","",IF(AND($C494="",$E494=""),"",IF($E494="","brak danych",IF($E494=0,0,IF(COUNTIFS($A$10:$A$89,$C494)&lt;&gt;1,"brak danych",IF(COUNTIFS($A$10:$A$89,$C494,$F$10:$F$89,"&lt;&gt;")=0,"brak danych",VLOOKUP($C494,$A$10:$J$89,6,FALSE)*$E494))))))</x:f>
      </x:c>
      <x:c r="H494" s="25" t="str">
        <x:f>IF($A494="","",IF(AND($C494="",$E494=""),"",IF($E494="","brak danych",IF($E494=0,0,IF(COUNTIFS($A$10:$A$89,$C494)&lt;&gt;1,"brak danych",IF(COUNTIFS($A$10:$A$89,$C494,$G$10:$G$89,"&lt;&gt;")=0,"brak danych",VLOOKUP($C494,$A$10:$J$89,7,FALSE)*$E494))))))</x:f>
      </x:c>
      <x:c r="I494" s="25" t="str">
        <x:f>IF($A494="","",IF(AND($C494="",$E494=""),"",IF($E494="","brak danych",IF($E494=0,0,IF(COUNTIFS($A$10:$A$89,$C494)&lt;&gt;1,"brak danych",IF(COUNTIFS($A$10:$A$89,$C494,$H$10:$H$89,"&lt;&gt;")=0,"brak danych",VLOOKUP($C494,$A$10:$J$89,8,FALSE)*$E494))))))</x:f>
      </x:c>
      <x:c r="J494" s="25" t="str">
        <x:f>IF($A494="","",IF(AND($C494="",$E494=""),"",IF($E494="","brak danych",IF($E494=0,0,IF(COUNTIFS($A$10:$A$89,$C494)&lt;&gt;1,"brak danych",IF(COUNTIFS($A$10:$A$89,$C494,$I$10:$I$89,"&lt;&gt;")=0,"brak danych",VLOOKUP($C494,$A$10:$J$89,9,FALSE)*$E494))))))</x:f>
      </x:c>
      <x:c r="K494" s="25" t="str">
        <x:f>IF($A494="","",IF(AND($C494="",$E494=""),"",IF($E494="","brak danych",IF($E494=0,0,IF(COUNTIFS($A$10:$A$89,$C494)&lt;&gt;1,"brak danych",IF(COUNTIFS($A$10:$A$89,$C494,$J$10:$J$89,"&lt;&gt;")=0,"brak danych",VLOOKUP($C494,$A$10:$J$89,10,FALSE)*$E494))))))</x:f>
      </x:c>
      <x:c r="L494" s="24" t="str">
        <x:f>IF($A494="","",IF($F494="","",IF($F494=0,0,IF(COUNTIFS($A$10:$A$89,$C494)&lt;&gt;1,"brak danych",IF(COUNTIFS($A$10:$A$89,$C494,$F$10:$F$89,"&lt;&gt;")=0,"brak danych",VLOOKUP($C494,$A$10:$J$89,6,FALSE)*$F494)))))</x:f>
      </x:c>
      <x:c r="M494" s="25" t="str">
        <x:f>IF($A494="","",IF($F494="","",IF($F494=0,0,IF(COUNTIFS($A$10:$A$89,$C494)&lt;&gt;1,"brak danych",IF(COUNTIFS($A$10:$A$89,$C494,$G$10:$G$89,"&lt;&gt;")=0,"brak danych",VLOOKUP($C494,$A$10:$J$89,7,FALSE)*$F494)))))</x:f>
      </x:c>
      <x:c r="N494" s="25" t="str">
        <x:f>IF($A494="","",IF($F494="","",IF($F494=0,0,IF(COUNTIFS($A$10:$A$89,$C494)&lt;&gt;1,"brak danych",IF(COUNTIFS($A$10:$A$89,$C494,$H$10:$H$89,"&lt;&gt;")=0,"brak danych",VLOOKUP($C494,$A$10:$J$89,8,FALSE)*$F494)))))</x:f>
      </x:c>
      <x:c r="O494" s="25" t="str">
        <x:f>IF($A494="","",IF($F494="","",IF($F494=0,0,IF(COUNTIFS($A$10:$A$89,$C494)&lt;&gt;1,"brak danych",IF(COUNTIFS($A$10:$A$89,$C494,$I$10:$I$89,"&lt;&gt;")=0,"brak danych",VLOOKUP($C494,$A$10:$J$89,9,FALSE)*$F494)))))</x:f>
      </x:c>
      <x:c r="P494" s="25" t="str">
        <x:f>IF($A494="","",IF($F494="","",IF($F494=0,0,IF(COUNTIFS($A$10:$A$89,$C494)&lt;&gt;1,"brak danych",IF(COUNTIFS($A$10:$A$89,$C494,$J$10:$J$89,"&lt;&gt;")=0,"brak danych",VLOOKUP($C494,$A$10:$J$89,10,FALSE)*$F494)))))</x:f>
      </x:c>
      <x:c r="Q494" s="18"/>
    </x:row>
    <x:row r="495" ht="25" customHeight="1">
      <x:c r="A495" s="6"/>
      <x:c r="B495" s="30"/>
      <x:c r="C495" s="5"/>
      <x:c r="D495" s="5"/>
      <x:c r="E495" s="32"/>
      <x:c r="F495" s="32"/>
      <x:c r="G495" s="24" t="str">
        <x:f>IF($A495="","",IF(AND($C495="",$E495=""),"",IF($E495="","brak danych",IF($E495=0,0,IF(COUNTIFS($A$10:$A$89,$C495)&lt;&gt;1,"brak danych",IF(COUNTIFS($A$10:$A$89,$C495,$F$10:$F$89,"&lt;&gt;")=0,"brak danych",VLOOKUP($C495,$A$10:$J$89,6,FALSE)*$E495))))))</x:f>
      </x:c>
      <x:c r="H495" s="25" t="str">
        <x:f>IF($A495="","",IF(AND($C495="",$E495=""),"",IF($E495="","brak danych",IF($E495=0,0,IF(COUNTIFS($A$10:$A$89,$C495)&lt;&gt;1,"brak danych",IF(COUNTIFS($A$10:$A$89,$C495,$G$10:$G$89,"&lt;&gt;")=0,"brak danych",VLOOKUP($C495,$A$10:$J$89,7,FALSE)*$E495))))))</x:f>
      </x:c>
      <x:c r="I495" s="25" t="str">
        <x:f>IF($A495="","",IF(AND($C495="",$E495=""),"",IF($E495="","brak danych",IF($E495=0,0,IF(COUNTIFS($A$10:$A$89,$C495)&lt;&gt;1,"brak danych",IF(COUNTIFS($A$10:$A$89,$C495,$H$10:$H$89,"&lt;&gt;")=0,"brak danych",VLOOKUP($C495,$A$10:$J$89,8,FALSE)*$E495))))))</x:f>
      </x:c>
      <x:c r="J495" s="25" t="str">
        <x:f>IF($A495="","",IF(AND($C495="",$E495=""),"",IF($E495="","brak danych",IF($E495=0,0,IF(COUNTIFS($A$10:$A$89,$C495)&lt;&gt;1,"brak danych",IF(COUNTIFS($A$10:$A$89,$C495,$I$10:$I$89,"&lt;&gt;")=0,"brak danych",VLOOKUP($C495,$A$10:$J$89,9,FALSE)*$E495))))))</x:f>
      </x:c>
      <x:c r="K495" s="25" t="str">
        <x:f>IF($A495="","",IF(AND($C495="",$E495=""),"",IF($E495="","brak danych",IF($E495=0,0,IF(COUNTIFS($A$10:$A$89,$C495)&lt;&gt;1,"brak danych",IF(COUNTIFS($A$10:$A$89,$C495,$J$10:$J$89,"&lt;&gt;")=0,"brak danych",VLOOKUP($C495,$A$10:$J$89,10,FALSE)*$E495))))))</x:f>
      </x:c>
      <x:c r="L495" s="24" t="str">
        <x:f>IF($A495="","",IF($F495="","",IF($F495=0,0,IF(COUNTIFS($A$10:$A$89,$C495)&lt;&gt;1,"brak danych",IF(COUNTIFS($A$10:$A$89,$C495,$F$10:$F$89,"&lt;&gt;")=0,"brak danych",VLOOKUP($C495,$A$10:$J$89,6,FALSE)*$F495)))))</x:f>
      </x:c>
      <x:c r="M495" s="25" t="str">
        <x:f>IF($A495="","",IF($F495="","",IF($F495=0,0,IF(COUNTIFS($A$10:$A$89,$C495)&lt;&gt;1,"brak danych",IF(COUNTIFS($A$10:$A$89,$C495,$G$10:$G$89,"&lt;&gt;")=0,"brak danych",VLOOKUP($C495,$A$10:$J$89,7,FALSE)*$F495)))))</x:f>
      </x:c>
      <x:c r="N495" s="25" t="str">
        <x:f>IF($A495="","",IF($F495="","",IF($F495=0,0,IF(COUNTIFS($A$10:$A$89,$C495)&lt;&gt;1,"brak danych",IF(COUNTIFS($A$10:$A$89,$C495,$H$10:$H$89,"&lt;&gt;")=0,"brak danych",VLOOKUP($C495,$A$10:$J$89,8,FALSE)*$F495)))))</x:f>
      </x:c>
      <x:c r="O495" s="25" t="str">
        <x:f>IF($A495="","",IF($F495="","",IF($F495=0,0,IF(COUNTIFS($A$10:$A$89,$C495)&lt;&gt;1,"brak danych",IF(COUNTIFS($A$10:$A$89,$C495,$I$10:$I$89,"&lt;&gt;")=0,"brak danych",VLOOKUP($C495,$A$10:$J$89,9,FALSE)*$F495)))))</x:f>
      </x:c>
      <x:c r="P495" s="25" t="str">
        <x:f>IF($A495="","",IF($F495="","",IF($F495=0,0,IF(COUNTIFS($A$10:$A$89,$C495)&lt;&gt;1,"brak danych",IF(COUNTIFS($A$10:$A$89,$C495,$J$10:$J$89,"&lt;&gt;")=0,"brak danych",VLOOKUP($C495,$A$10:$J$89,10,FALSE)*$F495)))))</x:f>
      </x:c>
      <x:c r="Q495" s="18"/>
    </x:row>
    <x:row r="496" ht="25" customHeight="1">
      <x:c r="A496" s="6"/>
      <x:c r="B496" s="30"/>
      <x:c r="C496" s="5"/>
      <x:c r="D496" s="5"/>
      <x:c r="E496" s="32"/>
      <x:c r="F496" s="32"/>
      <x:c r="G496" s="24" t="str">
        <x:f>IF($A496="","",IF(AND($C496="",$E496=""),"",IF($E496="","brak danych",IF($E496=0,0,IF(COUNTIFS($A$10:$A$89,$C496)&lt;&gt;1,"brak danych",IF(COUNTIFS($A$10:$A$89,$C496,$F$10:$F$89,"&lt;&gt;")=0,"brak danych",VLOOKUP($C496,$A$10:$J$89,6,FALSE)*$E496))))))</x:f>
      </x:c>
      <x:c r="H496" s="25" t="str">
        <x:f>IF($A496="","",IF(AND($C496="",$E496=""),"",IF($E496="","brak danych",IF($E496=0,0,IF(COUNTIFS($A$10:$A$89,$C496)&lt;&gt;1,"brak danych",IF(COUNTIFS($A$10:$A$89,$C496,$G$10:$G$89,"&lt;&gt;")=0,"brak danych",VLOOKUP($C496,$A$10:$J$89,7,FALSE)*$E496))))))</x:f>
      </x:c>
      <x:c r="I496" s="25" t="str">
        <x:f>IF($A496="","",IF(AND($C496="",$E496=""),"",IF($E496="","brak danych",IF($E496=0,0,IF(COUNTIFS($A$10:$A$89,$C496)&lt;&gt;1,"brak danych",IF(COUNTIFS($A$10:$A$89,$C496,$H$10:$H$89,"&lt;&gt;")=0,"brak danych",VLOOKUP($C496,$A$10:$J$89,8,FALSE)*$E496))))))</x:f>
      </x:c>
      <x:c r="J496" s="25" t="str">
        <x:f>IF($A496="","",IF(AND($C496="",$E496=""),"",IF($E496="","brak danych",IF($E496=0,0,IF(COUNTIFS($A$10:$A$89,$C496)&lt;&gt;1,"brak danych",IF(COUNTIFS($A$10:$A$89,$C496,$I$10:$I$89,"&lt;&gt;")=0,"brak danych",VLOOKUP($C496,$A$10:$J$89,9,FALSE)*$E496))))))</x:f>
      </x:c>
      <x:c r="K496" s="25" t="str">
        <x:f>IF($A496="","",IF(AND($C496="",$E496=""),"",IF($E496="","brak danych",IF($E496=0,0,IF(COUNTIFS($A$10:$A$89,$C496)&lt;&gt;1,"brak danych",IF(COUNTIFS($A$10:$A$89,$C496,$J$10:$J$89,"&lt;&gt;")=0,"brak danych",VLOOKUP($C496,$A$10:$J$89,10,FALSE)*$E496))))))</x:f>
      </x:c>
      <x:c r="L496" s="24" t="str">
        <x:f>IF($A496="","",IF($F496="","",IF($F496=0,0,IF(COUNTIFS($A$10:$A$89,$C496)&lt;&gt;1,"brak danych",IF(COUNTIFS($A$10:$A$89,$C496,$F$10:$F$89,"&lt;&gt;")=0,"brak danych",VLOOKUP($C496,$A$10:$J$89,6,FALSE)*$F496)))))</x:f>
      </x:c>
      <x:c r="M496" s="25" t="str">
        <x:f>IF($A496="","",IF($F496="","",IF($F496=0,0,IF(COUNTIFS($A$10:$A$89,$C496)&lt;&gt;1,"brak danych",IF(COUNTIFS($A$10:$A$89,$C496,$G$10:$G$89,"&lt;&gt;")=0,"brak danych",VLOOKUP($C496,$A$10:$J$89,7,FALSE)*$F496)))))</x:f>
      </x:c>
      <x:c r="N496" s="25" t="str">
        <x:f>IF($A496="","",IF($F496="","",IF($F496=0,0,IF(COUNTIFS($A$10:$A$89,$C496)&lt;&gt;1,"brak danych",IF(COUNTIFS($A$10:$A$89,$C496,$H$10:$H$89,"&lt;&gt;")=0,"brak danych",VLOOKUP($C496,$A$10:$J$89,8,FALSE)*$F496)))))</x:f>
      </x:c>
      <x:c r="O496" s="25" t="str">
        <x:f>IF($A496="","",IF($F496="","",IF($F496=0,0,IF(COUNTIFS($A$10:$A$89,$C496)&lt;&gt;1,"brak danych",IF(COUNTIFS($A$10:$A$89,$C496,$I$10:$I$89,"&lt;&gt;")=0,"brak danych",VLOOKUP($C496,$A$10:$J$89,9,FALSE)*$F496)))))</x:f>
      </x:c>
      <x:c r="P496" s="25" t="str">
        <x:f>IF($A496="","",IF($F496="","",IF($F496=0,0,IF(COUNTIFS($A$10:$A$89,$C496)&lt;&gt;1,"brak danych",IF(COUNTIFS($A$10:$A$89,$C496,$J$10:$J$89,"&lt;&gt;")=0,"brak danych",VLOOKUP($C496,$A$10:$J$89,10,FALSE)*$F496)))))</x:f>
      </x:c>
      <x:c r="Q496" s="18"/>
    </x:row>
    <x:row r="497" ht="25" customHeight="1">
      <x:c r="A497" s="6"/>
      <x:c r="B497" s="30"/>
      <x:c r="C497" s="5"/>
      <x:c r="D497" s="5"/>
      <x:c r="E497" s="32"/>
      <x:c r="F497" s="32"/>
      <x:c r="G497" s="24" t="str">
        <x:f>IF($A497="","",IF(AND($C497="",$E497=""),"",IF($E497="","brak danych",IF($E497=0,0,IF(COUNTIFS($A$10:$A$89,$C497)&lt;&gt;1,"brak danych",IF(COUNTIFS($A$10:$A$89,$C497,$F$10:$F$89,"&lt;&gt;")=0,"brak danych",VLOOKUP($C497,$A$10:$J$89,6,FALSE)*$E497))))))</x:f>
      </x:c>
      <x:c r="H497" s="25" t="str">
        <x:f>IF($A497="","",IF(AND($C497="",$E497=""),"",IF($E497="","brak danych",IF($E497=0,0,IF(COUNTIFS($A$10:$A$89,$C497)&lt;&gt;1,"brak danych",IF(COUNTIFS($A$10:$A$89,$C497,$G$10:$G$89,"&lt;&gt;")=0,"brak danych",VLOOKUP($C497,$A$10:$J$89,7,FALSE)*$E497))))))</x:f>
      </x:c>
      <x:c r="I497" s="25" t="str">
        <x:f>IF($A497="","",IF(AND($C497="",$E497=""),"",IF($E497="","brak danych",IF($E497=0,0,IF(COUNTIFS($A$10:$A$89,$C497)&lt;&gt;1,"brak danych",IF(COUNTIFS($A$10:$A$89,$C497,$H$10:$H$89,"&lt;&gt;")=0,"brak danych",VLOOKUP($C497,$A$10:$J$89,8,FALSE)*$E497))))))</x:f>
      </x:c>
      <x:c r="J497" s="25" t="str">
        <x:f>IF($A497="","",IF(AND($C497="",$E497=""),"",IF($E497="","brak danych",IF($E497=0,0,IF(COUNTIFS($A$10:$A$89,$C497)&lt;&gt;1,"brak danych",IF(COUNTIFS($A$10:$A$89,$C497,$I$10:$I$89,"&lt;&gt;")=0,"brak danych",VLOOKUP($C497,$A$10:$J$89,9,FALSE)*$E497))))))</x:f>
      </x:c>
      <x:c r="K497" s="25" t="str">
        <x:f>IF($A497="","",IF(AND($C497="",$E497=""),"",IF($E497="","brak danych",IF($E497=0,0,IF(COUNTIFS($A$10:$A$89,$C497)&lt;&gt;1,"brak danych",IF(COUNTIFS($A$10:$A$89,$C497,$J$10:$J$89,"&lt;&gt;")=0,"brak danych",VLOOKUP($C497,$A$10:$J$89,10,FALSE)*$E497))))))</x:f>
      </x:c>
      <x:c r="L497" s="24" t="str">
        <x:f>IF($A497="","",IF($F497="","",IF($F497=0,0,IF(COUNTIFS($A$10:$A$89,$C497)&lt;&gt;1,"brak danych",IF(COUNTIFS($A$10:$A$89,$C497,$F$10:$F$89,"&lt;&gt;")=0,"brak danych",VLOOKUP($C497,$A$10:$J$89,6,FALSE)*$F497)))))</x:f>
      </x:c>
      <x:c r="M497" s="25" t="str">
        <x:f>IF($A497="","",IF($F497="","",IF($F497=0,0,IF(COUNTIFS($A$10:$A$89,$C497)&lt;&gt;1,"brak danych",IF(COUNTIFS($A$10:$A$89,$C497,$G$10:$G$89,"&lt;&gt;")=0,"brak danych",VLOOKUP($C497,$A$10:$J$89,7,FALSE)*$F497)))))</x:f>
      </x:c>
      <x:c r="N497" s="25" t="str">
        <x:f>IF($A497="","",IF($F497="","",IF($F497=0,0,IF(COUNTIFS($A$10:$A$89,$C497)&lt;&gt;1,"brak danych",IF(COUNTIFS($A$10:$A$89,$C497,$H$10:$H$89,"&lt;&gt;")=0,"brak danych",VLOOKUP($C497,$A$10:$J$89,8,FALSE)*$F497)))))</x:f>
      </x:c>
      <x:c r="O497" s="25" t="str">
        <x:f>IF($A497="","",IF($F497="","",IF($F497=0,0,IF(COUNTIFS($A$10:$A$89,$C497)&lt;&gt;1,"brak danych",IF(COUNTIFS($A$10:$A$89,$C497,$I$10:$I$89,"&lt;&gt;")=0,"brak danych",VLOOKUP($C497,$A$10:$J$89,9,FALSE)*$F497)))))</x:f>
      </x:c>
      <x:c r="P497" s="25" t="str">
        <x:f>IF($A497="","",IF($F497="","",IF($F497=0,0,IF(COUNTIFS($A$10:$A$89,$C497)&lt;&gt;1,"brak danych",IF(COUNTIFS($A$10:$A$89,$C497,$J$10:$J$89,"&lt;&gt;")=0,"brak danych",VLOOKUP($C497,$A$10:$J$89,10,FALSE)*$F497)))))</x:f>
      </x:c>
      <x:c r="Q497" s="18"/>
    </x:row>
    <x:row r="498" ht="25" customHeight="1">
      <x:c r="A498" s="6"/>
      <x:c r="B498" s="30"/>
      <x:c r="C498" s="5"/>
      <x:c r="D498" s="5"/>
      <x:c r="E498" s="32"/>
      <x:c r="F498" s="32"/>
      <x:c r="G498" s="24" t="str">
        <x:f>IF($A498="","",IF(AND($C498="",$E498=""),"",IF($E498="","brak danych",IF($E498=0,0,IF(COUNTIFS($A$10:$A$89,$C498)&lt;&gt;1,"brak danych",IF(COUNTIFS($A$10:$A$89,$C498,$F$10:$F$89,"&lt;&gt;")=0,"brak danych",VLOOKUP($C498,$A$10:$J$89,6,FALSE)*$E498))))))</x:f>
      </x:c>
      <x:c r="H498" s="25" t="str">
        <x:f>IF($A498="","",IF(AND($C498="",$E498=""),"",IF($E498="","brak danych",IF($E498=0,0,IF(COUNTIFS($A$10:$A$89,$C498)&lt;&gt;1,"brak danych",IF(COUNTIFS($A$10:$A$89,$C498,$G$10:$G$89,"&lt;&gt;")=0,"brak danych",VLOOKUP($C498,$A$10:$J$89,7,FALSE)*$E498))))))</x:f>
      </x:c>
      <x:c r="I498" s="25" t="str">
        <x:f>IF($A498="","",IF(AND($C498="",$E498=""),"",IF($E498="","brak danych",IF($E498=0,0,IF(COUNTIFS($A$10:$A$89,$C498)&lt;&gt;1,"brak danych",IF(COUNTIFS($A$10:$A$89,$C498,$H$10:$H$89,"&lt;&gt;")=0,"brak danych",VLOOKUP($C498,$A$10:$J$89,8,FALSE)*$E498))))))</x:f>
      </x:c>
      <x:c r="J498" s="25" t="str">
        <x:f>IF($A498="","",IF(AND($C498="",$E498=""),"",IF($E498="","brak danych",IF($E498=0,0,IF(COUNTIFS($A$10:$A$89,$C498)&lt;&gt;1,"brak danych",IF(COUNTIFS($A$10:$A$89,$C498,$I$10:$I$89,"&lt;&gt;")=0,"brak danych",VLOOKUP($C498,$A$10:$J$89,9,FALSE)*$E498))))))</x:f>
      </x:c>
      <x:c r="K498" s="25" t="str">
        <x:f>IF($A498="","",IF(AND($C498="",$E498=""),"",IF($E498="","brak danych",IF($E498=0,0,IF(COUNTIFS($A$10:$A$89,$C498)&lt;&gt;1,"brak danych",IF(COUNTIFS($A$10:$A$89,$C498,$J$10:$J$89,"&lt;&gt;")=0,"brak danych",VLOOKUP($C498,$A$10:$J$89,10,FALSE)*$E498))))))</x:f>
      </x:c>
      <x:c r="L498" s="24" t="str">
        <x:f>IF($A498="","",IF($F498="","",IF($F498=0,0,IF(COUNTIFS($A$10:$A$89,$C498)&lt;&gt;1,"brak danych",IF(COUNTIFS($A$10:$A$89,$C498,$F$10:$F$89,"&lt;&gt;")=0,"brak danych",VLOOKUP($C498,$A$10:$J$89,6,FALSE)*$F498)))))</x:f>
      </x:c>
      <x:c r="M498" s="25" t="str">
        <x:f>IF($A498="","",IF($F498="","",IF($F498=0,0,IF(COUNTIFS($A$10:$A$89,$C498)&lt;&gt;1,"brak danych",IF(COUNTIFS($A$10:$A$89,$C498,$G$10:$G$89,"&lt;&gt;")=0,"brak danych",VLOOKUP($C498,$A$10:$J$89,7,FALSE)*$F498)))))</x:f>
      </x:c>
      <x:c r="N498" s="25" t="str">
        <x:f>IF($A498="","",IF($F498="","",IF($F498=0,0,IF(COUNTIFS($A$10:$A$89,$C498)&lt;&gt;1,"brak danych",IF(COUNTIFS($A$10:$A$89,$C498,$H$10:$H$89,"&lt;&gt;")=0,"brak danych",VLOOKUP($C498,$A$10:$J$89,8,FALSE)*$F498)))))</x:f>
      </x:c>
      <x:c r="O498" s="25" t="str">
        <x:f>IF($A498="","",IF($F498="","",IF($F498=0,0,IF(COUNTIFS($A$10:$A$89,$C498)&lt;&gt;1,"brak danych",IF(COUNTIFS($A$10:$A$89,$C498,$I$10:$I$89,"&lt;&gt;")=0,"brak danych",VLOOKUP($C498,$A$10:$J$89,9,FALSE)*$F498)))))</x:f>
      </x:c>
      <x:c r="P498" s="25" t="str">
        <x:f>IF($A498="","",IF($F498="","",IF($F498=0,0,IF(COUNTIFS($A$10:$A$89,$C498)&lt;&gt;1,"brak danych",IF(COUNTIFS($A$10:$A$89,$C498,$J$10:$J$89,"&lt;&gt;")=0,"brak danych",VLOOKUP($C498,$A$10:$J$89,10,FALSE)*$F498)))))</x:f>
      </x:c>
      <x:c r="Q498" s="18"/>
    </x:row>
    <x:row r="499" ht="25" customHeight="1">
      <x:c r="A499" s="6"/>
      <x:c r="B499" s="30"/>
      <x:c r="C499" s="5"/>
      <x:c r="D499" s="5"/>
      <x:c r="E499" s="32"/>
      <x:c r="F499" s="32"/>
      <x:c r="G499" s="24" t="str">
        <x:f>IF($A499="","",IF(AND($C499="",$E499=""),"",IF($E499="","brak danych",IF($E499=0,0,IF(COUNTIFS($A$10:$A$89,$C499)&lt;&gt;1,"brak danych",IF(COUNTIFS($A$10:$A$89,$C499,$F$10:$F$89,"&lt;&gt;")=0,"brak danych",VLOOKUP($C499,$A$10:$J$89,6,FALSE)*$E499))))))</x:f>
      </x:c>
      <x:c r="H499" s="25" t="str">
        <x:f>IF($A499="","",IF(AND($C499="",$E499=""),"",IF($E499="","brak danych",IF($E499=0,0,IF(COUNTIFS($A$10:$A$89,$C499)&lt;&gt;1,"brak danych",IF(COUNTIFS($A$10:$A$89,$C499,$G$10:$G$89,"&lt;&gt;")=0,"brak danych",VLOOKUP($C499,$A$10:$J$89,7,FALSE)*$E499))))))</x:f>
      </x:c>
      <x:c r="I499" s="25" t="str">
        <x:f>IF($A499="","",IF(AND($C499="",$E499=""),"",IF($E499="","brak danych",IF($E499=0,0,IF(COUNTIFS($A$10:$A$89,$C499)&lt;&gt;1,"brak danych",IF(COUNTIFS($A$10:$A$89,$C499,$H$10:$H$89,"&lt;&gt;")=0,"brak danych",VLOOKUP($C499,$A$10:$J$89,8,FALSE)*$E499))))))</x:f>
      </x:c>
      <x:c r="J499" s="25" t="str">
        <x:f>IF($A499="","",IF(AND($C499="",$E499=""),"",IF($E499="","brak danych",IF($E499=0,0,IF(COUNTIFS($A$10:$A$89,$C499)&lt;&gt;1,"brak danych",IF(COUNTIFS($A$10:$A$89,$C499,$I$10:$I$89,"&lt;&gt;")=0,"brak danych",VLOOKUP($C499,$A$10:$J$89,9,FALSE)*$E499))))))</x:f>
      </x:c>
      <x:c r="K499" s="25" t="str">
        <x:f>IF($A499="","",IF(AND($C499="",$E499=""),"",IF($E499="","brak danych",IF($E499=0,0,IF(COUNTIFS($A$10:$A$89,$C499)&lt;&gt;1,"brak danych",IF(COUNTIFS($A$10:$A$89,$C499,$J$10:$J$89,"&lt;&gt;")=0,"brak danych",VLOOKUP($C499,$A$10:$J$89,10,FALSE)*$E499))))))</x:f>
      </x:c>
      <x:c r="L499" s="24" t="str">
        <x:f>IF($A499="","",IF($F499="","",IF($F499=0,0,IF(COUNTIFS($A$10:$A$89,$C499)&lt;&gt;1,"brak danych",IF(COUNTIFS($A$10:$A$89,$C499,$F$10:$F$89,"&lt;&gt;")=0,"brak danych",VLOOKUP($C499,$A$10:$J$89,6,FALSE)*$F499)))))</x:f>
      </x:c>
      <x:c r="M499" s="25" t="str">
        <x:f>IF($A499="","",IF($F499="","",IF($F499=0,0,IF(COUNTIFS($A$10:$A$89,$C499)&lt;&gt;1,"brak danych",IF(COUNTIFS($A$10:$A$89,$C499,$G$10:$G$89,"&lt;&gt;")=0,"brak danych",VLOOKUP($C499,$A$10:$J$89,7,FALSE)*$F499)))))</x:f>
      </x:c>
      <x:c r="N499" s="25" t="str">
        <x:f>IF($A499="","",IF($F499="","",IF($F499=0,0,IF(COUNTIFS($A$10:$A$89,$C499)&lt;&gt;1,"brak danych",IF(COUNTIFS($A$10:$A$89,$C499,$H$10:$H$89,"&lt;&gt;")=0,"brak danych",VLOOKUP($C499,$A$10:$J$89,8,FALSE)*$F499)))))</x:f>
      </x:c>
      <x:c r="O499" s="25" t="str">
        <x:f>IF($A499="","",IF($F499="","",IF($F499=0,0,IF(COUNTIFS($A$10:$A$89,$C499)&lt;&gt;1,"brak danych",IF(COUNTIFS($A$10:$A$89,$C499,$I$10:$I$89,"&lt;&gt;")=0,"brak danych",VLOOKUP($C499,$A$10:$J$89,9,FALSE)*$F499)))))</x:f>
      </x:c>
      <x:c r="P499" s="25" t="str">
        <x:f>IF($A499="","",IF($F499="","",IF($F499=0,0,IF(COUNTIFS($A$10:$A$89,$C499)&lt;&gt;1,"brak danych",IF(COUNTIFS($A$10:$A$89,$C499,$J$10:$J$89,"&lt;&gt;")=0,"brak danych",VLOOKUP($C499,$A$10:$J$89,10,FALSE)*$F499)))))</x:f>
      </x:c>
      <x:c r="Q499" s="18"/>
    </x:row>
    <x:row r="500" ht="25" customHeight="1">
      <x:c r="A500" s="6"/>
      <x:c r="B500" s="30"/>
      <x:c r="C500" s="5"/>
      <x:c r="D500" s="5"/>
      <x:c r="E500" s="32"/>
      <x:c r="F500" s="32"/>
      <x:c r="G500" s="24" t="str">
        <x:f>IF($A500="","",IF(AND($C500="",$E500=""),"",IF($E500="","brak danych",IF($E500=0,0,IF(COUNTIFS($A$10:$A$89,$C500)&lt;&gt;1,"brak danych",IF(COUNTIFS($A$10:$A$89,$C500,$F$10:$F$89,"&lt;&gt;")=0,"brak danych",VLOOKUP($C500,$A$10:$J$89,6,FALSE)*$E500))))))</x:f>
      </x:c>
      <x:c r="H500" s="25" t="str">
        <x:f>IF($A500="","",IF(AND($C500="",$E500=""),"",IF($E500="","brak danych",IF($E500=0,0,IF(COUNTIFS($A$10:$A$89,$C500)&lt;&gt;1,"brak danych",IF(COUNTIFS($A$10:$A$89,$C500,$G$10:$G$89,"&lt;&gt;")=0,"brak danych",VLOOKUP($C500,$A$10:$J$89,7,FALSE)*$E500))))))</x:f>
      </x:c>
      <x:c r="I500" s="25" t="str">
        <x:f>IF($A500="","",IF(AND($C500="",$E500=""),"",IF($E500="","brak danych",IF($E500=0,0,IF(COUNTIFS($A$10:$A$89,$C500)&lt;&gt;1,"brak danych",IF(COUNTIFS($A$10:$A$89,$C500,$H$10:$H$89,"&lt;&gt;")=0,"brak danych",VLOOKUP($C500,$A$10:$J$89,8,FALSE)*$E500))))))</x:f>
      </x:c>
      <x:c r="J500" s="25" t="str">
        <x:f>IF($A500="","",IF(AND($C500="",$E500=""),"",IF($E500="","brak danych",IF($E500=0,0,IF(COUNTIFS($A$10:$A$89,$C500)&lt;&gt;1,"brak danych",IF(COUNTIFS($A$10:$A$89,$C500,$I$10:$I$89,"&lt;&gt;")=0,"brak danych",VLOOKUP($C500,$A$10:$J$89,9,FALSE)*$E500))))))</x:f>
      </x:c>
      <x:c r="K500" s="25" t="str">
        <x:f>IF($A500="","",IF(AND($C500="",$E500=""),"",IF($E500="","brak danych",IF($E500=0,0,IF(COUNTIFS($A$10:$A$89,$C500)&lt;&gt;1,"brak danych",IF(COUNTIFS($A$10:$A$89,$C500,$J$10:$J$89,"&lt;&gt;")=0,"brak danych",VLOOKUP($C500,$A$10:$J$89,10,FALSE)*$E500))))))</x:f>
      </x:c>
      <x:c r="L500" s="24" t="str">
        <x:f>IF($A500="","",IF($F500="","",IF($F500=0,0,IF(COUNTIFS($A$10:$A$89,$C500)&lt;&gt;1,"brak danych",IF(COUNTIFS($A$10:$A$89,$C500,$F$10:$F$89,"&lt;&gt;")=0,"brak danych",VLOOKUP($C500,$A$10:$J$89,6,FALSE)*$F500)))))</x:f>
      </x:c>
      <x:c r="M500" s="25" t="str">
        <x:f>IF($A500="","",IF($F500="","",IF($F500=0,0,IF(COUNTIFS($A$10:$A$89,$C500)&lt;&gt;1,"brak danych",IF(COUNTIFS($A$10:$A$89,$C500,$G$10:$G$89,"&lt;&gt;")=0,"brak danych",VLOOKUP($C500,$A$10:$J$89,7,FALSE)*$F500)))))</x:f>
      </x:c>
      <x:c r="N500" s="25" t="str">
        <x:f>IF($A500="","",IF($F500="","",IF($F500=0,0,IF(COUNTIFS($A$10:$A$89,$C500)&lt;&gt;1,"brak danych",IF(COUNTIFS($A$10:$A$89,$C500,$H$10:$H$89,"&lt;&gt;")=0,"brak danych",VLOOKUP($C500,$A$10:$J$89,8,FALSE)*$F500)))))</x:f>
      </x:c>
      <x:c r="O500" s="25" t="str">
        <x:f>IF($A500="","",IF($F500="","",IF($F500=0,0,IF(COUNTIFS($A$10:$A$89,$C500)&lt;&gt;1,"brak danych",IF(COUNTIFS($A$10:$A$89,$C500,$I$10:$I$89,"&lt;&gt;")=0,"brak danych",VLOOKUP($C500,$A$10:$J$89,9,FALSE)*$F500)))))</x:f>
      </x:c>
      <x:c r="P500" s="25" t="str">
        <x:f>IF($A500="","",IF($F500="","",IF($F500=0,0,IF(COUNTIFS($A$10:$A$89,$C500)&lt;&gt;1,"brak danych",IF(COUNTIFS($A$10:$A$89,$C500,$J$10:$J$89,"&lt;&gt;")=0,"brak danych",VLOOKUP($C500,$A$10:$J$89,10,FALSE)*$F500)))))</x:f>
      </x:c>
      <x:c r="Q500" s="18"/>
    </x:row>
    <x:row r="501" ht="25" customHeight="1">
      <x:c r="A501" s="6"/>
      <x:c r="B501" s="30"/>
      <x:c r="C501" s="5"/>
      <x:c r="D501" s="5"/>
      <x:c r="E501" s="32"/>
      <x:c r="F501" s="32"/>
      <x:c r="G501" s="24" t="str">
        <x:f>IF($A501="","",IF(AND($C501="",$E501=""),"",IF($E501="","brak danych",IF($E501=0,0,IF(COUNTIFS($A$10:$A$89,$C501)&lt;&gt;1,"brak danych",IF(COUNTIFS($A$10:$A$89,$C501,$F$10:$F$89,"&lt;&gt;")=0,"brak danych",VLOOKUP($C501,$A$10:$J$89,6,FALSE)*$E501))))))</x:f>
      </x:c>
      <x:c r="H501" s="25" t="str">
        <x:f>IF($A501="","",IF(AND($C501="",$E501=""),"",IF($E501="","brak danych",IF($E501=0,0,IF(COUNTIFS($A$10:$A$89,$C501)&lt;&gt;1,"brak danych",IF(COUNTIFS($A$10:$A$89,$C501,$G$10:$G$89,"&lt;&gt;")=0,"brak danych",VLOOKUP($C501,$A$10:$J$89,7,FALSE)*$E501))))))</x:f>
      </x:c>
      <x:c r="I501" s="25" t="str">
        <x:f>IF($A501="","",IF(AND($C501="",$E501=""),"",IF($E501="","brak danych",IF($E501=0,0,IF(COUNTIFS($A$10:$A$89,$C501)&lt;&gt;1,"brak danych",IF(COUNTIFS($A$10:$A$89,$C501,$H$10:$H$89,"&lt;&gt;")=0,"brak danych",VLOOKUP($C501,$A$10:$J$89,8,FALSE)*$E501))))))</x:f>
      </x:c>
      <x:c r="J501" s="25" t="str">
        <x:f>IF($A501="","",IF(AND($C501="",$E501=""),"",IF($E501="","brak danych",IF($E501=0,0,IF(COUNTIFS($A$10:$A$89,$C501)&lt;&gt;1,"brak danych",IF(COUNTIFS($A$10:$A$89,$C501,$I$10:$I$89,"&lt;&gt;")=0,"brak danych",VLOOKUP($C501,$A$10:$J$89,9,FALSE)*$E501))))))</x:f>
      </x:c>
      <x:c r="K501" s="25" t="str">
        <x:f>IF($A501="","",IF(AND($C501="",$E501=""),"",IF($E501="","brak danych",IF($E501=0,0,IF(COUNTIFS($A$10:$A$89,$C501)&lt;&gt;1,"brak danych",IF(COUNTIFS($A$10:$A$89,$C501,$J$10:$J$89,"&lt;&gt;")=0,"brak danych",VLOOKUP($C501,$A$10:$J$89,10,FALSE)*$E501))))))</x:f>
      </x:c>
      <x:c r="L501" s="24" t="str">
        <x:f>IF($A501="","",IF($F501="","",IF($F501=0,0,IF(COUNTIFS($A$10:$A$89,$C501)&lt;&gt;1,"brak danych",IF(COUNTIFS($A$10:$A$89,$C501,$F$10:$F$89,"&lt;&gt;")=0,"brak danych",VLOOKUP($C501,$A$10:$J$89,6,FALSE)*$F501)))))</x:f>
      </x:c>
      <x:c r="M501" s="25" t="str">
        <x:f>IF($A501="","",IF($F501="","",IF($F501=0,0,IF(COUNTIFS($A$10:$A$89,$C501)&lt;&gt;1,"brak danych",IF(COUNTIFS($A$10:$A$89,$C501,$G$10:$G$89,"&lt;&gt;")=0,"brak danych",VLOOKUP($C501,$A$10:$J$89,7,FALSE)*$F501)))))</x:f>
      </x:c>
      <x:c r="N501" s="25" t="str">
        <x:f>IF($A501="","",IF($F501="","",IF($F501=0,0,IF(COUNTIFS($A$10:$A$89,$C501)&lt;&gt;1,"brak danych",IF(COUNTIFS($A$10:$A$89,$C501,$H$10:$H$89,"&lt;&gt;")=0,"brak danych",VLOOKUP($C501,$A$10:$J$89,8,FALSE)*$F501)))))</x:f>
      </x:c>
      <x:c r="O501" s="25" t="str">
        <x:f>IF($A501="","",IF($F501="","",IF($F501=0,0,IF(COUNTIFS($A$10:$A$89,$C501)&lt;&gt;1,"brak danych",IF(COUNTIFS($A$10:$A$89,$C501,$I$10:$I$89,"&lt;&gt;")=0,"brak danych",VLOOKUP($C501,$A$10:$J$89,9,FALSE)*$F501)))))</x:f>
      </x:c>
      <x:c r="P501" s="25" t="str">
        <x:f>IF($A501="","",IF($F501="","",IF($F501=0,0,IF(COUNTIFS($A$10:$A$89,$C501)&lt;&gt;1,"brak danych",IF(COUNTIFS($A$10:$A$89,$C501,$J$10:$J$89,"&lt;&gt;")=0,"brak danych",VLOOKUP($C501,$A$10:$J$89,10,FALSE)*$F501)))))</x:f>
      </x:c>
      <x:c r="Q501" s="18"/>
    </x:row>
    <x:row r="502" ht="25" customHeight="1">
      <x:c r="A502" s="6"/>
      <x:c r="B502" s="30"/>
      <x:c r="C502" s="5"/>
      <x:c r="D502" s="5"/>
      <x:c r="E502" s="32"/>
      <x:c r="F502" s="32"/>
      <x:c r="G502" s="24" t="str">
        <x:f>IF($A502="","",IF(AND($C502="",$E502=""),"",IF($E502="","brak danych",IF($E502=0,0,IF(COUNTIFS($A$10:$A$89,$C502)&lt;&gt;1,"brak danych",IF(COUNTIFS($A$10:$A$89,$C502,$F$10:$F$89,"&lt;&gt;")=0,"brak danych",VLOOKUP($C502,$A$10:$J$89,6,FALSE)*$E502))))))</x:f>
      </x:c>
      <x:c r="H502" s="25" t="str">
        <x:f>IF($A502="","",IF(AND($C502="",$E502=""),"",IF($E502="","brak danych",IF($E502=0,0,IF(COUNTIFS($A$10:$A$89,$C502)&lt;&gt;1,"brak danych",IF(COUNTIFS($A$10:$A$89,$C502,$G$10:$G$89,"&lt;&gt;")=0,"brak danych",VLOOKUP($C502,$A$10:$J$89,7,FALSE)*$E502))))))</x:f>
      </x:c>
      <x:c r="I502" s="25" t="str">
        <x:f>IF($A502="","",IF(AND($C502="",$E502=""),"",IF($E502="","brak danych",IF($E502=0,0,IF(COUNTIFS($A$10:$A$89,$C502)&lt;&gt;1,"brak danych",IF(COUNTIFS($A$10:$A$89,$C502,$H$10:$H$89,"&lt;&gt;")=0,"brak danych",VLOOKUP($C502,$A$10:$J$89,8,FALSE)*$E502))))))</x:f>
      </x:c>
      <x:c r="J502" s="25" t="str">
        <x:f>IF($A502="","",IF(AND($C502="",$E502=""),"",IF($E502="","brak danych",IF($E502=0,0,IF(COUNTIFS($A$10:$A$89,$C502)&lt;&gt;1,"brak danych",IF(COUNTIFS($A$10:$A$89,$C502,$I$10:$I$89,"&lt;&gt;")=0,"brak danych",VLOOKUP($C502,$A$10:$J$89,9,FALSE)*$E502))))))</x:f>
      </x:c>
      <x:c r="K502" s="25" t="str">
        <x:f>IF($A502="","",IF(AND($C502="",$E502=""),"",IF($E502="","brak danych",IF($E502=0,0,IF(COUNTIFS($A$10:$A$89,$C502)&lt;&gt;1,"brak danych",IF(COUNTIFS($A$10:$A$89,$C502,$J$10:$J$89,"&lt;&gt;")=0,"brak danych",VLOOKUP($C502,$A$10:$J$89,10,FALSE)*$E502))))))</x:f>
      </x:c>
      <x:c r="L502" s="24" t="str">
        <x:f>IF($A502="","",IF($F502="","",IF($F502=0,0,IF(COUNTIFS($A$10:$A$89,$C502)&lt;&gt;1,"brak danych",IF(COUNTIFS($A$10:$A$89,$C502,$F$10:$F$89,"&lt;&gt;")=0,"brak danych",VLOOKUP($C502,$A$10:$J$89,6,FALSE)*$F502)))))</x:f>
      </x:c>
      <x:c r="M502" s="25" t="str">
        <x:f>IF($A502="","",IF($F502="","",IF($F502=0,0,IF(COUNTIFS($A$10:$A$89,$C502)&lt;&gt;1,"brak danych",IF(COUNTIFS($A$10:$A$89,$C502,$G$10:$G$89,"&lt;&gt;")=0,"brak danych",VLOOKUP($C502,$A$10:$J$89,7,FALSE)*$F502)))))</x:f>
      </x:c>
      <x:c r="N502" s="25" t="str">
        <x:f>IF($A502="","",IF($F502="","",IF($F502=0,0,IF(COUNTIFS($A$10:$A$89,$C502)&lt;&gt;1,"brak danych",IF(COUNTIFS($A$10:$A$89,$C502,$H$10:$H$89,"&lt;&gt;")=0,"brak danych",VLOOKUP($C502,$A$10:$J$89,8,FALSE)*$F502)))))</x:f>
      </x:c>
      <x:c r="O502" s="25" t="str">
        <x:f>IF($A502="","",IF($F502="","",IF($F502=0,0,IF(COUNTIFS($A$10:$A$89,$C502)&lt;&gt;1,"brak danych",IF(COUNTIFS($A$10:$A$89,$C502,$I$10:$I$89,"&lt;&gt;")=0,"brak danych",VLOOKUP($C502,$A$10:$J$89,9,FALSE)*$F502)))))</x:f>
      </x:c>
      <x:c r="P502" s="25" t="str">
        <x:f>IF($A502="","",IF($F502="","",IF($F502=0,0,IF(COUNTIFS($A$10:$A$89,$C502)&lt;&gt;1,"brak danych",IF(COUNTIFS($A$10:$A$89,$C502,$J$10:$J$89,"&lt;&gt;")=0,"brak danych",VLOOKUP($C502,$A$10:$J$89,10,FALSE)*$F502)))))</x:f>
      </x:c>
      <x:c r="Q502" s="18"/>
    </x:row>
    <x:row r="503" ht="25" customHeight="1">
      <x:c r="A503" s="6"/>
      <x:c r="B503" s="30"/>
      <x:c r="C503" s="5"/>
      <x:c r="D503" s="5"/>
      <x:c r="E503" s="32"/>
      <x:c r="F503" s="32"/>
      <x:c r="G503" s="24" t="str">
        <x:f>IF($A503="","",IF(AND($C503="",$E503=""),"",IF($E503="","brak danych",IF($E503=0,0,IF(COUNTIFS($A$10:$A$89,$C503)&lt;&gt;1,"brak danych",IF(COUNTIFS($A$10:$A$89,$C503,$F$10:$F$89,"&lt;&gt;")=0,"brak danych",VLOOKUP($C503,$A$10:$J$89,6,FALSE)*$E503))))))</x:f>
      </x:c>
      <x:c r="H503" s="25" t="str">
        <x:f>IF($A503="","",IF(AND($C503="",$E503=""),"",IF($E503="","brak danych",IF($E503=0,0,IF(COUNTIFS($A$10:$A$89,$C503)&lt;&gt;1,"brak danych",IF(COUNTIFS($A$10:$A$89,$C503,$G$10:$G$89,"&lt;&gt;")=0,"brak danych",VLOOKUP($C503,$A$10:$J$89,7,FALSE)*$E503))))))</x:f>
      </x:c>
      <x:c r="I503" s="25" t="str">
        <x:f>IF($A503="","",IF(AND($C503="",$E503=""),"",IF($E503="","brak danych",IF($E503=0,0,IF(COUNTIFS($A$10:$A$89,$C503)&lt;&gt;1,"brak danych",IF(COUNTIFS($A$10:$A$89,$C503,$H$10:$H$89,"&lt;&gt;")=0,"brak danych",VLOOKUP($C503,$A$10:$J$89,8,FALSE)*$E503))))))</x:f>
      </x:c>
      <x:c r="J503" s="25" t="str">
        <x:f>IF($A503="","",IF(AND($C503="",$E503=""),"",IF($E503="","brak danych",IF($E503=0,0,IF(COUNTIFS($A$10:$A$89,$C503)&lt;&gt;1,"brak danych",IF(COUNTIFS($A$10:$A$89,$C503,$I$10:$I$89,"&lt;&gt;")=0,"brak danych",VLOOKUP($C503,$A$10:$J$89,9,FALSE)*$E503))))))</x:f>
      </x:c>
      <x:c r="K503" s="25" t="str">
        <x:f>IF($A503="","",IF(AND($C503="",$E503=""),"",IF($E503="","brak danych",IF($E503=0,0,IF(COUNTIFS($A$10:$A$89,$C503)&lt;&gt;1,"brak danych",IF(COUNTIFS($A$10:$A$89,$C503,$J$10:$J$89,"&lt;&gt;")=0,"brak danych",VLOOKUP($C503,$A$10:$J$89,10,FALSE)*$E503))))))</x:f>
      </x:c>
      <x:c r="L503" s="24" t="str">
        <x:f>IF($A503="","",IF($F503="","",IF($F503=0,0,IF(COUNTIFS($A$10:$A$89,$C503)&lt;&gt;1,"brak danych",IF(COUNTIFS($A$10:$A$89,$C503,$F$10:$F$89,"&lt;&gt;")=0,"brak danych",VLOOKUP($C503,$A$10:$J$89,6,FALSE)*$F503)))))</x:f>
      </x:c>
      <x:c r="M503" s="25" t="str">
        <x:f>IF($A503="","",IF($F503="","",IF($F503=0,0,IF(COUNTIFS($A$10:$A$89,$C503)&lt;&gt;1,"brak danych",IF(COUNTIFS($A$10:$A$89,$C503,$G$10:$G$89,"&lt;&gt;")=0,"brak danych",VLOOKUP($C503,$A$10:$J$89,7,FALSE)*$F503)))))</x:f>
      </x:c>
      <x:c r="N503" s="25" t="str">
        <x:f>IF($A503="","",IF($F503="","",IF($F503=0,0,IF(COUNTIFS($A$10:$A$89,$C503)&lt;&gt;1,"brak danych",IF(COUNTIFS($A$10:$A$89,$C503,$H$10:$H$89,"&lt;&gt;")=0,"brak danych",VLOOKUP($C503,$A$10:$J$89,8,FALSE)*$F503)))))</x:f>
      </x:c>
      <x:c r="O503" s="25" t="str">
        <x:f>IF($A503="","",IF($F503="","",IF($F503=0,0,IF(COUNTIFS($A$10:$A$89,$C503)&lt;&gt;1,"brak danych",IF(COUNTIFS($A$10:$A$89,$C503,$I$10:$I$89,"&lt;&gt;")=0,"brak danych",VLOOKUP($C503,$A$10:$J$89,9,FALSE)*$F503)))))</x:f>
      </x:c>
      <x:c r="P503" s="25" t="str">
        <x:f>IF($A503="","",IF($F503="","",IF($F503=0,0,IF(COUNTIFS($A$10:$A$89,$C503)&lt;&gt;1,"brak danych",IF(COUNTIFS($A$10:$A$89,$C503,$J$10:$J$89,"&lt;&gt;")=0,"brak danych",VLOOKUP($C503,$A$10:$J$89,10,FALSE)*$F503)))))</x:f>
      </x:c>
      <x:c r="Q503" s="18"/>
    </x:row>
    <x:row r="504" ht="25" customHeight="1">
      <x:c r="A504" s="6"/>
      <x:c r="B504" s="30"/>
      <x:c r="C504" s="5"/>
      <x:c r="D504" s="5"/>
      <x:c r="E504" s="32"/>
      <x:c r="F504" s="32"/>
      <x:c r="G504" s="24" t="str">
        <x:f>IF($A504="","",IF(AND($C504="",$E504=""),"",IF($E504="","brak danych",IF($E504=0,0,IF(COUNTIFS($A$10:$A$89,$C504)&lt;&gt;1,"brak danych",IF(COUNTIFS($A$10:$A$89,$C504,$F$10:$F$89,"&lt;&gt;")=0,"brak danych",VLOOKUP($C504,$A$10:$J$89,6,FALSE)*$E504))))))</x:f>
      </x:c>
      <x:c r="H504" s="25" t="str">
        <x:f>IF($A504="","",IF(AND($C504="",$E504=""),"",IF($E504="","brak danych",IF($E504=0,0,IF(COUNTIFS($A$10:$A$89,$C504)&lt;&gt;1,"brak danych",IF(COUNTIFS($A$10:$A$89,$C504,$G$10:$G$89,"&lt;&gt;")=0,"brak danych",VLOOKUP($C504,$A$10:$J$89,7,FALSE)*$E504))))))</x:f>
      </x:c>
      <x:c r="I504" s="25" t="str">
        <x:f>IF($A504="","",IF(AND($C504="",$E504=""),"",IF($E504="","brak danych",IF($E504=0,0,IF(COUNTIFS($A$10:$A$89,$C504)&lt;&gt;1,"brak danych",IF(COUNTIFS($A$10:$A$89,$C504,$H$10:$H$89,"&lt;&gt;")=0,"brak danych",VLOOKUP($C504,$A$10:$J$89,8,FALSE)*$E504))))))</x:f>
      </x:c>
      <x:c r="J504" s="25" t="str">
        <x:f>IF($A504="","",IF(AND($C504="",$E504=""),"",IF($E504="","brak danych",IF($E504=0,0,IF(COUNTIFS($A$10:$A$89,$C504)&lt;&gt;1,"brak danych",IF(COUNTIFS($A$10:$A$89,$C504,$I$10:$I$89,"&lt;&gt;")=0,"brak danych",VLOOKUP($C504,$A$10:$J$89,9,FALSE)*$E504))))))</x:f>
      </x:c>
      <x:c r="K504" s="25" t="str">
        <x:f>IF($A504="","",IF(AND($C504="",$E504=""),"",IF($E504="","brak danych",IF($E504=0,0,IF(COUNTIFS($A$10:$A$89,$C504)&lt;&gt;1,"brak danych",IF(COUNTIFS($A$10:$A$89,$C504,$J$10:$J$89,"&lt;&gt;")=0,"brak danych",VLOOKUP($C504,$A$10:$J$89,10,FALSE)*$E504))))))</x:f>
      </x:c>
      <x:c r="L504" s="24" t="str">
        <x:f>IF($A504="","",IF($F504="","",IF($F504=0,0,IF(COUNTIFS($A$10:$A$89,$C504)&lt;&gt;1,"brak danych",IF(COUNTIFS($A$10:$A$89,$C504,$F$10:$F$89,"&lt;&gt;")=0,"brak danych",VLOOKUP($C504,$A$10:$J$89,6,FALSE)*$F504)))))</x:f>
      </x:c>
      <x:c r="M504" s="25" t="str">
        <x:f>IF($A504="","",IF($F504="","",IF($F504=0,0,IF(COUNTIFS($A$10:$A$89,$C504)&lt;&gt;1,"brak danych",IF(COUNTIFS($A$10:$A$89,$C504,$G$10:$G$89,"&lt;&gt;")=0,"brak danych",VLOOKUP($C504,$A$10:$J$89,7,FALSE)*$F504)))))</x:f>
      </x:c>
      <x:c r="N504" s="25" t="str">
        <x:f>IF($A504="","",IF($F504="","",IF($F504=0,0,IF(COUNTIFS($A$10:$A$89,$C504)&lt;&gt;1,"brak danych",IF(COUNTIFS($A$10:$A$89,$C504,$H$10:$H$89,"&lt;&gt;")=0,"brak danych",VLOOKUP($C504,$A$10:$J$89,8,FALSE)*$F504)))))</x:f>
      </x:c>
      <x:c r="O504" s="25" t="str">
        <x:f>IF($A504="","",IF($F504="","",IF($F504=0,0,IF(COUNTIFS($A$10:$A$89,$C504)&lt;&gt;1,"brak danych",IF(COUNTIFS($A$10:$A$89,$C504,$I$10:$I$89,"&lt;&gt;")=0,"brak danych",VLOOKUP($C504,$A$10:$J$89,9,FALSE)*$F504)))))</x:f>
      </x:c>
      <x:c r="P504" s="25" t="str">
        <x:f>IF($A504="","",IF($F504="","",IF($F504=0,0,IF(COUNTIFS($A$10:$A$89,$C504)&lt;&gt;1,"brak danych",IF(COUNTIFS($A$10:$A$89,$C504,$J$10:$J$89,"&lt;&gt;")=0,"brak danych",VLOOKUP($C504,$A$10:$J$89,10,FALSE)*$F504)))))</x:f>
      </x:c>
      <x:c r="Q504" s="18"/>
    </x:row>
    <x:row r="505" ht="25" customHeight="1">
      <x:c r="A505" s="6"/>
      <x:c r="B505" s="30"/>
      <x:c r="C505" s="5"/>
      <x:c r="D505" s="5"/>
      <x:c r="E505" s="32"/>
      <x:c r="F505" s="32"/>
      <x:c r="G505" s="24" t="str">
        <x:f>IF($A505="","",IF(AND($C505="",$E505=""),"",IF($E505="","brak danych",IF($E505=0,0,IF(COUNTIFS($A$10:$A$89,$C505)&lt;&gt;1,"brak danych",IF(COUNTIFS($A$10:$A$89,$C505,$F$10:$F$89,"&lt;&gt;")=0,"brak danych",VLOOKUP($C505,$A$10:$J$89,6,FALSE)*$E505))))))</x:f>
      </x:c>
      <x:c r="H505" s="25" t="str">
        <x:f>IF($A505="","",IF(AND($C505="",$E505=""),"",IF($E505="","brak danych",IF($E505=0,0,IF(COUNTIFS($A$10:$A$89,$C505)&lt;&gt;1,"brak danych",IF(COUNTIFS($A$10:$A$89,$C505,$G$10:$G$89,"&lt;&gt;")=0,"brak danych",VLOOKUP($C505,$A$10:$J$89,7,FALSE)*$E505))))))</x:f>
      </x:c>
      <x:c r="I505" s="25" t="str">
        <x:f>IF($A505="","",IF(AND($C505="",$E505=""),"",IF($E505="","brak danych",IF($E505=0,0,IF(COUNTIFS($A$10:$A$89,$C505)&lt;&gt;1,"brak danych",IF(COUNTIFS($A$10:$A$89,$C505,$H$10:$H$89,"&lt;&gt;")=0,"brak danych",VLOOKUP($C505,$A$10:$J$89,8,FALSE)*$E505))))))</x:f>
      </x:c>
      <x:c r="J505" s="25" t="str">
        <x:f>IF($A505="","",IF(AND($C505="",$E505=""),"",IF($E505="","brak danych",IF($E505=0,0,IF(COUNTIFS($A$10:$A$89,$C505)&lt;&gt;1,"brak danych",IF(COUNTIFS($A$10:$A$89,$C505,$I$10:$I$89,"&lt;&gt;")=0,"brak danych",VLOOKUP($C505,$A$10:$J$89,9,FALSE)*$E505))))))</x:f>
      </x:c>
      <x:c r="K505" s="25" t="str">
        <x:f>IF($A505="","",IF(AND($C505="",$E505=""),"",IF($E505="","brak danych",IF($E505=0,0,IF(COUNTIFS($A$10:$A$89,$C505)&lt;&gt;1,"brak danych",IF(COUNTIFS($A$10:$A$89,$C505,$J$10:$J$89,"&lt;&gt;")=0,"brak danych",VLOOKUP($C505,$A$10:$J$89,10,FALSE)*$E505))))))</x:f>
      </x:c>
      <x:c r="L505" s="24" t="str">
        <x:f>IF($A505="","",IF($F505="","",IF($F505=0,0,IF(COUNTIFS($A$10:$A$89,$C505)&lt;&gt;1,"brak danych",IF(COUNTIFS($A$10:$A$89,$C505,$F$10:$F$89,"&lt;&gt;")=0,"brak danych",VLOOKUP($C505,$A$10:$J$89,6,FALSE)*$F505)))))</x:f>
      </x:c>
      <x:c r="M505" s="25" t="str">
        <x:f>IF($A505="","",IF($F505="","",IF($F505=0,0,IF(COUNTIFS($A$10:$A$89,$C505)&lt;&gt;1,"brak danych",IF(COUNTIFS($A$10:$A$89,$C505,$G$10:$G$89,"&lt;&gt;")=0,"brak danych",VLOOKUP($C505,$A$10:$J$89,7,FALSE)*$F505)))))</x:f>
      </x:c>
      <x:c r="N505" s="25" t="str">
        <x:f>IF($A505="","",IF($F505="","",IF($F505=0,0,IF(COUNTIFS($A$10:$A$89,$C505)&lt;&gt;1,"brak danych",IF(COUNTIFS($A$10:$A$89,$C505,$H$10:$H$89,"&lt;&gt;")=0,"brak danych",VLOOKUP($C505,$A$10:$J$89,8,FALSE)*$F505)))))</x:f>
      </x:c>
      <x:c r="O505" s="25" t="str">
        <x:f>IF($A505="","",IF($F505="","",IF($F505=0,0,IF(COUNTIFS($A$10:$A$89,$C505)&lt;&gt;1,"brak danych",IF(COUNTIFS($A$10:$A$89,$C505,$I$10:$I$89,"&lt;&gt;")=0,"brak danych",VLOOKUP($C505,$A$10:$J$89,9,FALSE)*$F505)))))</x:f>
      </x:c>
      <x:c r="P505" s="25" t="str">
        <x:f>IF($A505="","",IF($F505="","",IF($F505=0,0,IF(COUNTIFS($A$10:$A$89,$C505)&lt;&gt;1,"brak danych",IF(COUNTIFS($A$10:$A$89,$C505,$J$10:$J$89,"&lt;&gt;")=0,"brak danych",VLOOKUP($C505,$A$10:$J$89,10,FALSE)*$F505)))))</x:f>
      </x:c>
      <x:c r="Q505" s="18"/>
    </x:row>
    <x:row r="506" ht="25" customHeight="1">
      <x:c r="A506" s="6"/>
      <x:c r="B506" s="30"/>
      <x:c r="C506" s="5"/>
      <x:c r="D506" s="5"/>
      <x:c r="E506" s="32"/>
      <x:c r="F506" s="32"/>
      <x:c r="G506" s="24" t="str">
        <x:f>IF($A506="","",IF(AND($C506="",$E506=""),"",IF($E506="","brak danych",IF($E506=0,0,IF(COUNTIFS($A$10:$A$89,$C506)&lt;&gt;1,"brak danych",IF(COUNTIFS($A$10:$A$89,$C506,$F$10:$F$89,"&lt;&gt;")=0,"brak danych",VLOOKUP($C506,$A$10:$J$89,6,FALSE)*$E506))))))</x:f>
      </x:c>
      <x:c r="H506" s="25" t="str">
        <x:f>IF($A506="","",IF(AND($C506="",$E506=""),"",IF($E506="","brak danych",IF($E506=0,0,IF(COUNTIFS($A$10:$A$89,$C506)&lt;&gt;1,"brak danych",IF(COUNTIFS($A$10:$A$89,$C506,$G$10:$G$89,"&lt;&gt;")=0,"brak danych",VLOOKUP($C506,$A$10:$J$89,7,FALSE)*$E506))))))</x:f>
      </x:c>
      <x:c r="I506" s="25" t="str">
        <x:f>IF($A506="","",IF(AND($C506="",$E506=""),"",IF($E506="","brak danych",IF($E506=0,0,IF(COUNTIFS($A$10:$A$89,$C506)&lt;&gt;1,"brak danych",IF(COUNTIFS($A$10:$A$89,$C506,$H$10:$H$89,"&lt;&gt;")=0,"brak danych",VLOOKUP($C506,$A$10:$J$89,8,FALSE)*$E506))))))</x:f>
      </x:c>
      <x:c r="J506" s="25" t="str">
        <x:f>IF($A506="","",IF(AND($C506="",$E506=""),"",IF($E506="","brak danych",IF($E506=0,0,IF(COUNTIFS($A$10:$A$89,$C506)&lt;&gt;1,"brak danych",IF(COUNTIFS($A$10:$A$89,$C506,$I$10:$I$89,"&lt;&gt;")=0,"brak danych",VLOOKUP($C506,$A$10:$J$89,9,FALSE)*$E506))))))</x:f>
      </x:c>
      <x:c r="K506" s="25" t="str">
        <x:f>IF($A506="","",IF(AND($C506="",$E506=""),"",IF($E506="","brak danych",IF($E506=0,0,IF(COUNTIFS($A$10:$A$89,$C506)&lt;&gt;1,"brak danych",IF(COUNTIFS($A$10:$A$89,$C506,$J$10:$J$89,"&lt;&gt;")=0,"brak danych",VLOOKUP($C506,$A$10:$J$89,10,FALSE)*$E506))))))</x:f>
      </x:c>
      <x:c r="L506" s="24" t="str">
        <x:f>IF($A506="","",IF($F506="","",IF($F506=0,0,IF(COUNTIFS($A$10:$A$89,$C506)&lt;&gt;1,"brak danych",IF(COUNTIFS($A$10:$A$89,$C506,$F$10:$F$89,"&lt;&gt;")=0,"brak danych",VLOOKUP($C506,$A$10:$J$89,6,FALSE)*$F506)))))</x:f>
      </x:c>
      <x:c r="M506" s="25" t="str">
        <x:f>IF($A506="","",IF($F506="","",IF($F506=0,0,IF(COUNTIFS($A$10:$A$89,$C506)&lt;&gt;1,"brak danych",IF(COUNTIFS($A$10:$A$89,$C506,$G$10:$G$89,"&lt;&gt;")=0,"brak danych",VLOOKUP($C506,$A$10:$J$89,7,FALSE)*$F506)))))</x:f>
      </x:c>
      <x:c r="N506" s="25" t="str">
        <x:f>IF($A506="","",IF($F506="","",IF($F506=0,0,IF(COUNTIFS($A$10:$A$89,$C506)&lt;&gt;1,"brak danych",IF(COUNTIFS($A$10:$A$89,$C506,$H$10:$H$89,"&lt;&gt;")=0,"brak danych",VLOOKUP($C506,$A$10:$J$89,8,FALSE)*$F506)))))</x:f>
      </x:c>
      <x:c r="O506" s="25" t="str">
        <x:f>IF($A506="","",IF($F506="","",IF($F506=0,0,IF(COUNTIFS($A$10:$A$89,$C506)&lt;&gt;1,"brak danych",IF(COUNTIFS($A$10:$A$89,$C506,$I$10:$I$89,"&lt;&gt;")=0,"brak danych",VLOOKUP($C506,$A$10:$J$89,9,FALSE)*$F506)))))</x:f>
      </x:c>
      <x:c r="P506" s="25" t="str">
        <x:f>IF($A506="","",IF($F506="","",IF($F506=0,0,IF(COUNTIFS($A$10:$A$89,$C506)&lt;&gt;1,"brak danych",IF(COUNTIFS($A$10:$A$89,$C506,$J$10:$J$89,"&lt;&gt;")=0,"brak danych",VLOOKUP($C506,$A$10:$J$89,10,FALSE)*$F506)))))</x:f>
      </x:c>
      <x:c r="Q506" s="18"/>
    </x:row>
    <x:row r="507" ht="25" customHeight="1">
      <x:c r="A507" s="6"/>
      <x:c r="B507" s="30"/>
      <x:c r="C507" s="5"/>
      <x:c r="D507" s="5"/>
      <x:c r="E507" s="32"/>
      <x:c r="F507" s="32"/>
      <x:c r="G507" s="24" t="str">
        <x:f>IF($A507="","",IF(AND($C507="",$E507=""),"",IF($E507="","brak danych",IF($E507=0,0,IF(COUNTIFS($A$10:$A$89,$C507)&lt;&gt;1,"brak danych",IF(COUNTIFS($A$10:$A$89,$C507,$F$10:$F$89,"&lt;&gt;")=0,"brak danych",VLOOKUP($C507,$A$10:$J$89,6,FALSE)*$E507))))))</x:f>
      </x:c>
      <x:c r="H507" s="25" t="str">
        <x:f>IF($A507="","",IF(AND($C507="",$E507=""),"",IF($E507="","brak danych",IF($E507=0,0,IF(COUNTIFS($A$10:$A$89,$C507)&lt;&gt;1,"brak danych",IF(COUNTIFS($A$10:$A$89,$C507,$G$10:$G$89,"&lt;&gt;")=0,"brak danych",VLOOKUP($C507,$A$10:$J$89,7,FALSE)*$E507))))))</x:f>
      </x:c>
      <x:c r="I507" s="25" t="str">
        <x:f>IF($A507="","",IF(AND($C507="",$E507=""),"",IF($E507="","brak danych",IF($E507=0,0,IF(COUNTIFS($A$10:$A$89,$C507)&lt;&gt;1,"brak danych",IF(COUNTIFS($A$10:$A$89,$C507,$H$10:$H$89,"&lt;&gt;")=0,"brak danych",VLOOKUP($C507,$A$10:$J$89,8,FALSE)*$E507))))))</x:f>
      </x:c>
      <x:c r="J507" s="25" t="str">
        <x:f>IF($A507="","",IF(AND($C507="",$E507=""),"",IF($E507="","brak danych",IF($E507=0,0,IF(COUNTIFS($A$10:$A$89,$C507)&lt;&gt;1,"brak danych",IF(COUNTIFS($A$10:$A$89,$C507,$I$10:$I$89,"&lt;&gt;")=0,"brak danych",VLOOKUP($C507,$A$10:$J$89,9,FALSE)*$E507))))))</x:f>
      </x:c>
      <x:c r="K507" s="25" t="str">
        <x:f>IF($A507="","",IF(AND($C507="",$E507=""),"",IF($E507="","brak danych",IF($E507=0,0,IF(COUNTIFS($A$10:$A$89,$C507)&lt;&gt;1,"brak danych",IF(COUNTIFS($A$10:$A$89,$C507,$J$10:$J$89,"&lt;&gt;")=0,"brak danych",VLOOKUP($C507,$A$10:$J$89,10,FALSE)*$E507))))))</x:f>
      </x:c>
      <x:c r="L507" s="24" t="str">
        <x:f>IF($A507="","",IF($F507="","",IF($F507=0,0,IF(COUNTIFS($A$10:$A$89,$C507)&lt;&gt;1,"brak danych",IF(COUNTIFS($A$10:$A$89,$C507,$F$10:$F$89,"&lt;&gt;")=0,"brak danych",VLOOKUP($C507,$A$10:$J$89,6,FALSE)*$F507)))))</x:f>
      </x:c>
      <x:c r="M507" s="25" t="str">
        <x:f>IF($A507="","",IF($F507="","",IF($F507=0,0,IF(COUNTIFS($A$10:$A$89,$C507)&lt;&gt;1,"brak danych",IF(COUNTIFS($A$10:$A$89,$C507,$G$10:$G$89,"&lt;&gt;")=0,"brak danych",VLOOKUP($C507,$A$10:$J$89,7,FALSE)*$F507)))))</x:f>
      </x:c>
      <x:c r="N507" s="25" t="str">
        <x:f>IF($A507="","",IF($F507="","",IF($F507=0,0,IF(COUNTIFS($A$10:$A$89,$C507)&lt;&gt;1,"brak danych",IF(COUNTIFS($A$10:$A$89,$C507,$H$10:$H$89,"&lt;&gt;")=0,"brak danych",VLOOKUP($C507,$A$10:$J$89,8,FALSE)*$F507)))))</x:f>
      </x:c>
      <x:c r="O507" s="25" t="str">
        <x:f>IF($A507="","",IF($F507="","",IF($F507=0,0,IF(COUNTIFS($A$10:$A$89,$C507)&lt;&gt;1,"brak danych",IF(COUNTIFS($A$10:$A$89,$C507,$I$10:$I$89,"&lt;&gt;")=0,"brak danych",VLOOKUP($C507,$A$10:$J$89,9,FALSE)*$F507)))))</x:f>
      </x:c>
      <x:c r="P507" s="25" t="str">
        <x:f>IF($A507="","",IF($F507="","",IF($F507=0,0,IF(COUNTIFS($A$10:$A$89,$C507)&lt;&gt;1,"brak danych",IF(COUNTIFS($A$10:$A$89,$C507,$J$10:$J$89,"&lt;&gt;")=0,"brak danych",VLOOKUP($C507,$A$10:$J$89,10,FALSE)*$F507)))))</x:f>
      </x:c>
      <x:c r="Q507" s="18"/>
    </x:row>
    <x:row r="508" ht="25" customHeight="1">
      <x:c r="A508" s="6"/>
      <x:c r="B508" s="30"/>
      <x:c r="C508" s="5"/>
      <x:c r="D508" s="5"/>
      <x:c r="E508" s="32"/>
      <x:c r="F508" s="32"/>
      <x:c r="G508" s="24" t="str">
        <x:f>IF($A508="","",IF(AND($C508="",$E508=""),"",IF($E508="","brak danych",IF($E508=0,0,IF(COUNTIFS($A$10:$A$89,$C508)&lt;&gt;1,"brak danych",IF(COUNTIFS($A$10:$A$89,$C508,$F$10:$F$89,"&lt;&gt;")=0,"brak danych",VLOOKUP($C508,$A$10:$J$89,6,FALSE)*$E508))))))</x:f>
      </x:c>
      <x:c r="H508" s="25" t="str">
        <x:f>IF($A508="","",IF(AND($C508="",$E508=""),"",IF($E508="","brak danych",IF($E508=0,0,IF(COUNTIFS($A$10:$A$89,$C508)&lt;&gt;1,"brak danych",IF(COUNTIFS($A$10:$A$89,$C508,$G$10:$G$89,"&lt;&gt;")=0,"brak danych",VLOOKUP($C508,$A$10:$J$89,7,FALSE)*$E508))))))</x:f>
      </x:c>
      <x:c r="I508" s="25" t="str">
        <x:f>IF($A508="","",IF(AND($C508="",$E508=""),"",IF($E508="","brak danych",IF($E508=0,0,IF(COUNTIFS($A$10:$A$89,$C508)&lt;&gt;1,"brak danych",IF(COUNTIFS($A$10:$A$89,$C508,$H$10:$H$89,"&lt;&gt;")=0,"brak danych",VLOOKUP($C508,$A$10:$J$89,8,FALSE)*$E508))))))</x:f>
      </x:c>
      <x:c r="J508" s="25" t="str">
        <x:f>IF($A508="","",IF(AND($C508="",$E508=""),"",IF($E508="","brak danych",IF($E508=0,0,IF(COUNTIFS($A$10:$A$89,$C508)&lt;&gt;1,"brak danych",IF(COUNTIFS($A$10:$A$89,$C508,$I$10:$I$89,"&lt;&gt;")=0,"brak danych",VLOOKUP($C508,$A$10:$J$89,9,FALSE)*$E508))))))</x:f>
      </x:c>
      <x:c r="K508" s="25" t="str">
        <x:f>IF($A508="","",IF(AND($C508="",$E508=""),"",IF($E508="","brak danych",IF($E508=0,0,IF(COUNTIFS($A$10:$A$89,$C508)&lt;&gt;1,"brak danych",IF(COUNTIFS($A$10:$A$89,$C508,$J$10:$J$89,"&lt;&gt;")=0,"brak danych",VLOOKUP($C508,$A$10:$J$89,10,FALSE)*$E508))))))</x:f>
      </x:c>
      <x:c r="L508" s="24" t="str">
        <x:f>IF($A508="","",IF($F508="","",IF($F508=0,0,IF(COUNTIFS($A$10:$A$89,$C508)&lt;&gt;1,"brak danych",IF(COUNTIFS($A$10:$A$89,$C508,$F$10:$F$89,"&lt;&gt;")=0,"brak danych",VLOOKUP($C508,$A$10:$J$89,6,FALSE)*$F508)))))</x:f>
      </x:c>
      <x:c r="M508" s="25" t="str">
        <x:f>IF($A508="","",IF($F508="","",IF($F508=0,0,IF(COUNTIFS($A$10:$A$89,$C508)&lt;&gt;1,"brak danych",IF(COUNTIFS($A$10:$A$89,$C508,$G$10:$G$89,"&lt;&gt;")=0,"brak danych",VLOOKUP($C508,$A$10:$J$89,7,FALSE)*$F508)))))</x:f>
      </x:c>
      <x:c r="N508" s="25" t="str">
        <x:f>IF($A508="","",IF($F508="","",IF($F508=0,0,IF(COUNTIFS($A$10:$A$89,$C508)&lt;&gt;1,"brak danych",IF(COUNTIFS($A$10:$A$89,$C508,$H$10:$H$89,"&lt;&gt;")=0,"brak danych",VLOOKUP($C508,$A$10:$J$89,8,FALSE)*$F508)))))</x:f>
      </x:c>
      <x:c r="O508" s="25" t="str">
        <x:f>IF($A508="","",IF($F508="","",IF($F508=0,0,IF(COUNTIFS($A$10:$A$89,$C508)&lt;&gt;1,"brak danych",IF(COUNTIFS($A$10:$A$89,$C508,$I$10:$I$89,"&lt;&gt;")=0,"brak danych",VLOOKUP($C508,$A$10:$J$89,9,FALSE)*$F508)))))</x:f>
      </x:c>
      <x:c r="P508" s="25" t="str">
        <x:f>IF($A508="","",IF($F508="","",IF($F508=0,0,IF(COUNTIFS($A$10:$A$89,$C508)&lt;&gt;1,"brak danych",IF(COUNTIFS($A$10:$A$89,$C508,$J$10:$J$89,"&lt;&gt;")=0,"brak danych",VLOOKUP($C508,$A$10:$J$89,10,FALSE)*$F508)))))</x:f>
      </x:c>
      <x:c r="Q508" s="18"/>
    </x:row>
    <x:row r="509" ht="25" customHeight="1">
      <x:c r="A509" s="6"/>
      <x:c r="B509" s="30"/>
      <x:c r="C509" s="5"/>
      <x:c r="D509" s="5"/>
      <x:c r="E509" s="32"/>
      <x:c r="F509" s="32"/>
      <x:c r="G509" s="24" t="str">
        <x:f>IF($A509="","",IF(AND($C509="",$E509=""),"",IF($E509="","brak danych",IF($E509=0,0,IF(COUNTIFS($A$10:$A$89,$C509)&lt;&gt;1,"brak danych",IF(COUNTIFS($A$10:$A$89,$C509,$F$10:$F$89,"&lt;&gt;")=0,"brak danych",VLOOKUP($C509,$A$10:$J$89,6,FALSE)*$E509))))))</x:f>
      </x:c>
      <x:c r="H509" s="25" t="str">
        <x:f>IF($A509="","",IF(AND($C509="",$E509=""),"",IF($E509="","brak danych",IF($E509=0,0,IF(COUNTIFS($A$10:$A$89,$C509)&lt;&gt;1,"brak danych",IF(COUNTIFS($A$10:$A$89,$C509,$G$10:$G$89,"&lt;&gt;")=0,"brak danych",VLOOKUP($C509,$A$10:$J$89,7,FALSE)*$E509))))))</x:f>
      </x:c>
      <x:c r="I509" s="25" t="str">
        <x:f>IF($A509="","",IF(AND($C509="",$E509=""),"",IF($E509="","brak danych",IF($E509=0,0,IF(COUNTIFS($A$10:$A$89,$C509)&lt;&gt;1,"brak danych",IF(COUNTIFS($A$10:$A$89,$C509,$H$10:$H$89,"&lt;&gt;")=0,"brak danych",VLOOKUP($C509,$A$10:$J$89,8,FALSE)*$E509))))))</x:f>
      </x:c>
      <x:c r="J509" s="25" t="str">
        <x:f>IF($A509="","",IF(AND($C509="",$E509=""),"",IF($E509="","brak danych",IF($E509=0,0,IF(COUNTIFS($A$10:$A$89,$C509)&lt;&gt;1,"brak danych",IF(COUNTIFS($A$10:$A$89,$C509,$I$10:$I$89,"&lt;&gt;")=0,"brak danych",VLOOKUP($C509,$A$10:$J$89,9,FALSE)*$E509))))))</x:f>
      </x:c>
      <x:c r="K509" s="25" t="str">
        <x:f>IF($A509="","",IF(AND($C509="",$E509=""),"",IF($E509="","brak danych",IF($E509=0,0,IF(COUNTIFS($A$10:$A$89,$C509)&lt;&gt;1,"brak danych",IF(COUNTIFS($A$10:$A$89,$C509,$J$10:$J$89,"&lt;&gt;")=0,"brak danych",VLOOKUP($C509,$A$10:$J$89,10,FALSE)*$E509))))))</x:f>
      </x:c>
      <x:c r="L509" s="24" t="str">
        <x:f>IF($A509="","",IF($F509="","",IF($F509=0,0,IF(COUNTIFS($A$10:$A$89,$C509)&lt;&gt;1,"brak danych",IF(COUNTIFS($A$10:$A$89,$C509,$F$10:$F$89,"&lt;&gt;")=0,"brak danych",VLOOKUP($C509,$A$10:$J$89,6,FALSE)*$F509)))))</x:f>
      </x:c>
      <x:c r="M509" s="25" t="str">
        <x:f>IF($A509="","",IF($F509="","",IF($F509=0,0,IF(COUNTIFS($A$10:$A$89,$C509)&lt;&gt;1,"brak danych",IF(COUNTIFS($A$10:$A$89,$C509,$G$10:$G$89,"&lt;&gt;")=0,"brak danych",VLOOKUP($C509,$A$10:$J$89,7,FALSE)*$F509)))))</x:f>
      </x:c>
      <x:c r="N509" s="25" t="str">
        <x:f>IF($A509="","",IF($F509="","",IF($F509=0,0,IF(COUNTIFS($A$10:$A$89,$C509)&lt;&gt;1,"brak danych",IF(COUNTIFS($A$10:$A$89,$C509,$H$10:$H$89,"&lt;&gt;")=0,"brak danych",VLOOKUP($C509,$A$10:$J$89,8,FALSE)*$F509)))))</x:f>
      </x:c>
      <x:c r="O509" s="25" t="str">
        <x:f>IF($A509="","",IF($F509="","",IF($F509=0,0,IF(COUNTIFS($A$10:$A$89,$C509)&lt;&gt;1,"brak danych",IF(COUNTIFS($A$10:$A$89,$C509,$I$10:$I$89,"&lt;&gt;")=0,"brak danych",VLOOKUP($C509,$A$10:$J$89,9,FALSE)*$F509)))))</x:f>
      </x:c>
      <x:c r="P509" s="25" t="str">
        <x:f>IF($A509="","",IF($F509="","",IF($F509=0,0,IF(COUNTIFS($A$10:$A$89,$C509)&lt;&gt;1,"brak danych",IF(COUNTIFS($A$10:$A$89,$C509,$J$10:$J$89,"&lt;&gt;")=0,"brak danych",VLOOKUP($C509,$A$10:$J$89,10,FALSE)*$F509)))))</x:f>
      </x:c>
      <x:c r="Q509" s="18"/>
    </x:row>
    <x:row r="510" ht="25" customHeight="1">
      <x:c r="A510" s="6"/>
      <x:c r="B510" s="30"/>
      <x:c r="C510" s="5"/>
      <x:c r="D510" s="5"/>
      <x:c r="E510" s="32"/>
      <x:c r="F510" s="32"/>
      <x:c r="G510" s="24" t="str">
        <x:f>IF($A510="","",IF(AND($C510="",$E510=""),"",IF($E510="","brak danych",IF($E510=0,0,IF(COUNTIFS($A$10:$A$89,$C510)&lt;&gt;1,"brak danych",IF(COUNTIFS($A$10:$A$89,$C510,$F$10:$F$89,"&lt;&gt;")=0,"brak danych",VLOOKUP($C510,$A$10:$J$89,6,FALSE)*$E510))))))</x:f>
      </x:c>
      <x:c r="H510" s="25" t="str">
        <x:f>IF($A510="","",IF(AND($C510="",$E510=""),"",IF($E510="","brak danych",IF($E510=0,0,IF(COUNTIFS($A$10:$A$89,$C510)&lt;&gt;1,"brak danych",IF(COUNTIFS($A$10:$A$89,$C510,$G$10:$G$89,"&lt;&gt;")=0,"brak danych",VLOOKUP($C510,$A$10:$J$89,7,FALSE)*$E510))))))</x:f>
      </x:c>
      <x:c r="I510" s="25" t="str">
        <x:f>IF($A510="","",IF(AND($C510="",$E510=""),"",IF($E510="","brak danych",IF($E510=0,0,IF(COUNTIFS($A$10:$A$89,$C510)&lt;&gt;1,"brak danych",IF(COUNTIFS($A$10:$A$89,$C510,$H$10:$H$89,"&lt;&gt;")=0,"brak danych",VLOOKUP($C510,$A$10:$J$89,8,FALSE)*$E510))))))</x:f>
      </x:c>
      <x:c r="J510" s="25" t="str">
        <x:f>IF($A510="","",IF(AND($C510="",$E510=""),"",IF($E510="","brak danych",IF($E510=0,0,IF(COUNTIFS($A$10:$A$89,$C510)&lt;&gt;1,"brak danych",IF(COUNTIFS($A$10:$A$89,$C510,$I$10:$I$89,"&lt;&gt;")=0,"brak danych",VLOOKUP($C510,$A$10:$J$89,9,FALSE)*$E510))))))</x:f>
      </x:c>
      <x:c r="K510" s="25" t="str">
        <x:f>IF($A510="","",IF(AND($C510="",$E510=""),"",IF($E510="","brak danych",IF($E510=0,0,IF(COUNTIFS($A$10:$A$89,$C510)&lt;&gt;1,"brak danych",IF(COUNTIFS($A$10:$A$89,$C510,$J$10:$J$89,"&lt;&gt;")=0,"brak danych",VLOOKUP($C510,$A$10:$J$89,10,FALSE)*$E510))))))</x:f>
      </x:c>
      <x:c r="L510" s="24" t="str">
        <x:f>IF($A510="","",IF($F510="","",IF($F510=0,0,IF(COUNTIFS($A$10:$A$89,$C510)&lt;&gt;1,"brak danych",IF(COUNTIFS($A$10:$A$89,$C510,$F$10:$F$89,"&lt;&gt;")=0,"brak danych",VLOOKUP($C510,$A$10:$J$89,6,FALSE)*$F510)))))</x:f>
      </x:c>
      <x:c r="M510" s="25" t="str">
        <x:f>IF($A510="","",IF($F510="","",IF($F510=0,0,IF(COUNTIFS($A$10:$A$89,$C510)&lt;&gt;1,"brak danych",IF(COUNTIFS($A$10:$A$89,$C510,$G$10:$G$89,"&lt;&gt;")=0,"brak danych",VLOOKUP($C510,$A$10:$J$89,7,FALSE)*$F510)))))</x:f>
      </x:c>
      <x:c r="N510" s="25" t="str">
        <x:f>IF($A510="","",IF($F510="","",IF($F510=0,0,IF(COUNTIFS($A$10:$A$89,$C510)&lt;&gt;1,"brak danych",IF(COUNTIFS($A$10:$A$89,$C510,$H$10:$H$89,"&lt;&gt;")=0,"brak danych",VLOOKUP($C510,$A$10:$J$89,8,FALSE)*$F510)))))</x:f>
      </x:c>
      <x:c r="O510" s="25" t="str">
        <x:f>IF($A510="","",IF($F510="","",IF($F510=0,0,IF(COUNTIFS($A$10:$A$89,$C510)&lt;&gt;1,"brak danych",IF(COUNTIFS($A$10:$A$89,$C510,$I$10:$I$89,"&lt;&gt;")=0,"brak danych",VLOOKUP($C510,$A$10:$J$89,9,FALSE)*$F510)))))</x:f>
      </x:c>
      <x:c r="P510" s="25" t="str">
        <x:f>IF($A510="","",IF($F510="","",IF($F510=0,0,IF(COUNTIFS($A$10:$A$89,$C510)&lt;&gt;1,"brak danych",IF(COUNTIFS($A$10:$A$89,$C510,$J$10:$J$89,"&lt;&gt;")=0,"brak danych",VLOOKUP($C510,$A$10:$J$89,10,FALSE)*$F510)))))</x:f>
      </x:c>
      <x:c r="Q510" s="18"/>
    </x:row>
    <x:row r="511" ht="25" customHeight="1">
      <x:c r="A511" s="6"/>
      <x:c r="B511" s="30"/>
      <x:c r="C511" s="5"/>
      <x:c r="D511" s="5"/>
      <x:c r="E511" s="32"/>
      <x:c r="F511" s="32"/>
      <x:c r="G511" s="24" t="str">
        <x:f>IF($A511="","",IF(AND($C511="",$E511=""),"",IF($E511="","brak danych",IF($E511=0,0,IF(COUNTIFS($A$10:$A$89,$C511)&lt;&gt;1,"brak danych",IF(COUNTIFS($A$10:$A$89,$C511,$F$10:$F$89,"&lt;&gt;")=0,"brak danych",VLOOKUP($C511,$A$10:$J$89,6,FALSE)*$E511))))))</x:f>
      </x:c>
      <x:c r="H511" s="25" t="str">
        <x:f>IF($A511="","",IF(AND($C511="",$E511=""),"",IF($E511="","brak danych",IF($E511=0,0,IF(COUNTIFS($A$10:$A$89,$C511)&lt;&gt;1,"brak danych",IF(COUNTIFS($A$10:$A$89,$C511,$G$10:$G$89,"&lt;&gt;")=0,"brak danych",VLOOKUP($C511,$A$10:$J$89,7,FALSE)*$E511))))))</x:f>
      </x:c>
      <x:c r="I511" s="25" t="str">
        <x:f>IF($A511="","",IF(AND($C511="",$E511=""),"",IF($E511="","brak danych",IF($E511=0,0,IF(COUNTIFS($A$10:$A$89,$C511)&lt;&gt;1,"brak danych",IF(COUNTIFS($A$10:$A$89,$C511,$H$10:$H$89,"&lt;&gt;")=0,"brak danych",VLOOKUP($C511,$A$10:$J$89,8,FALSE)*$E511))))))</x:f>
      </x:c>
      <x:c r="J511" s="25" t="str">
        <x:f>IF($A511="","",IF(AND($C511="",$E511=""),"",IF($E511="","brak danych",IF($E511=0,0,IF(COUNTIFS($A$10:$A$89,$C511)&lt;&gt;1,"brak danych",IF(COUNTIFS($A$10:$A$89,$C511,$I$10:$I$89,"&lt;&gt;")=0,"brak danych",VLOOKUP($C511,$A$10:$J$89,9,FALSE)*$E511))))))</x:f>
      </x:c>
      <x:c r="K511" s="25" t="str">
        <x:f>IF($A511="","",IF(AND($C511="",$E511=""),"",IF($E511="","brak danych",IF($E511=0,0,IF(COUNTIFS($A$10:$A$89,$C511)&lt;&gt;1,"brak danych",IF(COUNTIFS($A$10:$A$89,$C511,$J$10:$J$89,"&lt;&gt;")=0,"brak danych",VLOOKUP($C511,$A$10:$J$89,10,FALSE)*$E511))))))</x:f>
      </x:c>
      <x:c r="L511" s="24" t="str">
        <x:f>IF($A511="","",IF($F511="","",IF($F511=0,0,IF(COUNTIFS($A$10:$A$89,$C511)&lt;&gt;1,"brak danych",IF(COUNTIFS($A$10:$A$89,$C511,$F$10:$F$89,"&lt;&gt;")=0,"brak danych",VLOOKUP($C511,$A$10:$J$89,6,FALSE)*$F511)))))</x:f>
      </x:c>
      <x:c r="M511" s="25" t="str">
        <x:f>IF($A511="","",IF($F511="","",IF($F511=0,0,IF(COUNTIFS($A$10:$A$89,$C511)&lt;&gt;1,"brak danych",IF(COUNTIFS($A$10:$A$89,$C511,$G$10:$G$89,"&lt;&gt;")=0,"brak danych",VLOOKUP($C511,$A$10:$J$89,7,FALSE)*$F511)))))</x:f>
      </x:c>
      <x:c r="N511" s="25" t="str">
        <x:f>IF($A511="","",IF($F511="","",IF($F511=0,0,IF(COUNTIFS($A$10:$A$89,$C511)&lt;&gt;1,"brak danych",IF(COUNTIFS($A$10:$A$89,$C511,$H$10:$H$89,"&lt;&gt;")=0,"brak danych",VLOOKUP($C511,$A$10:$J$89,8,FALSE)*$F511)))))</x:f>
      </x:c>
      <x:c r="O511" s="25" t="str">
        <x:f>IF($A511="","",IF($F511="","",IF($F511=0,0,IF(COUNTIFS($A$10:$A$89,$C511)&lt;&gt;1,"brak danych",IF(COUNTIFS($A$10:$A$89,$C511,$I$10:$I$89,"&lt;&gt;")=0,"brak danych",VLOOKUP($C511,$A$10:$J$89,9,FALSE)*$F511)))))</x:f>
      </x:c>
      <x:c r="P511" s="25" t="str">
        <x:f>IF($A511="","",IF($F511="","",IF($F511=0,0,IF(COUNTIFS($A$10:$A$89,$C511)&lt;&gt;1,"brak danych",IF(COUNTIFS($A$10:$A$89,$C511,$J$10:$J$89,"&lt;&gt;")=0,"brak danych",VLOOKUP($C511,$A$10:$J$89,10,FALSE)*$F511)))))</x:f>
      </x:c>
      <x:c r="Q511" s="18"/>
    </x:row>
    <x:row r="512" ht="25" customHeight="1">
      <x:c r="A512" s="6"/>
      <x:c r="B512" s="30"/>
      <x:c r="C512" s="5"/>
      <x:c r="D512" s="5"/>
      <x:c r="E512" s="32"/>
      <x:c r="F512" s="32"/>
      <x:c r="G512" s="24" t="str">
        <x:f>IF($A512="","",IF(AND($C512="",$E512=""),"",IF($E512="","brak danych",IF($E512=0,0,IF(COUNTIFS($A$10:$A$89,$C512)&lt;&gt;1,"brak danych",IF(COUNTIFS($A$10:$A$89,$C512,$F$10:$F$89,"&lt;&gt;")=0,"brak danych",VLOOKUP($C512,$A$10:$J$89,6,FALSE)*$E512))))))</x:f>
      </x:c>
      <x:c r="H512" s="25" t="str">
        <x:f>IF($A512="","",IF(AND($C512="",$E512=""),"",IF($E512="","brak danych",IF($E512=0,0,IF(COUNTIFS($A$10:$A$89,$C512)&lt;&gt;1,"brak danych",IF(COUNTIFS($A$10:$A$89,$C512,$G$10:$G$89,"&lt;&gt;")=0,"brak danych",VLOOKUP($C512,$A$10:$J$89,7,FALSE)*$E512))))))</x:f>
      </x:c>
      <x:c r="I512" s="25" t="str">
        <x:f>IF($A512="","",IF(AND($C512="",$E512=""),"",IF($E512="","brak danych",IF($E512=0,0,IF(COUNTIFS($A$10:$A$89,$C512)&lt;&gt;1,"brak danych",IF(COUNTIFS($A$10:$A$89,$C512,$H$10:$H$89,"&lt;&gt;")=0,"brak danych",VLOOKUP($C512,$A$10:$J$89,8,FALSE)*$E512))))))</x:f>
      </x:c>
      <x:c r="J512" s="25" t="str">
        <x:f>IF($A512="","",IF(AND($C512="",$E512=""),"",IF($E512="","brak danych",IF($E512=0,0,IF(COUNTIFS($A$10:$A$89,$C512)&lt;&gt;1,"brak danych",IF(COUNTIFS($A$10:$A$89,$C512,$I$10:$I$89,"&lt;&gt;")=0,"brak danych",VLOOKUP($C512,$A$10:$J$89,9,FALSE)*$E512))))))</x:f>
      </x:c>
      <x:c r="K512" s="25" t="str">
        <x:f>IF($A512="","",IF(AND($C512="",$E512=""),"",IF($E512="","brak danych",IF($E512=0,0,IF(COUNTIFS($A$10:$A$89,$C512)&lt;&gt;1,"brak danych",IF(COUNTIFS($A$10:$A$89,$C512,$J$10:$J$89,"&lt;&gt;")=0,"brak danych",VLOOKUP($C512,$A$10:$J$89,10,FALSE)*$E512))))))</x:f>
      </x:c>
      <x:c r="L512" s="24" t="str">
        <x:f>IF($A512="","",IF($F512="","",IF($F512=0,0,IF(COUNTIFS($A$10:$A$89,$C512)&lt;&gt;1,"brak danych",IF(COUNTIFS($A$10:$A$89,$C512,$F$10:$F$89,"&lt;&gt;")=0,"brak danych",VLOOKUP($C512,$A$10:$J$89,6,FALSE)*$F512)))))</x:f>
      </x:c>
      <x:c r="M512" s="25" t="str">
        <x:f>IF($A512="","",IF($F512="","",IF($F512=0,0,IF(COUNTIFS($A$10:$A$89,$C512)&lt;&gt;1,"brak danych",IF(COUNTIFS($A$10:$A$89,$C512,$G$10:$G$89,"&lt;&gt;")=0,"brak danych",VLOOKUP($C512,$A$10:$J$89,7,FALSE)*$F512)))))</x:f>
      </x:c>
      <x:c r="N512" s="25" t="str">
        <x:f>IF($A512="","",IF($F512="","",IF($F512=0,0,IF(COUNTIFS($A$10:$A$89,$C512)&lt;&gt;1,"brak danych",IF(COUNTIFS($A$10:$A$89,$C512,$H$10:$H$89,"&lt;&gt;")=0,"brak danych",VLOOKUP($C512,$A$10:$J$89,8,FALSE)*$F512)))))</x:f>
      </x:c>
      <x:c r="O512" s="25" t="str">
        <x:f>IF($A512="","",IF($F512="","",IF($F512=0,0,IF(COUNTIFS($A$10:$A$89,$C512)&lt;&gt;1,"brak danych",IF(COUNTIFS($A$10:$A$89,$C512,$I$10:$I$89,"&lt;&gt;")=0,"brak danych",VLOOKUP($C512,$A$10:$J$89,9,FALSE)*$F512)))))</x:f>
      </x:c>
      <x:c r="P512" s="25" t="str">
        <x:f>IF($A512="","",IF($F512="","",IF($F512=0,0,IF(COUNTIFS($A$10:$A$89,$C512)&lt;&gt;1,"brak danych",IF(COUNTIFS($A$10:$A$89,$C512,$J$10:$J$89,"&lt;&gt;")=0,"brak danych",VLOOKUP($C512,$A$10:$J$89,10,FALSE)*$F512)))))</x:f>
      </x:c>
      <x:c r="Q512" s="18"/>
    </x:row>
    <x:row r="513" ht="25" customHeight="1">
      <x:c r="A513" s="6"/>
      <x:c r="B513" s="30"/>
      <x:c r="C513" s="5"/>
      <x:c r="D513" s="5"/>
      <x:c r="E513" s="32"/>
      <x:c r="F513" s="32"/>
      <x:c r="G513" s="24" t="str">
        <x:f>IF($A513="","",IF(AND($C513="",$E513=""),"",IF($E513="","brak danych",IF($E513=0,0,IF(COUNTIFS($A$10:$A$89,$C513)&lt;&gt;1,"brak danych",IF(COUNTIFS($A$10:$A$89,$C513,$F$10:$F$89,"&lt;&gt;")=0,"brak danych",VLOOKUP($C513,$A$10:$J$89,6,FALSE)*$E513))))))</x:f>
      </x:c>
      <x:c r="H513" s="25" t="str">
        <x:f>IF($A513="","",IF(AND($C513="",$E513=""),"",IF($E513="","brak danych",IF($E513=0,0,IF(COUNTIFS($A$10:$A$89,$C513)&lt;&gt;1,"brak danych",IF(COUNTIFS($A$10:$A$89,$C513,$G$10:$G$89,"&lt;&gt;")=0,"brak danych",VLOOKUP($C513,$A$10:$J$89,7,FALSE)*$E513))))))</x:f>
      </x:c>
      <x:c r="I513" s="25" t="str">
        <x:f>IF($A513="","",IF(AND($C513="",$E513=""),"",IF($E513="","brak danych",IF($E513=0,0,IF(COUNTIFS($A$10:$A$89,$C513)&lt;&gt;1,"brak danych",IF(COUNTIFS($A$10:$A$89,$C513,$H$10:$H$89,"&lt;&gt;")=0,"brak danych",VLOOKUP($C513,$A$10:$J$89,8,FALSE)*$E513))))))</x:f>
      </x:c>
      <x:c r="J513" s="25" t="str">
        <x:f>IF($A513="","",IF(AND($C513="",$E513=""),"",IF($E513="","brak danych",IF($E513=0,0,IF(COUNTIFS($A$10:$A$89,$C513)&lt;&gt;1,"brak danych",IF(COUNTIFS($A$10:$A$89,$C513,$I$10:$I$89,"&lt;&gt;")=0,"brak danych",VLOOKUP($C513,$A$10:$J$89,9,FALSE)*$E513))))))</x:f>
      </x:c>
      <x:c r="K513" s="25" t="str">
        <x:f>IF($A513="","",IF(AND($C513="",$E513=""),"",IF($E513="","brak danych",IF($E513=0,0,IF(COUNTIFS($A$10:$A$89,$C513)&lt;&gt;1,"brak danych",IF(COUNTIFS($A$10:$A$89,$C513,$J$10:$J$89,"&lt;&gt;")=0,"brak danych",VLOOKUP($C513,$A$10:$J$89,10,FALSE)*$E513))))))</x:f>
      </x:c>
      <x:c r="L513" s="24" t="str">
        <x:f>IF($A513="","",IF($F513="","",IF($F513=0,0,IF(COUNTIFS($A$10:$A$89,$C513)&lt;&gt;1,"brak danych",IF(COUNTIFS($A$10:$A$89,$C513,$F$10:$F$89,"&lt;&gt;")=0,"brak danych",VLOOKUP($C513,$A$10:$J$89,6,FALSE)*$F513)))))</x:f>
      </x:c>
      <x:c r="M513" s="25" t="str">
        <x:f>IF($A513="","",IF($F513="","",IF($F513=0,0,IF(COUNTIFS($A$10:$A$89,$C513)&lt;&gt;1,"brak danych",IF(COUNTIFS($A$10:$A$89,$C513,$G$10:$G$89,"&lt;&gt;")=0,"brak danych",VLOOKUP($C513,$A$10:$J$89,7,FALSE)*$F513)))))</x:f>
      </x:c>
      <x:c r="N513" s="25" t="str">
        <x:f>IF($A513="","",IF($F513="","",IF($F513=0,0,IF(COUNTIFS($A$10:$A$89,$C513)&lt;&gt;1,"brak danych",IF(COUNTIFS($A$10:$A$89,$C513,$H$10:$H$89,"&lt;&gt;")=0,"brak danych",VLOOKUP($C513,$A$10:$J$89,8,FALSE)*$F513)))))</x:f>
      </x:c>
      <x:c r="O513" s="25" t="str">
        <x:f>IF($A513="","",IF($F513="","",IF($F513=0,0,IF(COUNTIFS($A$10:$A$89,$C513)&lt;&gt;1,"brak danych",IF(COUNTIFS($A$10:$A$89,$C513,$I$10:$I$89,"&lt;&gt;")=0,"brak danych",VLOOKUP($C513,$A$10:$J$89,9,FALSE)*$F513)))))</x:f>
      </x:c>
      <x:c r="P513" s="25" t="str">
        <x:f>IF($A513="","",IF($F513="","",IF($F513=0,0,IF(COUNTIFS($A$10:$A$89,$C513)&lt;&gt;1,"brak danych",IF(COUNTIFS($A$10:$A$89,$C513,$J$10:$J$89,"&lt;&gt;")=0,"brak danych",VLOOKUP($C513,$A$10:$J$89,10,FALSE)*$F513)))))</x:f>
      </x:c>
      <x:c r="Q513" s="18"/>
    </x:row>
    <x:row r="514" ht="25" customHeight="1">
      <x:c r="A514" s="6"/>
      <x:c r="B514" s="30"/>
      <x:c r="C514" s="5"/>
      <x:c r="D514" s="5"/>
      <x:c r="E514" s="32"/>
      <x:c r="F514" s="32"/>
      <x:c r="G514" s="24" t="str">
        <x:f>IF($A514="","",IF(AND($C514="",$E514=""),"",IF($E514="","brak danych",IF($E514=0,0,IF(COUNTIFS($A$10:$A$89,$C514)&lt;&gt;1,"brak danych",IF(COUNTIFS($A$10:$A$89,$C514,$F$10:$F$89,"&lt;&gt;")=0,"brak danych",VLOOKUP($C514,$A$10:$J$89,6,FALSE)*$E514))))))</x:f>
      </x:c>
      <x:c r="H514" s="25" t="str">
        <x:f>IF($A514="","",IF(AND($C514="",$E514=""),"",IF($E514="","brak danych",IF($E514=0,0,IF(COUNTIFS($A$10:$A$89,$C514)&lt;&gt;1,"brak danych",IF(COUNTIFS($A$10:$A$89,$C514,$G$10:$G$89,"&lt;&gt;")=0,"brak danych",VLOOKUP($C514,$A$10:$J$89,7,FALSE)*$E514))))))</x:f>
      </x:c>
      <x:c r="I514" s="25" t="str">
        <x:f>IF($A514="","",IF(AND($C514="",$E514=""),"",IF($E514="","brak danych",IF($E514=0,0,IF(COUNTIFS($A$10:$A$89,$C514)&lt;&gt;1,"brak danych",IF(COUNTIFS($A$10:$A$89,$C514,$H$10:$H$89,"&lt;&gt;")=0,"brak danych",VLOOKUP($C514,$A$10:$J$89,8,FALSE)*$E514))))))</x:f>
      </x:c>
      <x:c r="J514" s="25" t="str">
        <x:f>IF($A514="","",IF(AND($C514="",$E514=""),"",IF($E514="","brak danych",IF($E514=0,0,IF(COUNTIFS($A$10:$A$89,$C514)&lt;&gt;1,"brak danych",IF(COUNTIFS($A$10:$A$89,$C514,$I$10:$I$89,"&lt;&gt;")=0,"brak danych",VLOOKUP($C514,$A$10:$J$89,9,FALSE)*$E514))))))</x:f>
      </x:c>
      <x:c r="K514" s="25" t="str">
        <x:f>IF($A514="","",IF(AND($C514="",$E514=""),"",IF($E514="","brak danych",IF($E514=0,0,IF(COUNTIFS($A$10:$A$89,$C514)&lt;&gt;1,"brak danych",IF(COUNTIFS($A$10:$A$89,$C514,$J$10:$J$89,"&lt;&gt;")=0,"brak danych",VLOOKUP($C514,$A$10:$J$89,10,FALSE)*$E514))))))</x:f>
      </x:c>
      <x:c r="L514" s="24" t="str">
        <x:f>IF($A514="","",IF($F514="","",IF($F514=0,0,IF(COUNTIFS($A$10:$A$89,$C514)&lt;&gt;1,"brak danych",IF(COUNTIFS($A$10:$A$89,$C514,$F$10:$F$89,"&lt;&gt;")=0,"brak danych",VLOOKUP($C514,$A$10:$J$89,6,FALSE)*$F514)))))</x:f>
      </x:c>
      <x:c r="M514" s="25" t="str">
        <x:f>IF($A514="","",IF($F514="","",IF($F514=0,0,IF(COUNTIFS($A$10:$A$89,$C514)&lt;&gt;1,"brak danych",IF(COUNTIFS($A$10:$A$89,$C514,$G$10:$G$89,"&lt;&gt;")=0,"brak danych",VLOOKUP($C514,$A$10:$J$89,7,FALSE)*$F514)))))</x:f>
      </x:c>
      <x:c r="N514" s="25" t="str">
        <x:f>IF($A514="","",IF($F514="","",IF($F514=0,0,IF(COUNTIFS($A$10:$A$89,$C514)&lt;&gt;1,"brak danych",IF(COUNTIFS($A$10:$A$89,$C514,$H$10:$H$89,"&lt;&gt;")=0,"brak danych",VLOOKUP($C514,$A$10:$J$89,8,FALSE)*$F514)))))</x:f>
      </x:c>
      <x:c r="O514" s="25" t="str">
        <x:f>IF($A514="","",IF($F514="","",IF($F514=0,0,IF(COUNTIFS($A$10:$A$89,$C514)&lt;&gt;1,"brak danych",IF(COUNTIFS($A$10:$A$89,$C514,$I$10:$I$89,"&lt;&gt;")=0,"brak danych",VLOOKUP($C514,$A$10:$J$89,9,FALSE)*$F514)))))</x:f>
      </x:c>
      <x:c r="P514" s="25" t="str">
        <x:f>IF($A514="","",IF($F514="","",IF($F514=0,0,IF(COUNTIFS($A$10:$A$89,$C514)&lt;&gt;1,"brak danych",IF(COUNTIFS($A$10:$A$89,$C514,$J$10:$J$89,"&lt;&gt;")=0,"brak danych",VLOOKUP($C514,$A$10:$J$89,10,FALSE)*$F514)))))</x:f>
      </x:c>
      <x:c r="Q514" s="18"/>
    </x:row>
    <x:row r="515" ht="25" customHeight="1">
      <x:c r="A515" s="6"/>
      <x:c r="B515" s="30"/>
      <x:c r="C515" s="5"/>
      <x:c r="D515" s="5"/>
      <x:c r="E515" s="32"/>
      <x:c r="F515" s="32"/>
      <x:c r="G515" s="24" t="str">
        <x:f>IF($A515="","",IF(AND($C515="",$E515=""),"",IF($E515="","brak danych",IF($E515=0,0,IF(COUNTIFS($A$10:$A$89,$C515)&lt;&gt;1,"brak danych",IF(COUNTIFS($A$10:$A$89,$C515,$F$10:$F$89,"&lt;&gt;")=0,"brak danych",VLOOKUP($C515,$A$10:$J$89,6,FALSE)*$E515))))))</x:f>
      </x:c>
      <x:c r="H515" s="25" t="str">
        <x:f>IF($A515="","",IF(AND($C515="",$E515=""),"",IF($E515="","brak danych",IF($E515=0,0,IF(COUNTIFS($A$10:$A$89,$C515)&lt;&gt;1,"brak danych",IF(COUNTIFS($A$10:$A$89,$C515,$G$10:$G$89,"&lt;&gt;")=0,"brak danych",VLOOKUP($C515,$A$10:$J$89,7,FALSE)*$E515))))))</x:f>
      </x:c>
      <x:c r="I515" s="25" t="str">
        <x:f>IF($A515="","",IF(AND($C515="",$E515=""),"",IF($E515="","brak danych",IF($E515=0,0,IF(COUNTIFS($A$10:$A$89,$C515)&lt;&gt;1,"brak danych",IF(COUNTIFS($A$10:$A$89,$C515,$H$10:$H$89,"&lt;&gt;")=0,"brak danych",VLOOKUP($C515,$A$10:$J$89,8,FALSE)*$E515))))))</x:f>
      </x:c>
      <x:c r="J515" s="25" t="str">
        <x:f>IF($A515="","",IF(AND($C515="",$E515=""),"",IF($E515="","brak danych",IF($E515=0,0,IF(COUNTIFS($A$10:$A$89,$C515)&lt;&gt;1,"brak danych",IF(COUNTIFS($A$10:$A$89,$C515,$I$10:$I$89,"&lt;&gt;")=0,"brak danych",VLOOKUP($C515,$A$10:$J$89,9,FALSE)*$E515))))))</x:f>
      </x:c>
      <x:c r="K515" s="25" t="str">
        <x:f>IF($A515="","",IF(AND($C515="",$E515=""),"",IF($E515="","brak danych",IF($E515=0,0,IF(COUNTIFS($A$10:$A$89,$C515)&lt;&gt;1,"brak danych",IF(COUNTIFS($A$10:$A$89,$C515,$J$10:$J$89,"&lt;&gt;")=0,"brak danych",VLOOKUP($C515,$A$10:$J$89,10,FALSE)*$E515))))))</x:f>
      </x:c>
      <x:c r="L515" s="24" t="str">
        <x:f>IF($A515="","",IF($F515="","",IF($F515=0,0,IF(COUNTIFS($A$10:$A$89,$C515)&lt;&gt;1,"brak danych",IF(COUNTIFS($A$10:$A$89,$C515,$F$10:$F$89,"&lt;&gt;")=0,"brak danych",VLOOKUP($C515,$A$10:$J$89,6,FALSE)*$F515)))))</x:f>
      </x:c>
      <x:c r="M515" s="25" t="str">
        <x:f>IF($A515="","",IF($F515="","",IF($F515=0,0,IF(COUNTIFS($A$10:$A$89,$C515)&lt;&gt;1,"brak danych",IF(COUNTIFS($A$10:$A$89,$C515,$G$10:$G$89,"&lt;&gt;")=0,"brak danych",VLOOKUP($C515,$A$10:$J$89,7,FALSE)*$F515)))))</x:f>
      </x:c>
      <x:c r="N515" s="25" t="str">
        <x:f>IF($A515="","",IF($F515="","",IF($F515=0,0,IF(COUNTIFS($A$10:$A$89,$C515)&lt;&gt;1,"brak danych",IF(COUNTIFS($A$10:$A$89,$C515,$H$10:$H$89,"&lt;&gt;")=0,"brak danych",VLOOKUP($C515,$A$10:$J$89,8,FALSE)*$F515)))))</x:f>
      </x:c>
      <x:c r="O515" s="25" t="str">
        <x:f>IF($A515="","",IF($F515="","",IF($F515=0,0,IF(COUNTIFS($A$10:$A$89,$C515)&lt;&gt;1,"brak danych",IF(COUNTIFS($A$10:$A$89,$C515,$I$10:$I$89,"&lt;&gt;")=0,"brak danych",VLOOKUP($C515,$A$10:$J$89,9,FALSE)*$F515)))))</x:f>
      </x:c>
      <x:c r="P515" s="25" t="str">
        <x:f>IF($A515="","",IF($F515="","",IF($F515=0,0,IF(COUNTIFS($A$10:$A$89,$C515)&lt;&gt;1,"brak danych",IF(COUNTIFS($A$10:$A$89,$C515,$J$10:$J$89,"&lt;&gt;")=0,"brak danych",VLOOKUP($C515,$A$10:$J$89,10,FALSE)*$F515)))))</x:f>
      </x:c>
      <x:c r="Q515" s="18"/>
    </x:row>
    <x:row r="516" ht="25" customHeight="1">
      <x:c r="A516" s="6"/>
      <x:c r="B516" s="30"/>
      <x:c r="C516" s="5"/>
      <x:c r="D516" s="5"/>
      <x:c r="E516" s="32"/>
      <x:c r="F516" s="32"/>
      <x:c r="G516" s="24" t="str">
        <x:f>IF($A516="","",IF(AND($C516="",$E516=""),"",IF($E516="","brak danych",IF($E516=0,0,IF(COUNTIFS($A$10:$A$89,$C516)&lt;&gt;1,"brak danych",IF(COUNTIFS($A$10:$A$89,$C516,$F$10:$F$89,"&lt;&gt;")=0,"brak danych",VLOOKUP($C516,$A$10:$J$89,6,FALSE)*$E516))))))</x:f>
      </x:c>
      <x:c r="H516" s="25" t="str">
        <x:f>IF($A516="","",IF(AND($C516="",$E516=""),"",IF($E516="","brak danych",IF($E516=0,0,IF(COUNTIFS($A$10:$A$89,$C516)&lt;&gt;1,"brak danych",IF(COUNTIFS($A$10:$A$89,$C516,$G$10:$G$89,"&lt;&gt;")=0,"brak danych",VLOOKUP($C516,$A$10:$J$89,7,FALSE)*$E516))))))</x:f>
      </x:c>
      <x:c r="I516" s="25" t="str">
        <x:f>IF($A516="","",IF(AND($C516="",$E516=""),"",IF($E516="","brak danych",IF($E516=0,0,IF(COUNTIFS($A$10:$A$89,$C516)&lt;&gt;1,"brak danych",IF(COUNTIFS($A$10:$A$89,$C516,$H$10:$H$89,"&lt;&gt;")=0,"brak danych",VLOOKUP($C516,$A$10:$J$89,8,FALSE)*$E516))))))</x:f>
      </x:c>
      <x:c r="J516" s="25" t="str">
        <x:f>IF($A516="","",IF(AND($C516="",$E516=""),"",IF($E516="","brak danych",IF($E516=0,0,IF(COUNTIFS($A$10:$A$89,$C516)&lt;&gt;1,"brak danych",IF(COUNTIFS($A$10:$A$89,$C516,$I$10:$I$89,"&lt;&gt;")=0,"brak danych",VLOOKUP($C516,$A$10:$J$89,9,FALSE)*$E516))))))</x:f>
      </x:c>
      <x:c r="K516" s="25" t="str">
        <x:f>IF($A516="","",IF(AND($C516="",$E516=""),"",IF($E516="","brak danych",IF($E516=0,0,IF(COUNTIFS($A$10:$A$89,$C516)&lt;&gt;1,"brak danych",IF(COUNTIFS($A$10:$A$89,$C516,$J$10:$J$89,"&lt;&gt;")=0,"brak danych",VLOOKUP($C516,$A$10:$J$89,10,FALSE)*$E516))))))</x:f>
      </x:c>
      <x:c r="L516" s="24" t="str">
        <x:f>IF($A516="","",IF($F516="","",IF($F516=0,0,IF(COUNTIFS($A$10:$A$89,$C516)&lt;&gt;1,"brak danych",IF(COUNTIFS($A$10:$A$89,$C516,$F$10:$F$89,"&lt;&gt;")=0,"brak danych",VLOOKUP($C516,$A$10:$J$89,6,FALSE)*$F516)))))</x:f>
      </x:c>
      <x:c r="M516" s="25" t="str">
        <x:f>IF($A516="","",IF($F516="","",IF($F516=0,0,IF(COUNTIFS($A$10:$A$89,$C516)&lt;&gt;1,"brak danych",IF(COUNTIFS($A$10:$A$89,$C516,$G$10:$G$89,"&lt;&gt;")=0,"brak danych",VLOOKUP($C516,$A$10:$J$89,7,FALSE)*$F516)))))</x:f>
      </x:c>
      <x:c r="N516" s="25" t="str">
        <x:f>IF($A516="","",IF($F516="","",IF($F516=0,0,IF(COUNTIFS($A$10:$A$89,$C516)&lt;&gt;1,"brak danych",IF(COUNTIFS($A$10:$A$89,$C516,$H$10:$H$89,"&lt;&gt;")=0,"brak danych",VLOOKUP($C516,$A$10:$J$89,8,FALSE)*$F516)))))</x:f>
      </x:c>
      <x:c r="O516" s="25" t="str">
        <x:f>IF($A516="","",IF($F516="","",IF($F516=0,0,IF(COUNTIFS($A$10:$A$89,$C516)&lt;&gt;1,"brak danych",IF(COUNTIFS($A$10:$A$89,$C516,$I$10:$I$89,"&lt;&gt;")=0,"brak danych",VLOOKUP($C516,$A$10:$J$89,9,FALSE)*$F516)))))</x:f>
      </x:c>
      <x:c r="P516" s="25" t="str">
        <x:f>IF($A516="","",IF($F516="","",IF($F516=0,0,IF(COUNTIFS($A$10:$A$89,$C516)&lt;&gt;1,"brak danych",IF(COUNTIFS($A$10:$A$89,$C516,$J$10:$J$89,"&lt;&gt;")=0,"brak danych",VLOOKUP($C516,$A$10:$J$89,10,FALSE)*$F516)))))</x:f>
      </x:c>
      <x:c r="Q516" s="18"/>
    </x:row>
    <x:row r="517" ht="25" customHeight="1">
      <x:c r="A517" s="6"/>
      <x:c r="B517" s="30"/>
      <x:c r="C517" s="5"/>
      <x:c r="D517" s="5"/>
      <x:c r="E517" s="32"/>
      <x:c r="F517" s="32"/>
      <x:c r="G517" s="24" t="str">
        <x:f>IF($A517="","",IF(AND($C517="",$E517=""),"",IF($E517="","brak danych",IF($E517=0,0,IF(COUNTIFS($A$10:$A$89,$C517)&lt;&gt;1,"brak danych",IF(COUNTIFS($A$10:$A$89,$C517,$F$10:$F$89,"&lt;&gt;")=0,"brak danych",VLOOKUP($C517,$A$10:$J$89,6,FALSE)*$E517))))))</x:f>
      </x:c>
      <x:c r="H517" s="25" t="str">
        <x:f>IF($A517="","",IF(AND($C517="",$E517=""),"",IF($E517="","brak danych",IF($E517=0,0,IF(COUNTIFS($A$10:$A$89,$C517)&lt;&gt;1,"brak danych",IF(COUNTIFS($A$10:$A$89,$C517,$G$10:$G$89,"&lt;&gt;")=0,"brak danych",VLOOKUP($C517,$A$10:$J$89,7,FALSE)*$E517))))))</x:f>
      </x:c>
      <x:c r="I517" s="25" t="str">
        <x:f>IF($A517="","",IF(AND($C517="",$E517=""),"",IF($E517="","brak danych",IF($E517=0,0,IF(COUNTIFS($A$10:$A$89,$C517)&lt;&gt;1,"brak danych",IF(COUNTIFS($A$10:$A$89,$C517,$H$10:$H$89,"&lt;&gt;")=0,"brak danych",VLOOKUP($C517,$A$10:$J$89,8,FALSE)*$E517))))))</x:f>
      </x:c>
      <x:c r="J517" s="25" t="str">
        <x:f>IF($A517="","",IF(AND($C517="",$E517=""),"",IF($E517="","brak danych",IF($E517=0,0,IF(COUNTIFS($A$10:$A$89,$C517)&lt;&gt;1,"brak danych",IF(COUNTIFS($A$10:$A$89,$C517,$I$10:$I$89,"&lt;&gt;")=0,"brak danych",VLOOKUP($C517,$A$10:$J$89,9,FALSE)*$E517))))))</x:f>
      </x:c>
      <x:c r="K517" s="25" t="str">
        <x:f>IF($A517="","",IF(AND($C517="",$E517=""),"",IF($E517="","brak danych",IF($E517=0,0,IF(COUNTIFS($A$10:$A$89,$C517)&lt;&gt;1,"brak danych",IF(COUNTIFS($A$10:$A$89,$C517,$J$10:$J$89,"&lt;&gt;")=0,"brak danych",VLOOKUP($C517,$A$10:$J$89,10,FALSE)*$E517))))))</x:f>
      </x:c>
      <x:c r="L517" s="24" t="str">
        <x:f>IF($A517="","",IF($F517="","",IF($F517=0,0,IF(COUNTIFS($A$10:$A$89,$C517)&lt;&gt;1,"brak danych",IF(COUNTIFS($A$10:$A$89,$C517,$F$10:$F$89,"&lt;&gt;")=0,"brak danych",VLOOKUP($C517,$A$10:$J$89,6,FALSE)*$F517)))))</x:f>
      </x:c>
      <x:c r="M517" s="25" t="str">
        <x:f>IF($A517="","",IF($F517="","",IF($F517=0,0,IF(COUNTIFS($A$10:$A$89,$C517)&lt;&gt;1,"brak danych",IF(COUNTIFS($A$10:$A$89,$C517,$G$10:$G$89,"&lt;&gt;")=0,"brak danych",VLOOKUP($C517,$A$10:$J$89,7,FALSE)*$F517)))))</x:f>
      </x:c>
      <x:c r="N517" s="25" t="str">
        <x:f>IF($A517="","",IF($F517="","",IF($F517=0,0,IF(COUNTIFS($A$10:$A$89,$C517)&lt;&gt;1,"brak danych",IF(COUNTIFS($A$10:$A$89,$C517,$H$10:$H$89,"&lt;&gt;")=0,"brak danych",VLOOKUP($C517,$A$10:$J$89,8,FALSE)*$F517)))))</x:f>
      </x:c>
      <x:c r="O517" s="25" t="str">
        <x:f>IF($A517="","",IF($F517="","",IF($F517=0,0,IF(COUNTIFS($A$10:$A$89,$C517)&lt;&gt;1,"brak danych",IF(COUNTIFS($A$10:$A$89,$C517,$I$10:$I$89,"&lt;&gt;")=0,"brak danych",VLOOKUP($C517,$A$10:$J$89,9,FALSE)*$F517)))))</x:f>
      </x:c>
      <x:c r="P517" s="25" t="str">
        <x:f>IF($A517="","",IF($F517="","",IF($F517=0,0,IF(COUNTIFS($A$10:$A$89,$C517)&lt;&gt;1,"brak danych",IF(COUNTIFS($A$10:$A$89,$C517,$J$10:$J$89,"&lt;&gt;")=0,"brak danych",VLOOKUP($C517,$A$10:$J$89,10,FALSE)*$F517)))))</x:f>
      </x:c>
      <x:c r="Q517" s="18"/>
    </x:row>
    <x:row r="518" ht="25" customHeight="1">
      <x:c r="A518" s="6"/>
      <x:c r="B518" s="30"/>
      <x:c r="C518" s="5"/>
      <x:c r="D518" s="5"/>
      <x:c r="E518" s="32"/>
      <x:c r="F518" s="32"/>
      <x:c r="G518" s="24" t="str">
        <x:f>IF($A518="","",IF(AND($C518="",$E518=""),"",IF($E518="","brak danych",IF($E518=0,0,IF(COUNTIFS($A$10:$A$89,$C518)&lt;&gt;1,"brak danych",IF(COUNTIFS($A$10:$A$89,$C518,$F$10:$F$89,"&lt;&gt;")=0,"brak danych",VLOOKUP($C518,$A$10:$J$89,6,FALSE)*$E518))))))</x:f>
      </x:c>
      <x:c r="H518" s="25" t="str">
        <x:f>IF($A518="","",IF(AND($C518="",$E518=""),"",IF($E518="","brak danych",IF($E518=0,0,IF(COUNTIFS($A$10:$A$89,$C518)&lt;&gt;1,"brak danych",IF(COUNTIFS($A$10:$A$89,$C518,$G$10:$G$89,"&lt;&gt;")=0,"brak danych",VLOOKUP($C518,$A$10:$J$89,7,FALSE)*$E518))))))</x:f>
      </x:c>
      <x:c r="I518" s="25" t="str">
        <x:f>IF($A518="","",IF(AND($C518="",$E518=""),"",IF($E518="","brak danych",IF($E518=0,0,IF(COUNTIFS($A$10:$A$89,$C518)&lt;&gt;1,"brak danych",IF(COUNTIFS($A$10:$A$89,$C518,$H$10:$H$89,"&lt;&gt;")=0,"brak danych",VLOOKUP($C518,$A$10:$J$89,8,FALSE)*$E518))))))</x:f>
      </x:c>
      <x:c r="J518" s="25" t="str">
        <x:f>IF($A518="","",IF(AND($C518="",$E518=""),"",IF($E518="","brak danych",IF($E518=0,0,IF(COUNTIFS($A$10:$A$89,$C518)&lt;&gt;1,"brak danych",IF(COUNTIFS($A$10:$A$89,$C518,$I$10:$I$89,"&lt;&gt;")=0,"brak danych",VLOOKUP($C518,$A$10:$J$89,9,FALSE)*$E518))))))</x:f>
      </x:c>
      <x:c r="K518" s="25" t="str">
        <x:f>IF($A518="","",IF(AND($C518="",$E518=""),"",IF($E518="","brak danych",IF($E518=0,0,IF(COUNTIFS($A$10:$A$89,$C518)&lt;&gt;1,"brak danych",IF(COUNTIFS($A$10:$A$89,$C518,$J$10:$J$89,"&lt;&gt;")=0,"brak danych",VLOOKUP($C518,$A$10:$J$89,10,FALSE)*$E518))))))</x:f>
      </x:c>
      <x:c r="L518" s="24" t="str">
        <x:f>IF($A518="","",IF($F518="","",IF($F518=0,0,IF(COUNTIFS($A$10:$A$89,$C518)&lt;&gt;1,"brak danych",IF(COUNTIFS($A$10:$A$89,$C518,$F$10:$F$89,"&lt;&gt;")=0,"brak danych",VLOOKUP($C518,$A$10:$J$89,6,FALSE)*$F518)))))</x:f>
      </x:c>
      <x:c r="M518" s="25" t="str">
        <x:f>IF($A518="","",IF($F518="","",IF($F518=0,0,IF(COUNTIFS($A$10:$A$89,$C518)&lt;&gt;1,"brak danych",IF(COUNTIFS($A$10:$A$89,$C518,$G$10:$G$89,"&lt;&gt;")=0,"brak danych",VLOOKUP($C518,$A$10:$J$89,7,FALSE)*$F518)))))</x:f>
      </x:c>
      <x:c r="N518" s="25" t="str">
        <x:f>IF($A518="","",IF($F518="","",IF($F518=0,0,IF(COUNTIFS($A$10:$A$89,$C518)&lt;&gt;1,"brak danych",IF(COUNTIFS($A$10:$A$89,$C518,$H$10:$H$89,"&lt;&gt;")=0,"brak danych",VLOOKUP($C518,$A$10:$J$89,8,FALSE)*$F518)))))</x:f>
      </x:c>
      <x:c r="O518" s="25" t="str">
        <x:f>IF($A518="","",IF($F518="","",IF($F518=0,0,IF(COUNTIFS($A$10:$A$89,$C518)&lt;&gt;1,"brak danych",IF(COUNTIFS($A$10:$A$89,$C518,$I$10:$I$89,"&lt;&gt;")=0,"brak danych",VLOOKUP($C518,$A$10:$J$89,9,FALSE)*$F518)))))</x:f>
      </x:c>
      <x:c r="P518" s="25" t="str">
        <x:f>IF($A518="","",IF($F518="","",IF($F518=0,0,IF(COUNTIFS($A$10:$A$89,$C518)&lt;&gt;1,"brak danych",IF(COUNTIFS($A$10:$A$89,$C518,$J$10:$J$89,"&lt;&gt;")=0,"brak danych",VLOOKUP($C518,$A$10:$J$89,10,FALSE)*$F518)))))</x:f>
      </x:c>
      <x:c r="Q518" s="18"/>
    </x:row>
    <x:row r="519" ht="25" customHeight="1">
      <x:c r="A519" s="6"/>
      <x:c r="B519" s="30"/>
      <x:c r="C519" s="5"/>
      <x:c r="D519" s="5"/>
      <x:c r="E519" s="32"/>
      <x:c r="F519" s="32"/>
      <x:c r="G519" s="24" t="str">
        <x:f>IF($A519="","",IF(AND($C519="",$E519=""),"",IF($E519="","brak danych",IF($E519=0,0,IF(COUNTIFS($A$10:$A$89,$C519)&lt;&gt;1,"brak danych",IF(COUNTIFS($A$10:$A$89,$C519,$F$10:$F$89,"&lt;&gt;")=0,"brak danych",VLOOKUP($C519,$A$10:$J$89,6,FALSE)*$E519))))))</x:f>
      </x:c>
      <x:c r="H519" s="25" t="str">
        <x:f>IF($A519="","",IF(AND($C519="",$E519=""),"",IF($E519="","brak danych",IF($E519=0,0,IF(COUNTIFS($A$10:$A$89,$C519)&lt;&gt;1,"brak danych",IF(COUNTIFS($A$10:$A$89,$C519,$G$10:$G$89,"&lt;&gt;")=0,"brak danych",VLOOKUP($C519,$A$10:$J$89,7,FALSE)*$E519))))))</x:f>
      </x:c>
      <x:c r="I519" s="25" t="str">
        <x:f>IF($A519="","",IF(AND($C519="",$E519=""),"",IF($E519="","brak danych",IF($E519=0,0,IF(COUNTIFS($A$10:$A$89,$C519)&lt;&gt;1,"brak danych",IF(COUNTIFS($A$10:$A$89,$C519,$H$10:$H$89,"&lt;&gt;")=0,"brak danych",VLOOKUP($C519,$A$10:$J$89,8,FALSE)*$E519))))))</x:f>
      </x:c>
      <x:c r="J519" s="25" t="str">
        <x:f>IF($A519="","",IF(AND($C519="",$E519=""),"",IF($E519="","brak danych",IF($E519=0,0,IF(COUNTIFS($A$10:$A$89,$C519)&lt;&gt;1,"brak danych",IF(COUNTIFS($A$10:$A$89,$C519,$I$10:$I$89,"&lt;&gt;")=0,"brak danych",VLOOKUP($C519,$A$10:$J$89,9,FALSE)*$E519))))))</x:f>
      </x:c>
      <x:c r="K519" s="25" t="str">
        <x:f>IF($A519="","",IF(AND($C519="",$E519=""),"",IF($E519="","brak danych",IF($E519=0,0,IF(COUNTIFS($A$10:$A$89,$C519)&lt;&gt;1,"brak danych",IF(COUNTIFS($A$10:$A$89,$C519,$J$10:$J$89,"&lt;&gt;")=0,"brak danych",VLOOKUP($C519,$A$10:$J$89,10,FALSE)*$E519))))))</x:f>
      </x:c>
      <x:c r="L519" s="24" t="str">
        <x:f>IF($A519="","",IF($F519="","",IF($F519=0,0,IF(COUNTIFS($A$10:$A$89,$C519)&lt;&gt;1,"brak danych",IF(COUNTIFS($A$10:$A$89,$C519,$F$10:$F$89,"&lt;&gt;")=0,"brak danych",VLOOKUP($C519,$A$10:$J$89,6,FALSE)*$F519)))))</x:f>
      </x:c>
      <x:c r="M519" s="25" t="str">
        <x:f>IF($A519="","",IF($F519="","",IF($F519=0,0,IF(COUNTIFS($A$10:$A$89,$C519)&lt;&gt;1,"brak danych",IF(COUNTIFS($A$10:$A$89,$C519,$G$10:$G$89,"&lt;&gt;")=0,"brak danych",VLOOKUP($C519,$A$10:$J$89,7,FALSE)*$F519)))))</x:f>
      </x:c>
      <x:c r="N519" s="25" t="str">
        <x:f>IF($A519="","",IF($F519="","",IF($F519=0,0,IF(COUNTIFS($A$10:$A$89,$C519)&lt;&gt;1,"brak danych",IF(COUNTIFS($A$10:$A$89,$C519,$H$10:$H$89,"&lt;&gt;")=0,"brak danych",VLOOKUP($C519,$A$10:$J$89,8,FALSE)*$F519)))))</x:f>
      </x:c>
      <x:c r="O519" s="25" t="str">
        <x:f>IF($A519="","",IF($F519="","",IF($F519=0,0,IF(COUNTIFS($A$10:$A$89,$C519)&lt;&gt;1,"brak danych",IF(COUNTIFS($A$10:$A$89,$C519,$I$10:$I$89,"&lt;&gt;")=0,"brak danych",VLOOKUP($C519,$A$10:$J$89,9,FALSE)*$F519)))))</x:f>
      </x:c>
      <x:c r="P519" s="25" t="str">
        <x:f>IF($A519="","",IF($F519="","",IF($F519=0,0,IF(COUNTIFS($A$10:$A$89,$C519)&lt;&gt;1,"brak danych",IF(COUNTIFS($A$10:$A$89,$C519,$J$10:$J$89,"&lt;&gt;")=0,"brak danych",VLOOKUP($C519,$A$10:$J$89,10,FALSE)*$F519)))))</x:f>
      </x:c>
      <x:c r="Q519" s="18"/>
    </x:row>
    <x:row r="520" ht="25" customHeight="1">
      <x:c r="A520" s="6"/>
      <x:c r="B520" s="30"/>
      <x:c r="C520" s="5"/>
      <x:c r="D520" s="5"/>
      <x:c r="E520" s="32"/>
      <x:c r="F520" s="32"/>
      <x:c r="G520" s="24" t="str">
        <x:f>IF($A520="","",IF(AND($C520="",$E520=""),"",IF($E520="","brak danych",IF($E520=0,0,IF(COUNTIFS($A$10:$A$89,$C520)&lt;&gt;1,"brak danych",IF(COUNTIFS($A$10:$A$89,$C520,$F$10:$F$89,"&lt;&gt;")=0,"brak danych",VLOOKUP($C520,$A$10:$J$89,6,FALSE)*$E520))))))</x:f>
      </x:c>
      <x:c r="H520" s="25" t="str">
        <x:f>IF($A520="","",IF(AND($C520="",$E520=""),"",IF($E520="","brak danych",IF($E520=0,0,IF(COUNTIFS($A$10:$A$89,$C520)&lt;&gt;1,"brak danych",IF(COUNTIFS($A$10:$A$89,$C520,$G$10:$G$89,"&lt;&gt;")=0,"brak danych",VLOOKUP($C520,$A$10:$J$89,7,FALSE)*$E520))))))</x:f>
      </x:c>
      <x:c r="I520" s="25" t="str">
        <x:f>IF($A520="","",IF(AND($C520="",$E520=""),"",IF($E520="","brak danych",IF($E520=0,0,IF(COUNTIFS($A$10:$A$89,$C520)&lt;&gt;1,"brak danych",IF(COUNTIFS($A$10:$A$89,$C520,$H$10:$H$89,"&lt;&gt;")=0,"brak danych",VLOOKUP($C520,$A$10:$J$89,8,FALSE)*$E520))))))</x:f>
      </x:c>
      <x:c r="J520" s="25" t="str">
        <x:f>IF($A520="","",IF(AND($C520="",$E520=""),"",IF($E520="","brak danych",IF($E520=0,0,IF(COUNTIFS($A$10:$A$89,$C520)&lt;&gt;1,"brak danych",IF(COUNTIFS($A$10:$A$89,$C520,$I$10:$I$89,"&lt;&gt;")=0,"brak danych",VLOOKUP($C520,$A$10:$J$89,9,FALSE)*$E520))))))</x:f>
      </x:c>
      <x:c r="K520" s="25" t="str">
        <x:f>IF($A520="","",IF(AND($C520="",$E520=""),"",IF($E520="","brak danych",IF($E520=0,0,IF(COUNTIFS($A$10:$A$89,$C520)&lt;&gt;1,"brak danych",IF(COUNTIFS($A$10:$A$89,$C520,$J$10:$J$89,"&lt;&gt;")=0,"brak danych",VLOOKUP($C520,$A$10:$J$89,10,FALSE)*$E520))))))</x:f>
      </x:c>
      <x:c r="L520" s="24" t="str">
        <x:f>IF($A520="","",IF($F520="","",IF($F520=0,0,IF(COUNTIFS($A$10:$A$89,$C520)&lt;&gt;1,"brak danych",IF(COUNTIFS($A$10:$A$89,$C520,$F$10:$F$89,"&lt;&gt;")=0,"brak danych",VLOOKUP($C520,$A$10:$J$89,6,FALSE)*$F520)))))</x:f>
      </x:c>
      <x:c r="M520" s="25" t="str">
        <x:f>IF($A520="","",IF($F520="","",IF($F520=0,0,IF(COUNTIFS($A$10:$A$89,$C520)&lt;&gt;1,"brak danych",IF(COUNTIFS($A$10:$A$89,$C520,$G$10:$G$89,"&lt;&gt;")=0,"brak danych",VLOOKUP($C520,$A$10:$J$89,7,FALSE)*$F520)))))</x:f>
      </x:c>
      <x:c r="N520" s="25" t="str">
        <x:f>IF($A520="","",IF($F520="","",IF($F520=0,0,IF(COUNTIFS($A$10:$A$89,$C520)&lt;&gt;1,"brak danych",IF(COUNTIFS($A$10:$A$89,$C520,$H$10:$H$89,"&lt;&gt;")=0,"brak danych",VLOOKUP($C520,$A$10:$J$89,8,FALSE)*$F520)))))</x:f>
      </x:c>
      <x:c r="O520" s="25" t="str">
        <x:f>IF($A520="","",IF($F520="","",IF($F520=0,0,IF(COUNTIFS($A$10:$A$89,$C520)&lt;&gt;1,"brak danych",IF(COUNTIFS($A$10:$A$89,$C520,$I$10:$I$89,"&lt;&gt;")=0,"brak danych",VLOOKUP($C520,$A$10:$J$89,9,FALSE)*$F520)))))</x:f>
      </x:c>
      <x:c r="P520" s="25" t="str">
        <x:f>IF($A520="","",IF($F520="","",IF($F520=0,0,IF(COUNTIFS($A$10:$A$89,$C520)&lt;&gt;1,"brak danych",IF(COUNTIFS($A$10:$A$89,$C520,$J$10:$J$89,"&lt;&gt;")=0,"brak danych",VLOOKUP($C520,$A$10:$J$89,10,FALSE)*$F520)))))</x:f>
      </x:c>
      <x:c r="Q520" s="18"/>
    </x:row>
    <x:row r="521" ht="25" customHeight="1">
      <x:c r="A521" s="6"/>
      <x:c r="B521" s="30"/>
      <x:c r="C521" s="5"/>
      <x:c r="D521" s="5"/>
      <x:c r="E521" s="32"/>
      <x:c r="F521" s="32"/>
      <x:c r="G521" s="24" t="str">
        <x:f>IF($A521="","",IF(AND($C521="",$E521=""),"",IF($E521="","brak danych",IF($E521=0,0,IF(COUNTIFS($A$10:$A$89,$C521)&lt;&gt;1,"brak danych",IF(COUNTIFS($A$10:$A$89,$C521,$F$10:$F$89,"&lt;&gt;")=0,"brak danych",VLOOKUP($C521,$A$10:$J$89,6,FALSE)*$E521))))))</x:f>
      </x:c>
      <x:c r="H521" s="25" t="str">
        <x:f>IF($A521="","",IF(AND($C521="",$E521=""),"",IF($E521="","brak danych",IF($E521=0,0,IF(COUNTIFS($A$10:$A$89,$C521)&lt;&gt;1,"brak danych",IF(COUNTIFS($A$10:$A$89,$C521,$G$10:$G$89,"&lt;&gt;")=0,"brak danych",VLOOKUP($C521,$A$10:$J$89,7,FALSE)*$E521))))))</x:f>
      </x:c>
      <x:c r="I521" s="25" t="str">
        <x:f>IF($A521="","",IF(AND($C521="",$E521=""),"",IF($E521="","brak danych",IF($E521=0,0,IF(COUNTIFS($A$10:$A$89,$C521)&lt;&gt;1,"brak danych",IF(COUNTIFS($A$10:$A$89,$C521,$H$10:$H$89,"&lt;&gt;")=0,"brak danych",VLOOKUP($C521,$A$10:$J$89,8,FALSE)*$E521))))))</x:f>
      </x:c>
      <x:c r="J521" s="25" t="str">
        <x:f>IF($A521="","",IF(AND($C521="",$E521=""),"",IF($E521="","brak danych",IF($E521=0,0,IF(COUNTIFS($A$10:$A$89,$C521)&lt;&gt;1,"brak danych",IF(COUNTIFS($A$10:$A$89,$C521,$I$10:$I$89,"&lt;&gt;")=0,"brak danych",VLOOKUP($C521,$A$10:$J$89,9,FALSE)*$E521))))))</x:f>
      </x:c>
      <x:c r="K521" s="25" t="str">
        <x:f>IF($A521="","",IF(AND($C521="",$E521=""),"",IF($E521="","brak danych",IF($E521=0,0,IF(COUNTIFS($A$10:$A$89,$C521)&lt;&gt;1,"brak danych",IF(COUNTIFS($A$10:$A$89,$C521,$J$10:$J$89,"&lt;&gt;")=0,"brak danych",VLOOKUP($C521,$A$10:$J$89,10,FALSE)*$E521))))))</x:f>
      </x:c>
      <x:c r="L521" s="24" t="str">
        <x:f>IF($A521="","",IF($F521="","",IF($F521=0,0,IF(COUNTIFS($A$10:$A$89,$C521)&lt;&gt;1,"brak danych",IF(COUNTIFS($A$10:$A$89,$C521,$F$10:$F$89,"&lt;&gt;")=0,"brak danych",VLOOKUP($C521,$A$10:$J$89,6,FALSE)*$F521)))))</x:f>
      </x:c>
      <x:c r="M521" s="25" t="str">
        <x:f>IF($A521="","",IF($F521="","",IF($F521=0,0,IF(COUNTIFS($A$10:$A$89,$C521)&lt;&gt;1,"brak danych",IF(COUNTIFS($A$10:$A$89,$C521,$G$10:$G$89,"&lt;&gt;")=0,"brak danych",VLOOKUP($C521,$A$10:$J$89,7,FALSE)*$F521)))))</x:f>
      </x:c>
      <x:c r="N521" s="25" t="str">
        <x:f>IF($A521="","",IF($F521="","",IF($F521=0,0,IF(COUNTIFS($A$10:$A$89,$C521)&lt;&gt;1,"brak danych",IF(COUNTIFS($A$10:$A$89,$C521,$H$10:$H$89,"&lt;&gt;")=0,"brak danych",VLOOKUP($C521,$A$10:$J$89,8,FALSE)*$F521)))))</x:f>
      </x:c>
      <x:c r="O521" s="25" t="str">
        <x:f>IF($A521="","",IF($F521="","",IF($F521=0,0,IF(COUNTIFS($A$10:$A$89,$C521)&lt;&gt;1,"brak danych",IF(COUNTIFS($A$10:$A$89,$C521,$I$10:$I$89,"&lt;&gt;")=0,"brak danych",VLOOKUP($C521,$A$10:$J$89,9,FALSE)*$F521)))))</x:f>
      </x:c>
      <x:c r="P521" s="25" t="str">
        <x:f>IF($A521="","",IF($F521="","",IF($F521=0,0,IF(COUNTIFS($A$10:$A$89,$C521)&lt;&gt;1,"brak danych",IF(COUNTIFS($A$10:$A$89,$C521,$J$10:$J$89,"&lt;&gt;")=0,"brak danych",VLOOKUP($C521,$A$10:$J$89,10,FALSE)*$F521)))))</x:f>
      </x:c>
      <x:c r="Q521" s="18"/>
    </x:row>
    <x:row r="522" ht="25" customHeight="1">
      <x:c r="A522" s="6"/>
      <x:c r="B522" s="30"/>
      <x:c r="C522" s="5"/>
      <x:c r="D522" s="5"/>
      <x:c r="E522" s="32"/>
      <x:c r="F522" s="32"/>
      <x:c r="G522" s="24" t="str">
        <x:f>IF($A522="","",IF(AND($C522="",$E522=""),"",IF($E522="","brak danych",IF($E522=0,0,IF(COUNTIFS($A$10:$A$89,$C522)&lt;&gt;1,"brak danych",IF(COUNTIFS($A$10:$A$89,$C522,$F$10:$F$89,"&lt;&gt;")=0,"brak danych",VLOOKUP($C522,$A$10:$J$89,6,FALSE)*$E522))))))</x:f>
      </x:c>
      <x:c r="H522" s="25" t="str">
        <x:f>IF($A522="","",IF(AND($C522="",$E522=""),"",IF($E522="","brak danych",IF($E522=0,0,IF(COUNTIFS($A$10:$A$89,$C522)&lt;&gt;1,"brak danych",IF(COUNTIFS($A$10:$A$89,$C522,$G$10:$G$89,"&lt;&gt;")=0,"brak danych",VLOOKUP($C522,$A$10:$J$89,7,FALSE)*$E522))))))</x:f>
      </x:c>
      <x:c r="I522" s="25" t="str">
        <x:f>IF($A522="","",IF(AND($C522="",$E522=""),"",IF($E522="","brak danych",IF($E522=0,0,IF(COUNTIFS($A$10:$A$89,$C522)&lt;&gt;1,"brak danych",IF(COUNTIFS($A$10:$A$89,$C522,$H$10:$H$89,"&lt;&gt;")=0,"brak danych",VLOOKUP($C522,$A$10:$J$89,8,FALSE)*$E522))))))</x:f>
      </x:c>
      <x:c r="J522" s="25" t="str">
        <x:f>IF($A522="","",IF(AND($C522="",$E522=""),"",IF($E522="","brak danych",IF($E522=0,0,IF(COUNTIFS($A$10:$A$89,$C522)&lt;&gt;1,"brak danych",IF(COUNTIFS($A$10:$A$89,$C522,$I$10:$I$89,"&lt;&gt;")=0,"brak danych",VLOOKUP($C522,$A$10:$J$89,9,FALSE)*$E522))))))</x:f>
      </x:c>
      <x:c r="K522" s="25" t="str">
        <x:f>IF($A522="","",IF(AND($C522="",$E522=""),"",IF($E522="","brak danych",IF($E522=0,0,IF(COUNTIFS($A$10:$A$89,$C522)&lt;&gt;1,"brak danych",IF(COUNTIFS($A$10:$A$89,$C522,$J$10:$J$89,"&lt;&gt;")=0,"brak danych",VLOOKUP($C522,$A$10:$J$89,10,FALSE)*$E522))))))</x:f>
      </x:c>
      <x:c r="L522" s="24" t="str">
        <x:f>IF($A522="","",IF($F522="","",IF($F522=0,0,IF(COUNTIFS($A$10:$A$89,$C522)&lt;&gt;1,"brak danych",IF(COUNTIFS($A$10:$A$89,$C522,$F$10:$F$89,"&lt;&gt;")=0,"brak danych",VLOOKUP($C522,$A$10:$J$89,6,FALSE)*$F522)))))</x:f>
      </x:c>
      <x:c r="M522" s="25" t="str">
        <x:f>IF($A522="","",IF($F522="","",IF($F522=0,0,IF(COUNTIFS($A$10:$A$89,$C522)&lt;&gt;1,"brak danych",IF(COUNTIFS($A$10:$A$89,$C522,$G$10:$G$89,"&lt;&gt;")=0,"brak danych",VLOOKUP($C522,$A$10:$J$89,7,FALSE)*$F522)))))</x:f>
      </x:c>
      <x:c r="N522" s="25" t="str">
        <x:f>IF($A522="","",IF($F522="","",IF($F522=0,0,IF(COUNTIFS($A$10:$A$89,$C522)&lt;&gt;1,"brak danych",IF(COUNTIFS($A$10:$A$89,$C522,$H$10:$H$89,"&lt;&gt;")=0,"brak danych",VLOOKUP($C522,$A$10:$J$89,8,FALSE)*$F522)))))</x:f>
      </x:c>
      <x:c r="O522" s="25" t="str">
        <x:f>IF($A522="","",IF($F522="","",IF($F522=0,0,IF(COUNTIFS($A$10:$A$89,$C522)&lt;&gt;1,"brak danych",IF(COUNTIFS($A$10:$A$89,$C522,$I$10:$I$89,"&lt;&gt;")=0,"brak danych",VLOOKUP($C522,$A$10:$J$89,9,FALSE)*$F522)))))</x:f>
      </x:c>
      <x:c r="P522" s="25" t="str">
        <x:f>IF($A522="","",IF($F522="","",IF($F522=0,0,IF(COUNTIFS($A$10:$A$89,$C522)&lt;&gt;1,"brak danych",IF(COUNTIFS($A$10:$A$89,$C522,$J$10:$J$89,"&lt;&gt;")=0,"brak danych",VLOOKUP($C522,$A$10:$J$89,10,FALSE)*$F522)))))</x:f>
      </x:c>
      <x:c r="Q522" s="18"/>
    </x:row>
    <x:row r="523" ht="25" customHeight="1">
      <x:c r="A523" s="6"/>
      <x:c r="B523" s="30"/>
      <x:c r="C523" s="5"/>
      <x:c r="D523" s="5"/>
      <x:c r="E523" s="32"/>
      <x:c r="F523" s="32"/>
      <x:c r="G523" s="24" t="str">
        <x:f>IF($A523="","",IF(AND($C523="",$E523=""),"",IF($E523="","brak danych",IF($E523=0,0,IF(COUNTIFS($A$10:$A$89,$C523)&lt;&gt;1,"brak danych",IF(COUNTIFS($A$10:$A$89,$C523,$F$10:$F$89,"&lt;&gt;")=0,"brak danych",VLOOKUP($C523,$A$10:$J$89,6,FALSE)*$E523))))))</x:f>
      </x:c>
      <x:c r="H523" s="25" t="str">
        <x:f>IF($A523="","",IF(AND($C523="",$E523=""),"",IF($E523="","brak danych",IF($E523=0,0,IF(COUNTIFS($A$10:$A$89,$C523)&lt;&gt;1,"brak danych",IF(COUNTIFS($A$10:$A$89,$C523,$G$10:$G$89,"&lt;&gt;")=0,"brak danych",VLOOKUP($C523,$A$10:$J$89,7,FALSE)*$E523))))))</x:f>
      </x:c>
      <x:c r="I523" s="25" t="str">
        <x:f>IF($A523="","",IF(AND($C523="",$E523=""),"",IF($E523="","brak danych",IF($E523=0,0,IF(COUNTIFS($A$10:$A$89,$C523)&lt;&gt;1,"brak danych",IF(COUNTIFS($A$10:$A$89,$C523,$H$10:$H$89,"&lt;&gt;")=0,"brak danych",VLOOKUP($C523,$A$10:$J$89,8,FALSE)*$E523))))))</x:f>
      </x:c>
      <x:c r="J523" s="25" t="str">
        <x:f>IF($A523="","",IF(AND($C523="",$E523=""),"",IF($E523="","brak danych",IF($E523=0,0,IF(COUNTIFS($A$10:$A$89,$C523)&lt;&gt;1,"brak danych",IF(COUNTIFS($A$10:$A$89,$C523,$I$10:$I$89,"&lt;&gt;")=0,"brak danych",VLOOKUP($C523,$A$10:$J$89,9,FALSE)*$E523))))))</x:f>
      </x:c>
      <x:c r="K523" s="25" t="str">
        <x:f>IF($A523="","",IF(AND($C523="",$E523=""),"",IF($E523="","brak danych",IF($E523=0,0,IF(COUNTIFS($A$10:$A$89,$C523)&lt;&gt;1,"brak danych",IF(COUNTIFS($A$10:$A$89,$C523,$J$10:$J$89,"&lt;&gt;")=0,"brak danych",VLOOKUP($C523,$A$10:$J$89,10,FALSE)*$E523))))))</x:f>
      </x:c>
      <x:c r="L523" s="24" t="str">
        <x:f>IF($A523="","",IF($F523="","",IF($F523=0,0,IF(COUNTIFS($A$10:$A$89,$C523)&lt;&gt;1,"brak danych",IF(COUNTIFS($A$10:$A$89,$C523,$F$10:$F$89,"&lt;&gt;")=0,"brak danych",VLOOKUP($C523,$A$10:$J$89,6,FALSE)*$F523)))))</x:f>
      </x:c>
      <x:c r="M523" s="25" t="str">
        <x:f>IF($A523="","",IF($F523="","",IF($F523=0,0,IF(COUNTIFS($A$10:$A$89,$C523)&lt;&gt;1,"brak danych",IF(COUNTIFS($A$10:$A$89,$C523,$G$10:$G$89,"&lt;&gt;")=0,"brak danych",VLOOKUP($C523,$A$10:$J$89,7,FALSE)*$F523)))))</x:f>
      </x:c>
      <x:c r="N523" s="25" t="str">
        <x:f>IF($A523="","",IF($F523="","",IF($F523=0,0,IF(COUNTIFS($A$10:$A$89,$C523)&lt;&gt;1,"brak danych",IF(COUNTIFS($A$10:$A$89,$C523,$H$10:$H$89,"&lt;&gt;")=0,"brak danych",VLOOKUP($C523,$A$10:$J$89,8,FALSE)*$F523)))))</x:f>
      </x:c>
      <x:c r="O523" s="25" t="str">
        <x:f>IF($A523="","",IF($F523="","",IF($F523=0,0,IF(COUNTIFS($A$10:$A$89,$C523)&lt;&gt;1,"brak danych",IF(COUNTIFS($A$10:$A$89,$C523,$I$10:$I$89,"&lt;&gt;")=0,"brak danych",VLOOKUP($C523,$A$10:$J$89,9,FALSE)*$F523)))))</x:f>
      </x:c>
      <x:c r="P523" s="25" t="str">
        <x:f>IF($A523="","",IF($F523="","",IF($F523=0,0,IF(COUNTIFS($A$10:$A$89,$C523)&lt;&gt;1,"brak danych",IF(COUNTIFS($A$10:$A$89,$C523,$J$10:$J$89,"&lt;&gt;")=0,"brak danych",VLOOKUP($C523,$A$10:$J$89,10,FALSE)*$F523)))))</x:f>
      </x:c>
      <x:c r="Q523" s="18"/>
    </x:row>
    <x:row r="524" ht="25" customHeight="1">
      <x:c r="A524" s="6"/>
      <x:c r="B524" s="30"/>
      <x:c r="C524" s="5"/>
      <x:c r="D524" s="5"/>
      <x:c r="E524" s="32"/>
      <x:c r="F524" s="32"/>
      <x:c r="G524" s="24" t="str">
        <x:f>IF($A524="","",IF(AND($C524="",$E524=""),"",IF($E524="","brak danych",IF($E524=0,0,IF(COUNTIFS($A$10:$A$89,$C524)&lt;&gt;1,"brak danych",IF(COUNTIFS($A$10:$A$89,$C524,$F$10:$F$89,"&lt;&gt;")=0,"brak danych",VLOOKUP($C524,$A$10:$J$89,6,FALSE)*$E524))))))</x:f>
      </x:c>
      <x:c r="H524" s="25" t="str">
        <x:f>IF($A524="","",IF(AND($C524="",$E524=""),"",IF($E524="","brak danych",IF($E524=0,0,IF(COUNTIFS($A$10:$A$89,$C524)&lt;&gt;1,"brak danych",IF(COUNTIFS($A$10:$A$89,$C524,$G$10:$G$89,"&lt;&gt;")=0,"brak danych",VLOOKUP($C524,$A$10:$J$89,7,FALSE)*$E524))))))</x:f>
      </x:c>
      <x:c r="I524" s="25" t="str">
        <x:f>IF($A524="","",IF(AND($C524="",$E524=""),"",IF($E524="","brak danych",IF($E524=0,0,IF(COUNTIFS($A$10:$A$89,$C524)&lt;&gt;1,"brak danych",IF(COUNTIFS($A$10:$A$89,$C524,$H$10:$H$89,"&lt;&gt;")=0,"brak danych",VLOOKUP($C524,$A$10:$J$89,8,FALSE)*$E524))))))</x:f>
      </x:c>
      <x:c r="J524" s="25" t="str">
        <x:f>IF($A524="","",IF(AND($C524="",$E524=""),"",IF($E524="","brak danych",IF($E524=0,0,IF(COUNTIFS($A$10:$A$89,$C524)&lt;&gt;1,"brak danych",IF(COUNTIFS($A$10:$A$89,$C524,$I$10:$I$89,"&lt;&gt;")=0,"brak danych",VLOOKUP($C524,$A$10:$J$89,9,FALSE)*$E524))))))</x:f>
      </x:c>
      <x:c r="K524" s="25" t="str">
        <x:f>IF($A524="","",IF(AND($C524="",$E524=""),"",IF($E524="","brak danych",IF($E524=0,0,IF(COUNTIFS($A$10:$A$89,$C524)&lt;&gt;1,"brak danych",IF(COUNTIFS($A$10:$A$89,$C524,$J$10:$J$89,"&lt;&gt;")=0,"brak danych",VLOOKUP($C524,$A$10:$J$89,10,FALSE)*$E524))))))</x:f>
      </x:c>
      <x:c r="L524" s="24" t="str">
        <x:f>IF($A524="","",IF($F524="","",IF($F524=0,0,IF(COUNTIFS($A$10:$A$89,$C524)&lt;&gt;1,"brak danych",IF(COUNTIFS($A$10:$A$89,$C524,$F$10:$F$89,"&lt;&gt;")=0,"brak danych",VLOOKUP($C524,$A$10:$J$89,6,FALSE)*$F524)))))</x:f>
      </x:c>
      <x:c r="M524" s="25" t="str">
        <x:f>IF($A524="","",IF($F524="","",IF($F524=0,0,IF(COUNTIFS($A$10:$A$89,$C524)&lt;&gt;1,"brak danych",IF(COUNTIFS($A$10:$A$89,$C524,$G$10:$G$89,"&lt;&gt;")=0,"brak danych",VLOOKUP($C524,$A$10:$J$89,7,FALSE)*$F524)))))</x:f>
      </x:c>
      <x:c r="N524" s="25" t="str">
        <x:f>IF($A524="","",IF($F524="","",IF($F524=0,0,IF(COUNTIFS($A$10:$A$89,$C524)&lt;&gt;1,"brak danych",IF(COUNTIFS($A$10:$A$89,$C524,$H$10:$H$89,"&lt;&gt;")=0,"brak danych",VLOOKUP($C524,$A$10:$J$89,8,FALSE)*$F524)))))</x:f>
      </x:c>
      <x:c r="O524" s="25" t="str">
        <x:f>IF($A524="","",IF($F524="","",IF($F524=0,0,IF(COUNTIFS($A$10:$A$89,$C524)&lt;&gt;1,"brak danych",IF(COUNTIFS($A$10:$A$89,$C524,$I$10:$I$89,"&lt;&gt;")=0,"brak danych",VLOOKUP($C524,$A$10:$J$89,9,FALSE)*$F524)))))</x:f>
      </x:c>
      <x:c r="P524" s="25" t="str">
        <x:f>IF($A524="","",IF($F524="","",IF($F524=0,0,IF(COUNTIFS($A$10:$A$89,$C524)&lt;&gt;1,"brak danych",IF(COUNTIFS($A$10:$A$89,$C524,$J$10:$J$89,"&lt;&gt;")=0,"brak danych",VLOOKUP($C524,$A$10:$J$89,10,FALSE)*$F524)))))</x:f>
      </x:c>
      <x:c r="Q524" s="18"/>
    </x:row>
    <x:row r="525" ht="25" customHeight="1">
      <x:c r="A525" s="6"/>
      <x:c r="B525" s="30"/>
      <x:c r="C525" s="5"/>
      <x:c r="D525" s="5"/>
      <x:c r="E525" s="32"/>
      <x:c r="F525" s="32"/>
      <x:c r="G525" s="24" t="str">
        <x:f>IF($A525="","",IF(AND($C525="",$E525=""),"",IF($E525="","brak danych",IF($E525=0,0,IF(COUNTIFS($A$10:$A$89,$C525)&lt;&gt;1,"brak danych",IF(COUNTIFS($A$10:$A$89,$C525,$F$10:$F$89,"&lt;&gt;")=0,"brak danych",VLOOKUP($C525,$A$10:$J$89,6,FALSE)*$E525))))))</x:f>
      </x:c>
      <x:c r="H525" s="25" t="str">
        <x:f>IF($A525="","",IF(AND($C525="",$E525=""),"",IF($E525="","brak danych",IF($E525=0,0,IF(COUNTIFS($A$10:$A$89,$C525)&lt;&gt;1,"brak danych",IF(COUNTIFS($A$10:$A$89,$C525,$G$10:$G$89,"&lt;&gt;")=0,"brak danych",VLOOKUP($C525,$A$10:$J$89,7,FALSE)*$E525))))))</x:f>
      </x:c>
      <x:c r="I525" s="25" t="str">
        <x:f>IF($A525="","",IF(AND($C525="",$E525=""),"",IF($E525="","brak danych",IF($E525=0,0,IF(COUNTIFS($A$10:$A$89,$C525)&lt;&gt;1,"brak danych",IF(COUNTIFS($A$10:$A$89,$C525,$H$10:$H$89,"&lt;&gt;")=0,"brak danych",VLOOKUP($C525,$A$10:$J$89,8,FALSE)*$E525))))))</x:f>
      </x:c>
      <x:c r="J525" s="25" t="str">
        <x:f>IF($A525="","",IF(AND($C525="",$E525=""),"",IF($E525="","brak danych",IF($E525=0,0,IF(COUNTIFS($A$10:$A$89,$C525)&lt;&gt;1,"brak danych",IF(COUNTIFS($A$10:$A$89,$C525,$I$10:$I$89,"&lt;&gt;")=0,"brak danych",VLOOKUP($C525,$A$10:$J$89,9,FALSE)*$E525))))))</x:f>
      </x:c>
      <x:c r="K525" s="25" t="str">
        <x:f>IF($A525="","",IF(AND($C525="",$E525=""),"",IF($E525="","brak danych",IF($E525=0,0,IF(COUNTIFS($A$10:$A$89,$C525)&lt;&gt;1,"brak danych",IF(COUNTIFS($A$10:$A$89,$C525,$J$10:$J$89,"&lt;&gt;")=0,"brak danych",VLOOKUP($C525,$A$10:$J$89,10,FALSE)*$E525))))))</x:f>
      </x:c>
      <x:c r="L525" s="24" t="str">
        <x:f>IF($A525="","",IF($F525="","",IF($F525=0,0,IF(COUNTIFS($A$10:$A$89,$C525)&lt;&gt;1,"brak danych",IF(COUNTIFS($A$10:$A$89,$C525,$F$10:$F$89,"&lt;&gt;")=0,"brak danych",VLOOKUP($C525,$A$10:$J$89,6,FALSE)*$F525)))))</x:f>
      </x:c>
      <x:c r="M525" s="25" t="str">
        <x:f>IF($A525="","",IF($F525="","",IF($F525=0,0,IF(COUNTIFS($A$10:$A$89,$C525)&lt;&gt;1,"brak danych",IF(COUNTIFS($A$10:$A$89,$C525,$G$10:$G$89,"&lt;&gt;")=0,"brak danych",VLOOKUP($C525,$A$10:$J$89,7,FALSE)*$F525)))))</x:f>
      </x:c>
      <x:c r="N525" s="25" t="str">
        <x:f>IF($A525="","",IF($F525="","",IF($F525=0,0,IF(COUNTIFS($A$10:$A$89,$C525)&lt;&gt;1,"brak danych",IF(COUNTIFS($A$10:$A$89,$C525,$H$10:$H$89,"&lt;&gt;")=0,"brak danych",VLOOKUP($C525,$A$10:$J$89,8,FALSE)*$F525)))))</x:f>
      </x:c>
      <x:c r="O525" s="25" t="str">
        <x:f>IF($A525="","",IF($F525="","",IF($F525=0,0,IF(COUNTIFS($A$10:$A$89,$C525)&lt;&gt;1,"brak danych",IF(COUNTIFS($A$10:$A$89,$C525,$I$10:$I$89,"&lt;&gt;")=0,"brak danych",VLOOKUP($C525,$A$10:$J$89,9,FALSE)*$F525)))))</x:f>
      </x:c>
      <x:c r="P525" s="25" t="str">
        <x:f>IF($A525="","",IF($F525="","",IF($F525=0,0,IF(COUNTIFS($A$10:$A$89,$C525)&lt;&gt;1,"brak danych",IF(COUNTIFS($A$10:$A$89,$C525,$J$10:$J$89,"&lt;&gt;")=0,"brak danych",VLOOKUP($C525,$A$10:$J$89,10,FALSE)*$F525)))))</x:f>
      </x:c>
      <x:c r="Q525" s="18"/>
    </x:row>
    <x:row r="526" ht="25" customHeight="1">
      <x:c r="A526" s="6"/>
      <x:c r="B526" s="30"/>
      <x:c r="C526" s="5"/>
      <x:c r="D526" s="5"/>
      <x:c r="E526" s="32"/>
      <x:c r="F526" s="32"/>
      <x:c r="G526" s="24" t="str">
        <x:f>IF($A526="","",IF(AND($C526="",$E526=""),"",IF($E526="","brak danych",IF($E526=0,0,IF(COUNTIFS($A$10:$A$89,$C526)&lt;&gt;1,"brak danych",IF(COUNTIFS($A$10:$A$89,$C526,$F$10:$F$89,"&lt;&gt;")=0,"brak danych",VLOOKUP($C526,$A$10:$J$89,6,FALSE)*$E526))))))</x:f>
      </x:c>
      <x:c r="H526" s="25" t="str">
        <x:f>IF($A526="","",IF(AND($C526="",$E526=""),"",IF($E526="","brak danych",IF($E526=0,0,IF(COUNTIFS($A$10:$A$89,$C526)&lt;&gt;1,"brak danych",IF(COUNTIFS($A$10:$A$89,$C526,$G$10:$G$89,"&lt;&gt;")=0,"brak danych",VLOOKUP($C526,$A$10:$J$89,7,FALSE)*$E526))))))</x:f>
      </x:c>
      <x:c r="I526" s="25" t="str">
        <x:f>IF($A526="","",IF(AND($C526="",$E526=""),"",IF($E526="","brak danych",IF($E526=0,0,IF(COUNTIFS($A$10:$A$89,$C526)&lt;&gt;1,"brak danych",IF(COUNTIFS($A$10:$A$89,$C526,$H$10:$H$89,"&lt;&gt;")=0,"brak danych",VLOOKUP($C526,$A$10:$J$89,8,FALSE)*$E526))))))</x:f>
      </x:c>
      <x:c r="J526" s="25" t="str">
        <x:f>IF($A526="","",IF(AND($C526="",$E526=""),"",IF($E526="","brak danych",IF($E526=0,0,IF(COUNTIFS($A$10:$A$89,$C526)&lt;&gt;1,"brak danych",IF(COUNTIFS($A$10:$A$89,$C526,$I$10:$I$89,"&lt;&gt;")=0,"brak danych",VLOOKUP($C526,$A$10:$J$89,9,FALSE)*$E526))))))</x:f>
      </x:c>
      <x:c r="K526" s="25" t="str">
        <x:f>IF($A526="","",IF(AND($C526="",$E526=""),"",IF($E526="","brak danych",IF($E526=0,0,IF(COUNTIFS($A$10:$A$89,$C526)&lt;&gt;1,"brak danych",IF(COUNTIFS($A$10:$A$89,$C526,$J$10:$J$89,"&lt;&gt;")=0,"brak danych",VLOOKUP($C526,$A$10:$J$89,10,FALSE)*$E526))))))</x:f>
      </x:c>
      <x:c r="L526" s="24" t="str">
        <x:f>IF($A526="","",IF($F526="","",IF($F526=0,0,IF(COUNTIFS($A$10:$A$89,$C526)&lt;&gt;1,"brak danych",IF(COUNTIFS($A$10:$A$89,$C526,$F$10:$F$89,"&lt;&gt;")=0,"brak danych",VLOOKUP($C526,$A$10:$J$89,6,FALSE)*$F526)))))</x:f>
      </x:c>
      <x:c r="M526" s="25" t="str">
        <x:f>IF($A526="","",IF($F526="","",IF($F526=0,0,IF(COUNTIFS($A$10:$A$89,$C526)&lt;&gt;1,"brak danych",IF(COUNTIFS($A$10:$A$89,$C526,$G$10:$G$89,"&lt;&gt;")=0,"brak danych",VLOOKUP($C526,$A$10:$J$89,7,FALSE)*$F526)))))</x:f>
      </x:c>
      <x:c r="N526" s="25" t="str">
        <x:f>IF($A526="","",IF($F526="","",IF($F526=0,0,IF(COUNTIFS($A$10:$A$89,$C526)&lt;&gt;1,"brak danych",IF(COUNTIFS($A$10:$A$89,$C526,$H$10:$H$89,"&lt;&gt;")=0,"brak danych",VLOOKUP($C526,$A$10:$J$89,8,FALSE)*$F526)))))</x:f>
      </x:c>
      <x:c r="O526" s="25" t="str">
        <x:f>IF($A526="","",IF($F526="","",IF($F526=0,0,IF(COUNTIFS($A$10:$A$89,$C526)&lt;&gt;1,"brak danych",IF(COUNTIFS($A$10:$A$89,$C526,$I$10:$I$89,"&lt;&gt;")=0,"brak danych",VLOOKUP($C526,$A$10:$J$89,9,FALSE)*$F526)))))</x:f>
      </x:c>
      <x:c r="P526" s="25" t="str">
        <x:f>IF($A526="","",IF($F526="","",IF($F526=0,0,IF(COUNTIFS($A$10:$A$89,$C526)&lt;&gt;1,"brak danych",IF(COUNTIFS($A$10:$A$89,$C526,$J$10:$J$89,"&lt;&gt;")=0,"brak danych",VLOOKUP($C526,$A$10:$J$89,10,FALSE)*$F526)))))</x:f>
      </x:c>
      <x:c r="Q526" s="18"/>
    </x:row>
    <x:row r="527" ht="25" customHeight="1">
      <x:c r="A527" s="6"/>
      <x:c r="B527" s="30"/>
      <x:c r="C527" s="5"/>
      <x:c r="D527" s="5"/>
      <x:c r="E527" s="32"/>
      <x:c r="F527" s="32"/>
      <x:c r="G527" s="24" t="str">
        <x:f>IF($A527="","",IF(AND($C527="",$E527=""),"",IF($E527="","brak danych",IF($E527=0,0,IF(COUNTIFS($A$10:$A$89,$C527)&lt;&gt;1,"brak danych",IF(COUNTIFS($A$10:$A$89,$C527,$F$10:$F$89,"&lt;&gt;")=0,"brak danych",VLOOKUP($C527,$A$10:$J$89,6,FALSE)*$E527))))))</x:f>
      </x:c>
      <x:c r="H527" s="25" t="str">
        <x:f>IF($A527="","",IF(AND($C527="",$E527=""),"",IF($E527="","brak danych",IF($E527=0,0,IF(COUNTIFS($A$10:$A$89,$C527)&lt;&gt;1,"brak danych",IF(COUNTIFS($A$10:$A$89,$C527,$G$10:$G$89,"&lt;&gt;")=0,"brak danych",VLOOKUP($C527,$A$10:$J$89,7,FALSE)*$E527))))))</x:f>
      </x:c>
      <x:c r="I527" s="25" t="str">
        <x:f>IF($A527="","",IF(AND($C527="",$E527=""),"",IF($E527="","brak danych",IF($E527=0,0,IF(COUNTIFS($A$10:$A$89,$C527)&lt;&gt;1,"brak danych",IF(COUNTIFS($A$10:$A$89,$C527,$H$10:$H$89,"&lt;&gt;")=0,"brak danych",VLOOKUP($C527,$A$10:$J$89,8,FALSE)*$E527))))))</x:f>
      </x:c>
      <x:c r="J527" s="25" t="str">
        <x:f>IF($A527="","",IF(AND($C527="",$E527=""),"",IF($E527="","brak danych",IF($E527=0,0,IF(COUNTIFS($A$10:$A$89,$C527)&lt;&gt;1,"brak danych",IF(COUNTIFS($A$10:$A$89,$C527,$I$10:$I$89,"&lt;&gt;")=0,"brak danych",VLOOKUP($C527,$A$10:$J$89,9,FALSE)*$E527))))))</x:f>
      </x:c>
      <x:c r="K527" s="25" t="str">
        <x:f>IF($A527="","",IF(AND($C527="",$E527=""),"",IF($E527="","brak danych",IF($E527=0,0,IF(COUNTIFS($A$10:$A$89,$C527)&lt;&gt;1,"brak danych",IF(COUNTIFS($A$10:$A$89,$C527,$J$10:$J$89,"&lt;&gt;")=0,"brak danych",VLOOKUP($C527,$A$10:$J$89,10,FALSE)*$E527))))))</x:f>
      </x:c>
      <x:c r="L527" s="24" t="str">
        <x:f>IF($A527="","",IF($F527="","",IF($F527=0,0,IF(COUNTIFS($A$10:$A$89,$C527)&lt;&gt;1,"brak danych",IF(COUNTIFS($A$10:$A$89,$C527,$F$10:$F$89,"&lt;&gt;")=0,"brak danych",VLOOKUP($C527,$A$10:$J$89,6,FALSE)*$F527)))))</x:f>
      </x:c>
      <x:c r="M527" s="25" t="str">
        <x:f>IF($A527="","",IF($F527="","",IF($F527=0,0,IF(COUNTIFS($A$10:$A$89,$C527)&lt;&gt;1,"brak danych",IF(COUNTIFS($A$10:$A$89,$C527,$G$10:$G$89,"&lt;&gt;")=0,"brak danych",VLOOKUP($C527,$A$10:$J$89,7,FALSE)*$F527)))))</x:f>
      </x:c>
      <x:c r="N527" s="25" t="str">
        <x:f>IF($A527="","",IF($F527="","",IF($F527=0,0,IF(COUNTIFS($A$10:$A$89,$C527)&lt;&gt;1,"brak danych",IF(COUNTIFS($A$10:$A$89,$C527,$H$10:$H$89,"&lt;&gt;")=0,"brak danych",VLOOKUP($C527,$A$10:$J$89,8,FALSE)*$F527)))))</x:f>
      </x:c>
      <x:c r="O527" s="25" t="str">
        <x:f>IF($A527="","",IF($F527="","",IF($F527=0,0,IF(COUNTIFS($A$10:$A$89,$C527)&lt;&gt;1,"brak danych",IF(COUNTIFS($A$10:$A$89,$C527,$I$10:$I$89,"&lt;&gt;")=0,"brak danych",VLOOKUP($C527,$A$10:$J$89,9,FALSE)*$F527)))))</x:f>
      </x:c>
      <x:c r="P527" s="25" t="str">
        <x:f>IF($A527="","",IF($F527="","",IF($F527=0,0,IF(COUNTIFS($A$10:$A$89,$C527)&lt;&gt;1,"brak danych",IF(COUNTIFS($A$10:$A$89,$C527,$J$10:$J$89,"&lt;&gt;")=0,"brak danych",VLOOKUP($C527,$A$10:$J$89,10,FALSE)*$F527)))))</x:f>
      </x:c>
      <x:c r="Q527" s="18"/>
    </x:row>
    <x:row r="528" ht="25" customHeight="1">
      <x:c r="A528" s="6"/>
      <x:c r="B528" s="30"/>
      <x:c r="C528" s="5"/>
      <x:c r="D528" s="5"/>
      <x:c r="E528" s="32"/>
      <x:c r="F528" s="32"/>
      <x:c r="G528" s="24" t="str">
        <x:f>IF($A528="","",IF(AND($C528="",$E528=""),"",IF($E528="","brak danych",IF($E528=0,0,IF(COUNTIFS($A$10:$A$89,$C528)&lt;&gt;1,"brak danych",IF(COUNTIFS($A$10:$A$89,$C528,$F$10:$F$89,"&lt;&gt;")=0,"brak danych",VLOOKUP($C528,$A$10:$J$89,6,FALSE)*$E528))))))</x:f>
      </x:c>
      <x:c r="H528" s="25" t="str">
        <x:f>IF($A528="","",IF(AND($C528="",$E528=""),"",IF($E528="","brak danych",IF($E528=0,0,IF(COUNTIFS($A$10:$A$89,$C528)&lt;&gt;1,"brak danych",IF(COUNTIFS($A$10:$A$89,$C528,$G$10:$G$89,"&lt;&gt;")=0,"brak danych",VLOOKUP($C528,$A$10:$J$89,7,FALSE)*$E528))))))</x:f>
      </x:c>
      <x:c r="I528" s="25" t="str">
        <x:f>IF($A528="","",IF(AND($C528="",$E528=""),"",IF($E528="","brak danych",IF($E528=0,0,IF(COUNTIFS($A$10:$A$89,$C528)&lt;&gt;1,"brak danych",IF(COUNTIFS($A$10:$A$89,$C528,$H$10:$H$89,"&lt;&gt;")=0,"brak danych",VLOOKUP($C528,$A$10:$J$89,8,FALSE)*$E528))))))</x:f>
      </x:c>
      <x:c r="J528" s="25" t="str">
        <x:f>IF($A528="","",IF(AND($C528="",$E528=""),"",IF($E528="","brak danych",IF($E528=0,0,IF(COUNTIFS($A$10:$A$89,$C528)&lt;&gt;1,"brak danych",IF(COUNTIFS($A$10:$A$89,$C528,$I$10:$I$89,"&lt;&gt;")=0,"brak danych",VLOOKUP($C528,$A$10:$J$89,9,FALSE)*$E528))))))</x:f>
      </x:c>
      <x:c r="K528" s="25" t="str">
        <x:f>IF($A528="","",IF(AND($C528="",$E528=""),"",IF($E528="","brak danych",IF($E528=0,0,IF(COUNTIFS($A$10:$A$89,$C528)&lt;&gt;1,"brak danych",IF(COUNTIFS($A$10:$A$89,$C528,$J$10:$J$89,"&lt;&gt;")=0,"brak danych",VLOOKUP($C528,$A$10:$J$89,10,FALSE)*$E528))))))</x:f>
      </x:c>
      <x:c r="L528" s="24" t="str">
        <x:f>IF($A528="","",IF($F528="","",IF($F528=0,0,IF(COUNTIFS($A$10:$A$89,$C528)&lt;&gt;1,"brak danych",IF(COUNTIFS($A$10:$A$89,$C528,$F$10:$F$89,"&lt;&gt;")=0,"brak danych",VLOOKUP($C528,$A$10:$J$89,6,FALSE)*$F528)))))</x:f>
      </x:c>
      <x:c r="M528" s="25" t="str">
        <x:f>IF($A528="","",IF($F528="","",IF($F528=0,0,IF(COUNTIFS($A$10:$A$89,$C528)&lt;&gt;1,"brak danych",IF(COUNTIFS($A$10:$A$89,$C528,$G$10:$G$89,"&lt;&gt;")=0,"brak danych",VLOOKUP($C528,$A$10:$J$89,7,FALSE)*$F528)))))</x:f>
      </x:c>
      <x:c r="N528" s="25" t="str">
        <x:f>IF($A528="","",IF($F528="","",IF($F528=0,0,IF(COUNTIFS($A$10:$A$89,$C528)&lt;&gt;1,"brak danych",IF(COUNTIFS($A$10:$A$89,$C528,$H$10:$H$89,"&lt;&gt;")=0,"brak danych",VLOOKUP($C528,$A$10:$J$89,8,FALSE)*$F528)))))</x:f>
      </x:c>
      <x:c r="O528" s="25" t="str">
        <x:f>IF($A528="","",IF($F528="","",IF($F528=0,0,IF(COUNTIFS($A$10:$A$89,$C528)&lt;&gt;1,"brak danych",IF(COUNTIFS($A$10:$A$89,$C528,$I$10:$I$89,"&lt;&gt;")=0,"brak danych",VLOOKUP($C528,$A$10:$J$89,9,FALSE)*$F528)))))</x:f>
      </x:c>
      <x:c r="P528" s="25" t="str">
        <x:f>IF($A528="","",IF($F528="","",IF($F528=0,0,IF(COUNTIFS($A$10:$A$89,$C528)&lt;&gt;1,"brak danych",IF(COUNTIFS($A$10:$A$89,$C528,$J$10:$J$89,"&lt;&gt;")=0,"brak danych",VLOOKUP($C528,$A$10:$J$89,10,FALSE)*$F528)))))</x:f>
      </x:c>
      <x:c r="Q528" s="18"/>
    </x:row>
    <x:row r="529" ht="25" customHeight="1">
      <x:c r="A529" s="6"/>
      <x:c r="B529" s="30"/>
      <x:c r="C529" s="5"/>
      <x:c r="D529" s="5"/>
      <x:c r="E529" s="32"/>
      <x:c r="F529" s="32"/>
      <x:c r="G529" s="24" t="str">
        <x:f>IF($A529="","",IF(AND($C529="",$E529=""),"",IF($E529="","brak danych",IF($E529=0,0,IF(COUNTIFS($A$10:$A$89,$C529)&lt;&gt;1,"brak danych",IF(COUNTIFS($A$10:$A$89,$C529,$F$10:$F$89,"&lt;&gt;")=0,"brak danych",VLOOKUP($C529,$A$10:$J$89,6,FALSE)*$E529))))))</x:f>
      </x:c>
      <x:c r="H529" s="25" t="str">
        <x:f>IF($A529="","",IF(AND($C529="",$E529=""),"",IF($E529="","brak danych",IF($E529=0,0,IF(COUNTIFS($A$10:$A$89,$C529)&lt;&gt;1,"brak danych",IF(COUNTIFS($A$10:$A$89,$C529,$G$10:$G$89,"&lt;&gt;")=0,"brak danych",VLOOKUP($C529,$A$10:$J$89,7,FALSE)*$E529))))))</x:f>
      </x:c>
      <x:c r="I529" s="25" t="str">
        <x:f>IF($A529="","",IF(AND($C529="",$E529=""),"",IF($E529="","brak danych",IF($E529=0,0,IF(COUNTIFS($A$10:$A$89,$C529)&lt;&gt;1,"brak danych",IF(COUNTIFS($A$10:$A$89,$C529,$H$10:$H$89,"&lt;&gt;")=0,"brak danych",VLOOKUP($C529,$A$10:$J$89,8,FALSE)*$E529))))))</x:f>
      </x:c>
      <x:c r="J529" s="25" t="str">
        <x:f>IF($A529="","",IF(AND($C529="",$E529=""),"",IF($E529="","brak danych",IF($E529=0,0,IF(COUNTIFS($A$10:$A$89,$C529)&lt;&gt;1,"brak danych",IF(COUNTIFS($A$10:$A$89,$C529,$I$10:$I$89,"&lt;&gt;")=0,"brak danych",VLOOKUP($C529,$A$10:$J$89,9,FALSE)*$E529))))))</x:f>
      </x:c>
      <x:c r="K529" s="25" t="str">
        <x:f>IF($A529="","",IF(AND($C529="",$E529=""),"",IF($E529="","brak danych",IF($E529=0,0,IF(COUNTIFS($A$10:$A$89,$C529)&lt;&gt;1,"brak danych",IF(COUNTIFS($A$10:$A$89,$C529,$J$10:$J$89,"&lt;&gt;")=0,"brak danych",VLOOKUP($C529,$A$10:$J$89,10,FALSE)*$E529))))))</x:f>
      </x:c>
      <x:c r="L529" s="24" t="str">
        <x:f>IF($A529="","",IF($F529="","",IF($F529=0,0,IF(COUNTIFS($A$10:$A$89,$C529)&lt;&gt;1,"brak danych",IF(COUNTIFS($A$10:$A$89,$C529,$F$10:$F$89,"&lt;&gt;")=0,"brak danych",VLOOKUP($C529,$A$10:$J$89,6,FALSE)*$F529)))))</x:f>
      </x:c>
      <x:c r="M529" s="25" t="str">
        <x:f>IF($A529="","",IF($F529="","",IF($F529=0,0,IF(COUNTIFS($A$10:$A$89,$C529)&lt;&gt;1,"brak danych",IF(COUNTIFS($A$10:$A$89,$C529,$G$10:$G$89,"&lt;&gt;")=0,"brak danych",VLOOKUP($C529,$A$10:$J$89,7,FALSE)*$F529)))))</x:f>
      </x:c>
      <x:c r="N529" s="25" t="str">
        <x:f>IF($A529="","",IF($F529="","",IF($F529=0,0,IF(COUNTIFS($A$10:$A$89,$C529)&lt;&gt;1,"brak danych",IF(COUNTIFS($A$10:$A$89,$C529,$H$10:$H$89,"&lt;&gt;")=0,"brak danych",VLOOKUP($C529,$A$10:$J$89,8,FALSE)*$F529)))))</x:f>
      </x:c>
      <x:c r="O529" s="25" t="str">
        <x:f>IF($A529="","",IF($F529="","",IF($F529=0,0,IF(COUNTIFS($A$10:$A$89,$C529)&lt;&gt;1,"brak danych",IF(COUNTIFS($A$10:$A$89,$C529,$I$10:$I$89,"&lt;&gt;")=0,"brak danych",VLOOKUP($C529,$A$10:$J$89,9,FALSE)*$F529)))))</x:f>
      </x:c>
      <x:c r="P529" s="25" t="str">
        <x:f>IF($A529="","",IF($F529="","",IF($F529=0,0,IF(COUNTIFS($A$10:$A$89,$C529)&lt;&gt;1,"brak danych",IF(COUNTIFS($A$10:$A$89,$C529,$J$10:$J$89,"&lt;&gt;")=0,"brak danych",VLOOKUP($C529,$A$10:$J$89,10,FALSE)*$F529)))))</x:f>
      </x:c>
      <x:c r="Q529" s="18"/>
    </x:row>
    <x:row r="530" ht="25" customHeight="1">
      <x:c r="A530" s="6"/>
      <x:c r="B530" s="30"/>
      <x:c r="C530" s="5"/>
      <x:c r="D530" s="5"/>
      <x:c r="E530" s="32"/>
      <x:c r="F530" s="32"/>
      <x:c r="G530" s="24" t="str">
        <x:f>IF($A530="","",IF(AND($C530="",$E530=""),"",IF($E530="","brak danych",IF($E530=0,0,IF(COUNTIFS($A$10:$A$89,$C530)&lt;&gt;1,"brak danych",IF(COUNTIFS($A$10:$A$89,$C530,$F$10:$F$89,"&lt;&gt;")=0,"brak danych",VLOOKUP($C530,$A$10:$J$89,6,FALSE)*$E530))))))</x:f>
      </x:c>
      <x:c r="H530" s="25" t="str">
        <x:f>IF($A530="","",IF(AND($C530="",$E530=""),"",IF($E530="","brak danych",IF($E530=0,0,IF(COUNTIFS($A$10:$A$89,$C530)&lt;&gt;1,"brak danych",IF(COUNTIFS($A$10:$A$89,$C530,$G$10:$G$89,"&lt;&gt;")=0,"brak danych",VLOOKUP($C530,$A$10:$J$89,7,FALSE)*$E530))))))</x:f>
      </x:c>
      <x:c r="I530" s="25" t="str">
        <x:f>IF($A530="","",IF(AND($C530="",$E530=""),"",IF($E530="","brak danych",IF($E530=0,0,IF(COUNTIFS($A$10:$A$89,$C530)&lt;&gt;1,"brak danych",IF(COUNTIFS($A$10:$A$89,$C530,$H$10:$H$89,"&lt;&gt;")=0,"brak danych",VLOOKUP($C530,$A$10:$J$89,8,FALSE)*$E530))))))</x:f>
      </x:c>
      <x:c r="J530" s="25" t="str">
        <x:f>IF($A530="","",IF(AND($C530="",$E530=""),"",IF($E530="","brak danych",IF($E530=0,0,IF(COUNTIFS($A$10:$A$89,$C530)&lt;&gt;1,"brak danych",IF(COUNTIFS($A$10:$A$89,$C530,$I$10:$I$89,"&lt;&gt;")=0,"brak danych",VLOOKUP($C530,$A$10:$J$89,9,FALSE)*$E530))))))</x:f>
      </x:c>
      <x:c r="K530" s="25" t="str">
        <x:f>IF($A530="","",IF(AND($C530="",$E530=""),"",IF($E530="","brak danych",IF($E530=0,0,IF(COUNTIFS($A$10:$A$89,$C530)&lt;&gt;1,"brak danych",IF(COUNTIFS($A$10:$A$89,$C530,$J$10:$J$89,"&lt;&gt;")=0,"brak danych",VLOOKUP($C530,$A$10:$J$89,10,FALSE)*$E530))))))</x:f>
      </x:c>
      <x:c r="L530" s="24" t="str">
        <x:f>IF($A530="","",IF($F530="","",IF($F530=0,0,IF(COUNTIFS($A$10:$A$89,$C530)&lt;&gt;1,"brak danych",IF(COUNTIFS($A$10:$A$89,$C530,$F$10:$F$89,"&lt;&gt;")=0,"brak danych",VLOOKUP($C530,$A$10:$J$89,6,FALSE)*$F530)))))</x:f>
      </x:c>
      <x:c r="M530" s="25" t="str">
        <x:f>IF($A530="","",IF($F530="","",IF($F530=0,0,IF(COUNTIFS($A$10:$A$89,$C530)&lt;&gt;1,"brak danych",IF(COUNTIFS($A$10:$A$89,$C530,$G$10:$G$89,"&lt;&gt;")=0,"brak danych",VLOOKUP($C530,$A$10:$J$89,7,FALSE)*$F530)))))</x:f>
      </x:c>
      <x:c r="N530" s="25" t="str">
        <x:f>IF($A530="","",IF($F530="","",IF($F530=0,0,IF(COUNTIFS($A$10:$A$89,$C530)&lt;&gt;1,"brak danych",IF(COUNTIFS($A$10:$A$89,$C530,$H$10:$H$89,"&lt;&gt;")=0,"brak danych",VLOOKUP($C530,$A$10:$J$89,8,FALSE)*$F530)))))</x:f>
      </x:c>
      <x:c r="O530" s="25" t="str">
        <x:f>IF($A530="","",IF($F530="","",IF($F530=0,0,IF(COUNTIFS($A$10:$A$89,$C530)&lt;&gt;1,"brak danych",IF(COUNTIFS($A$10:$A$89,$C530,$I$10:$I$89,"&lt;&gt;")=0,"brak danych",VLOOKUP($C530,$A$10:$J$89,9,FALSE)*$F530)))))</x:f>
      </x:c>
      <x:c r="P530" s="25" t="str">
        <x:f>IF($A530="","",IF($F530="","",IF($F530=0,0,IF(COUNTIFS($A$10:$A$89,$C530)&lt;&gt;1,"brak danych",IF(COUNTIFS($A$10:$A$89,$C530,$J$10:$J$89,"&lt;&gt;")=0,"brak danych",VLOOKUP($C530,$A$10:$J$89,10,FALSE)*$F530)))))</x:f>
      </x:c>
      <x:c r="Q530" s="18"/>
    </x:row>
    <x:row r="531" ht="25" customHeight="1">
      <x:c r="A531" s="6"/>
      <x:c r="B531" s="30"/>
      <x:c r="C531" s="5"/>
      <x:c r="D531" s="5"/>
      <x:c r="E531" s="32"/>
      <x:c r="F531" s="32"/>
      <x:c r="G531" s="24" t="str">
        <x:f>IF($A531="","",IF(AND($C531="",$E531=""),"",IF($E531="","brak danych",IF($E531=0,0,IF(COUNTIFS($A$10:$A$89,$C531)&lt;&gt;1,"brak danych",IF(COUNTIFS($A$10:$A$89,$C531,$F$10:$F$89,"&lt;&gt;")=0,"brak danych",VLOOKUP($C531,$A$10:$J$89,6,FALSE)*$E531))))))</x:f>
      </x:c>
      <x:c r="H531" s="25" t="str">
        <x:f>IF($A531="","",IF(AND($C531="",$E531=""),"",IF($E531="","brak danych",IF($E531=0,0,IF(COUNTIFS($A$10:$A$89,$C531)&lt;&gt;1,"brak danych",IF(COUNTIFS($A$10:$A$89,$C531,$G$10:$G$89,"&lt;&gt;")=0,"brak danych",VLOOKUP($C531,$A$10:$J$89,7,FALSE)*$E531))))))</x:f>
      </x:c>
      <x:c r="I531" s="25" t="str">
        <x:f>IF($A531="","",IF(AND($C531="",$E531=""),"",IF($E531="","brak danych",IF($E531=0,0,IF(COUNTIFS($A$10:$A$89,$C531)&lt;&gt;1,"brak danych",IF(COUNTIFS($A$10:$A$89,$C531,$H$10:$H$89,"&lt;&gt;")=0,"brak danych",VLOOKUP($C531,$A$10:$J$89,8,FALSE)*$E531))))))</x:f>
      </x:c>
      <x:c r="J531" s="25" t="str">
        <x:f>IF($A531="","",IF(AND($C531="",$E531=""),"",IF($E531="","brak danych",IF($E531=0,0,IF(COUNTIFS($A$10:$A$89,$C531)&lt;&gt;1,"brak danych",IF(COUNTIFS($A$10:$A$89,$C531,$I$10:$I$89,"&lt;&gt;")=0,"brak danych",VLOOKUP($C531,$A$10:$J$89,9,FALSE)*$E531))))))</x:f>
      </x:c>
      <x:c r="K531" s="25" t="str">
        <x:f>IF($A531="","",IF(AND($C531="",$E531=""),"",IF($E531="","brak danych",IF($E531=0,0,IF(COUNTIFS($A$10:$A$89,$C531)&lt;&gt;1,"brak danych",IF(COUNTIFS($A$10:$A$89,$C531,$J$10:$J$89,"&lt;&gt;")=0,"brak danych",VLOOKUP($C531,$A$10:$J$89,10,FALSE)*$E531))))))</x:f>
      </x:c>
      <x:c r="L531" s="24" t="str">
        <x:f>IF($A531="","",IF($F531="","",IF($F531=0,0,IF(COUNTIFS($A$10:$A$89,$C531)&lt;&gt;1,"brak danych",IF(COUNTIFS($A$10:$A$89,$C531,$F$10:$F$89,"&lt;&gt;")=0,"brak danych",VLOOKUP($C531,$A$10:$J$89,6,FALSE)*$F531)))))</x:f>
      </x:c>
      <x:c r="M531" s="25" t="str">
        <x:f>IF($A531="","",IF($F531="","",IF($F531=0,0,IF(COUNTIFS($A$10:$A$89,$C531)&lt;&gt;1,"brak danych",IF(COUNTIFS($A$10:$A$89,$C531,$G$10:$G$89,"&lt;&gt;")=0,"brak danych",VLOOKUP($C531,$A$10:$J$89,7,FALSE)*$F531)))))</x:f>
      </x:c>
      <x:c r="N531" s="25" t="str">
        <x:f>IF($A531="","",IF($F531="","",IF($F531=0,0,IF(COUNTIFS($A$10:$A$89,$C531)&lt;&gt;1,"brak danych",IF(COUNTIFS($A$10:$A$89,$C531,$H$10:$H$89,"&lt;&gt;")=0,"brak danych",VLOOKUP($C531,$A$10:$J$89,8,FALSE)*$F531)))))</x:f>
      </x:c>
      <x:c r="O531" s="25" t="str">
        <x:f>IF($A531="","",IF($F531="","",IF($F531=0,0,IF(COUNTIFS($A$10:$A$89,$C531)&lt;&gt;1,"brak danych",IF(COUNTIFS($A$10:$A$89,$C531,$I$10:$I$89,"&lt;&gt;")=0,"brak danych",VLOOKUP($C531,$A$10:$J$89,9,FALSE)*$F531)))))</x:f>
      </x:c>
      <x:c r="P531" s="25" t="str">
        <x:f>IF($A531="","",IF($F531="","",IF($F531=0,0,IF(COUNTIFS($A$10:$A$89,$C531)&lt;&gt;1,"brak danych",IF(COUNTIFS($A$10:$A$89,$C531,$J$10:$J$89,"&lt;&gt;")=0,"brak danych",VLOOKUP($C531,$A$10:$J$89,10,FALSE)*$F531)))))</x:f>
      </x:c>
      <x:c r="Q531" s="18"/>
    </x:row>
    <x:row r="532" ht="25" customHeight="1">
      <x:c r="A532" s="6"/>
      <x:c r="B532" s="30"/>
      <x:c r="C532" s="5"/>
      <x:c r="D532" s="5"/>
      <x:c r="E532" s="32"/>
      <x:c r="F532" s="32"/>
      <x:c r="G532" s="24" t="str">
        <x:f>IF($A532="","",IF(AND($C532="",$E532=""),"",IF($E532="","brak danych",IF($E532=0,0,IF(COUNTIFS($A$10:$A$89,$C532)&lt;&gt;1,"brak danych",IF(COUNTIFS($A$10:$A$89,$C532,$F$10:$F$89,"&lt;&gt;")=0,"brak danych",VLOOKUP($C532,$A$10:$J$89,6,FALSE)*$E532))))))</x:f>
      </x:c>
      <x:c r="H532" s="25" t="str">
        <x:f>IF($A532="","",IF(AND($C532="",$E532=""),"",IF($E532="","brak danych",IF($E532=0,0,IF(COUNTIFS($A$10:$A$89,$C532)&lt;&gt;1,"brak danych",IF(COUNTIFS($A$10:$A$89,$C532,$G$10:$G$89,"&lt;&gt;")=0,"brak danych",VLOOKUP($C532,$A$10:$J$89,7,FALSE)*$E532))))))</x:f>
      </x:c>
      <x:c r="I532" s="25" t="str">
        <x:f>IF($A532="","",IF(AND($C532="",$E532=""),"",IF($E532="","brak danych",IF($E532=0,0,IF(COUNTIFS($A$10:$A$89,$C532)&lt;&gt;1,"brak danych",IF(COUNTIFS($A$10:$A$89,$C532,$H$10:$H$89,"&lt;&gt;")=0,"brak danych",VLOOKUP($C532,$A$10:$J$89,8,FALSE)*$E532))))))</x:f>
      </x:c>
      <x:c r="J532" s="25" t="str">
        <x:f>IF($A532="","",IF(AND($C532="",$E532=""),"",IF($E532="","brak danych",IF($E532=0,0,IF(COUNTIFS($A$10:$A$89,$C532)&lt;&gt;1,"brak danych",IF(COUNTIFS($A$10:$A$89,$C532,$I$10:$I$89,"&lt;&gt;")=0,"brak danych",VLOOKUP($C532,$A$10:$J$89,9,FALSE)*$E532))))))</x:f>
      </x:c>
      <x:c r="K532" s="25" t="str">
        <x:f>IF($A532="","",IF(AND($C532="",$E532=""),"",IF($E532="","brak danych",IF($E532=0,0,IF(COUNTIFS($A$10:$A$89,$C532)&lt;&gt;1,"brak danych",IF(COUNTIFS($A$10:$A$89,$C532,$J$10:$J$89,"&lt;&gt;")=0,"brak danych",VLOOKUP($C532,$A$10:$J$89,10,FALSE)*$E532))))))</x:f>
      </x:c>
      <x:c r="L532" s="24" t="str">
        <x:f>IF($A532="","",IF($F532="","",IF($F532=0,0,IF(COUNTIFS($A$10:$A$89,$C532)&lt;&gt;1,"brak danych",IF(COUNTIFS($A$10:$A$89,$C532,$F$10:$F$89,"&lt;&gt;")=0,"brak danych",VLOOKUP($C532,$A$10:$J$89,6,FALSE)*$F532)))))</x:f>
      </x:c>
      <x:c r="M532" s="25" t="str">
        <x:f>IF($A532="","",IF($F532="","",IF($F532=0,0,IF(COUNTIFS($A$10:$A$89,$C532)&lt;&gt;1,"brak danych",IF(COUNTIFS($A$10:$A$89,$C532,$G$10:$G$89,"&lt;&gt;")=0,"brak danych",VLOOKUP($C532,$A$10:$J$89,7,FALSE)*$F532)))))</x:f>
      </x:c>
      <x:c r="N532" s="25" t="str">
        <x:f>IF($A532="","",IF($F532="","",IF($F532=0,0,IF(COUNTIFS($A$10:$A$89,$C532)&lt;&gt;1,"brak danych",IF(COUNTIFS($A$10:$A$89,$C532,$H$10:$H$89,"&lt;&gt;")=0,"brak danych",VLOOKUP($C532,$A$10:$J$89,8,FALSE)*$F532)))))</x:f>
      </x:c>
      <x:c r="O532" s="25" t="str">
        <x:f>IF($A532="","",IF($F532="","",IF($F532=0,0,IF(COUNTIFS($A$10:$A$89,$C532)&lt;&gt;1,"brak danych",IF(COUNTIFS($A$10:$A$89,$C532,$I$10:$I$89,"&lt;&gt;")=0,"brak danych",VLOOKUP($C532,$A$10:$J$89,9,FALSE)*$F532)))))</x:f>
      </x:c>
      <x:c r="P532" s="25" t="str">
        <x:f>IF($A532="","",IF($F532="","",IF($F532=0,0,IF(COUNTIFS($A$10:$A$89,$C532)&lt;&gt;1,"brak danych",IF(COUNTIFS($A$10:$A$89,$C532,$J$10:$J$89,"&lt;&gt;")=0,"brak danych",VLOOKUP($C532,$A$10:$J$89,10,FALSE)*$F532)))))</x:f>
      </x:c>
      <x:c r="Q532" s="18"/>
    </x:row>
    <x:row r="533" ht="25" customHeight="1">
      <x:c r="A533" s="6"/>
      <x:c r="B533" s="30"/>
      <x:c r="C533" s="5"/>
      <x:c r="D533" s="5"/>
      <x:c r="E533" s="32"/>
      <x:c r="F533" s="32"/>
      <x:c r="G533" s="24" t="str">
        <x:f>IF($A533="","",IF(AND($C533="",$E533=""),"",IF($E533="","brak danych",IF($E533=0,0,IF(COUNTIFS($A$10:$A$89,$C533)&lt;&gt;1,"brak danych",IF(COUNTIFS($A$10:$A$89,$C533,$F$10:$F$89,"&lt;&gt;")=0,"brak danych",VLOOKUP($C533,$A$10:$J$89,6,FALSE)*$E533))))))</x:f>
      </x:c>
      <x:c r="H533" s="25" t="str">
        <x:f>IF($A533="","",IF(AND($C533="",$E533=""),"",IF($E533="","brak danych",IF($E533=0,0,IF(COUNTIFS($A$10:$A$89,$C533)&lt;&gt;1,"brak danych",IF(COUNTIFS($A$10:$A$89,$C533,$G$10:$G$89,"&lt;&gt;")=0,"brak danych",VLOOKUP($C533,$A$10:$J$89,7,FALSE)*$E533))))))</x:f>
      </x:c>
      <x:c r="I533" s="25" t="str">
        <x:f>IF($A533="","",IF(AND($C533="",$E533=""),"",IF($E533="","brak danych",IF($E533=0,0,IF(COUNTIFS($A$10:$A$89,$C533)&lt;&gt;1,"brak danych",IF(COUNTIFS($A$10:$A$89,$C533,$H$10:$H$89,"&lt;&gt;")=0,"brak danych",VLOOKUP($C533,$A$10:$J$89,8,FALSE)*$E533))))))</x:f>
      </x:c>
      <x:c r="J533" s="25" t="str">
        <x:f>IF($A533="","",IF(AND($C533="",$E533=""),"",IF($E533="","brak danych",IF($E533=0,0,IF(COUNTIFS($A$10:$A$89,$C533)&lt;&gt;1,"brak danych",IF(COUNTIFS($A$10:$A$89,$C533,$I$10:$I$89,"&lt;&gt;")=0,"brak danych",VLOOKUP($C533,$A$10:$J$89,9,FALSE)*$E533))))))</x:f>
      </x:c>
      <x:c r="K533" s="25" t="str">
        <x:f>IF($A533="","",IF(AND($C533="",$E533=""),"",IF($E533="","brak danych",IF($E533=0,0,IF(COUNTIFS($A$10:$A$89,$C533)&lt;&gt;1,"brak danych",IF(COUNTIFS($A$10:$A$89,$C533,$J$10:$J$89,"&lt;&gt;")=0,"brak danych",VLOOKUP($C533,$A$10:$J$89,10,FALSE)*$E533))))))</x:f>
      </x:c>
      <x:c r="L533" s="24" t="str">
        <x:f>IF($A533="","",IF($F533="","",IF($F533=0,0,IF(COUNTIFS($A$10:$A$89,$C533)&lt;&gt;1,"brak danych",IF(COUNTIFS($A$10:$A$89,$C533,$F$10:$F$89,"&lt;&gt;")=0,"brak danych",VLOOKUP($C533,$A$10:$J$89,6,FALSE)*$F533)))))</x:f>
      </x:c>
      <x:c r="M533" s="25" t="str">
        <x:f>IF($A533="","",IF($F533="","",IF($F533=0,0,IF(COUNTIFS($A$10:$A$89,$C533)&lt;&gt;1,"brak danych",IF(COUNTIFS($A$10:$A$89,$C533,$G$10:$G$89,"&lt;&gt;")=0,"brak danych",VLOOKUP($C533,$A$10:$J$89,7,FALSE)*$F533)))))</x:f>
      </x:c>
      <x:c r="N533" s="25" t="str">
        <x:f>IF($A533="","",IF($F533="","",IF($F533=0,0,IF(COUNTIFS($A$10:$A$89,$C533)&lt;&gt;1,"brak danych",IF(COUNTIFS($A$10:$A$89,$C533,$H$10:$H$89,"&lt;&gt;")=0,"brak danych",VLOOKUP($C533,$A$10:$J$89,8,FALSE)*$F533)))))</x:f>
      </x:c>
      <x:c r="O533" s="25" t="str">
        <x:f>IF($A533="","",IF($F533="","",IF($F533=0,0,IF(COUNTIFS($A$10:$A$89,$C533)&lt;&gt;1,"brak danych",IF(COUNTIFS($A$10:$A$89,$C533,$I$10:$I$89,"&lt;&gt;")=0,"brak danych",VLOOKUP($C533,$A$10:$J$89,9,FALSE)*$F533)))))</x:f>
      </x:c>
      <x:c r="P533" s="25" t="str">
        <x:f>IF($A533="","",IF($F533="","",IF($F533=0,0,IF(COUNTIFS($A$10:$A$89,$C533)&lt;&gt;1,"brak danych",IF(COUNTIFS($A$10:$A$89,$C533,$J$10:$J$89,"&lt;&gt;")=0,"brak danych",VLOOKUP($C533,$A$10:$J$89,10,FALSE)*$F533)))))</x:f>
      </x:c>
      <x:c r="Q533" s="18"/>
    </x:row>
    <x:row r="534" ht="25" customHeight="1">
      <x:c r="A534" s="6"/>
      <x:c r="B534" s="30"/>
      <x:c r="C534" s="5"/>
      <x:c r="D534" s="5"/>
      <x:c r="E534" s="32"/>
      <x:c r="F534" s="32"/>
      <x:c r="G534" s="24" t="str">
        <x:f>IF($A534="","",IF(AND($C534="",$E534=""),"",IF($E534="","brak danych",IF($E534=0,0,IF(COUNTIFS($A$10:$A$89,$C534)&lt;&gt;1,"brak danych",IF(COUNTIFS($A$10:$A$89,$C534,$F$10:$F$89,"&lt;&gt;")=0,"brak danych",VLOOKUP($C534,$A$10:$J$89,6,FALSE)*$E534))))))</x:f>
      </x:c>
      <x:c r="H534" s="25" t="str">
        <x:f>IF($A534="","",IF(AND($C534="",$E534=""),"",IF($E534="","brak danych",IF($E534=0,0,IF(COUNTIFS($A$10:$A$89,$C534)&lt;&gt;1,"brak danych",IF(COUNTIFS($A$10:$A$89,$C534,$G$10:$G$89,"&lt;&gt;")=0,"brak danych",VLOOKUP($C534,$A$10:$J$89,7,FALSE)*$E534))))))</x:f>
      </x:c>
      <x:c r="I534" s="25" t="str">
        <x:f>IF($A534="","",IF(AND($C534="",$E534=""),"",IF($E534="","brak danych",IF($E534=0,0,IF(COUNTIFS($A$10:$A$89,$C534)&lt;&gt;1,"brak danych",IF(COUNTIFS($A$10:$A$89,$C534,$H$10:$H$89,"&lt;&gt;")=0,"brak danych",VLOOKUP($C534,$A$10:$J$89,8,FALSE)*$E534))))))</x:f>
      </x:c>
      <x:c r="J534" s="25" t="str">
        <x:f>IF($A534="","",IF(AND($C534="",$E534=""),"",IF($E534="","brak danych",IF($E534=0,0,IF(COUNTIFS($A$10:$A$89,$C534)&lt;&gt;1,"brak danych",IF(COUNTIFS($A$10:$A$89,$C534,$I$10:$I$89,"&lt;&gt;")=0,"brak danych",VLOOKUP($C534,$A$10:$J$89,9,FALSE)*$E534))))))</x:f>
      </x:c>
      <x:c r="K534" s="25" t="str">
        <x:f>IF($A534="","",IF(AND($C534="",$E534=""),"",IF($E534="","brak danych",IF($E534=0,0,IF(COUNTIFS($A$10:$A$89,$C534)&lt;&gt;1,"brak danych",IF(COUNTIFS($A$10:$A$89,$C534,$J$10:$J$89,"&lt;&gt;")=0,"brak danych",VLOOKUP($C534,$A$10:$J$89,10,FALSE)*$E534))))))</x:f>
      </x:c>
      <x:c r="L534" s="24" t="str">
        <x:f>IF($A534="","",IF($F534="","",IF($F534=0,0,IF(COUNTIFS($A$10:$A$89,$C534)&lt;&gt;1,"brak danych",IF(COUNTIFS($A$10:$A$89,$C534,$F$10:$F$89,"&lt;&gt;")=0,"brak danych",VLOOKUP($C534,$A$10:$J$89,6,FALSE)*$F534)))))</x:f>
      </x:c>
      <x:c r="M534" s="25" t="str">
        <x:f>IF($A534="","",IF($F534="","",IF($F534=0,0,IF(COUNTIFS($A$10:$A$89,$C534)&lt;&gt;1,"brak danych",IF(COUNTIFS($A$10:$A$89,$C534,$G$10:$G$89,"&lt;&gt;")=0,"brak danych",VLOOKUP($C534,$A$10:$J$89,7,FALSE)*$F534)))))</x:f>
      </x:c>
      <x:c r="N534" s="25" t="str">
        <x:f>IF($A534="","",IF($F534="","",IF($F534=0,0,IF(COUNTIFS($A$10:$A$89,$C534)&lt;&gt;1,"brak danych",IF(COUNTIFS($A$10:$A$89,$C534,$H$10:$H$89,"&lt;&gt;")=0,"brak danych",VLOOKUP($C534,$A$10:$J$89,8,FALSE)*$F534)))))</x:f>
      </x:c>
      <x:c r="O534" s="25" t="str">
        <x:f>IF($A534="","",IF($F534="","",IF($F534=0,0,IF(COUNTIFS($A$10:$A$89,$C534)&lt;&gt;1,"brak danych",IF(COUNTIFS($A$10:$A$89,$C534,$I$10:$I$89,"&lt;&gt;")=0,"brak danych",VLOOKUP($C534,$A$10:$J$89,9,FALSE)*$F534)))))</x:f>
      </x:c>
      <x:c r="P534" s="25" t="str">
        <x:f>IF($A534="","",IF($F534="","",IF($F534=0,0,IF(COUNTIFS($A$10:$A$89,$C534)&lt;&gt;1,"brak danych",IF(COUNTIFS($A$10:$A$89,$C534,$J$10:$J$89,"&lt;&gt;")=0,"brak danych",VLOOKUP($C534,$A$10:$J$89,10,FALSE)*$F534)))))</x:f>
      </x:c>
      <x:c r="Q534" s="18"/>
    </x:row>
    <x:row r="535" ht="25" customHeight="1">
      <x:c r="A535" s="6"/>
      <x:c r="B535" s="30"/>
      <x:c r="C535" s="5"/>
      <x:c r="D535" s="5"/>
      <x:c r="E535" s="32"/>
      <x:c r="F535" s="32"/>
      <x:c r="G535" s="24" t="str">
        <x:f>IF($A535="","",IF(AND($C535="",$E535=""),"",IF($E535="","brak danych",IF($E535=0,0,IF(COUNTIFS($A$10:$A$89,$C535)&lt;&gt;1,"brak danych",IF(COUNTIFS($A$10:$A$89,$C535,$F$10:$F$89,"&lt;&gt;")=0,"brak danych",VLOOKUP($C535,$A$10:$J$89,6,FALSE)*$E535))))))</x:f>
      </x:c>
      <x:c r="H535" s="25" t="str">
        <x:f>IF($A535="","",IF(AND($C535="",$E535=""),"",IF($E535="","brak danych",IF($E535=0,0,IF(COUNTIFS($A$10:$A$89,$C535)&lt;&gt;1,"brak danych",IF(COUNTIFS($A$10:$A$89,$C535,$G$10:$G$89,"&lt;&gt;")=0,"brak danych",VLOOKUP($C535,$A$10:$J$89,7,FALSE)*$E535))))))</x:f>
      </x:c>
      <x:c r="I535" s="25" t="str">
        <x:f>IF($A535="","",IF(AND($C535="",$E535=""),"",IF($E535="","brak danych",IF($E535=0,0,IF(COUNTIFS($A$10:$A$89,$C535)&lt;&gt;1,"brak danych",IF(COUNTIFS($A$10:$A$89,$C535,$H$10:$H$89,"&lt;&gt;")=0,"brak danych",VLOOKUP($C535,$A$10:$J$89,8,FALSE)*$E535))))))</x:f>
      </x:c>
      <x:c r="J535" s="25" t="str">
        <x:f>IF($A535="","",IF(AND($C535="",$E535=""),"",IF($E535="","brak danych",IF($E535=0,0,IF(COUNTIFS($A$10:$A$89,$C535)&lt;&gt;1,"brak danych",IF(COUNTIFS($A$10:$A$89,$C535,$I$10:$I$89,"&lt;&gt;")=0,"brak danych",VLOOKUP($C535,$A$10:$J$89,9,FALSE)*$E535))))))</x:f>
      </x:c>
      <x:c r="K535" s="25" t="str">
        <x:f>IF($A535="","",IF(AND($C535="",$E535=""),"",IF($E535="","brak danych",IF($E535=0,0,IF(COUNTIFS($A$10:$A$89,$C535)&lt;&gt;1,"brak danych",IF(COUNTIFS($A$10:$A$89,$C535,$J$10:$J$89,"&lt;&gt;")=0,"brak danych",VLOOKUP($C535,$A$10:$J$89,10,FALSE)*$E535))))))</x:f>
      </x:c>
      <x:c r="L535" s="24" t="str">
        <x:f>IF($A535="","",IF($F535="","",IF($F535=0,0,IF(COUNTIFS($A$10:$A$89,$C535)&lt;&gt;1,"brak danych",IF(COUNTIFS($A$10:$A$89,$C535,$F$10:$F$89,"&lt;&gt;")=0,"brak danych",VLOOKUP($C535,$A$10:$J$89,6,FALSE)*$F535)))))</x:f>
      </x:c>
      <x:c r="M535" s="25" t="str">
        <x:f>IF($A535="","",IF($F535="","",IF($F535=0,0,IF(COUNTIFS($A$10:$A$89,$C535)&lt;&gt;1,"brak danych",IF(COUNTIFS($A$10:$A$89,$C535,$G$10:$G$89,"&lt;&gt;")=0,"brak danych",VLOOKUP($C535,$A$10:$J$89,7,FALSE)*$F535)))))</x:f>
      </x:c>
      <x:c r="N535" s="25" t="str">
        <x:f>IF($A535="","",IF($F535="","",IF($F535=0,0,IF(COUNTIFS($A$10:$A$89,$C535)&lt;&gt;1,"brak danych",IF(COUNTIFS($A$10:$A$89,$C535,$H$10:$H$89,"&lt;&gt;")=0,"brak danych",VLOOKUP($C535,$A$10:$J$89,8,FALSE)*$F535)))))</x:f>
      </x:c>
      <x:c r="O535" s="25" t="str">
        <x:f>IF($A535="","",IF($F535="","",IF($F535=0,0,IF(COUNTIFS($A$10:$A$89,$C535)&lt;&gt;1,"brak danych",IF(COUNTIFS($A$10:$A$89,$C535,$I$10:$I$89,"&lt;&gt;")=0,"brak danych",VLOOKUP($C535,$A$10:$J$89,9,FALSE)*$F535)))))</x:f>
      </x:c>
      <x:c r="P535" s="25" t="str">
        <x:f>IF($A535="","",IF($F535="","",IF($F535=0,0,IF(COUNTIFS($A$10:$A$89,$C535)&lt;&gt;1,"brak danych",IF(COUNTIFS($A$10:$A$89,$C535,$J$10:$J$89,"&lt;&gt;")=0,"brak danych",VLOOKUP($C535,$A$10:$J$89,10,FALSE)*$F535)))))</x:f>
      </x:c>
      <x:c r="Q535" s="18"/>
    </x:row>
    <x:row r="536" ht="25" customHeight="1">
      <x:c r="A536" s="6"/>
      <x:c r="B536" s="30"/>
      <x:c r="C536" s="5"/>
      <x:c r="D536" s="5"/>
      <x:c r="E536" s="32"/>
      <x:c r="F536" s="32"/>
      <x:c r="G536" s="24" t="str">
        <x:f>IF($A536="","",IF(AND($C536="",$E536=""),"",IF($E536="","brak danych",IF($E536=0,0,IF(COUNTIFS($A$10:$A$89,$C536)&lt;&gt;1,"brak danych",IF(COUNTIFS($A$10:$A$89,$C536,$F$10:$F$89,"&lt;&gt;")=0,"brak danych",VLOOKUP($C536,$A$10:$J$89,6,FALSE)*$E536))))))</x:f>
      </x:c>
      <x:c r="H536" s="25" t="str">
        <x:f>IF($A536="","",IF(AND($C536="",$E536=""),"",IF($E536="","brak danych",IF($E536=0,0,IF(COUNTIFS($A$10:$A$89,$C536)&lt;&gt;1,"brak danych",IF(COUNTIFS($A$10:$A$89,$C536,$G$10:$G$89,"&lt;&gt;")=0,"brak danych",VLOOKUP($C536,$A$10:$J$89,7,FALSE)*$E536))))))</x:f>
      </x:c>
      <x:c r="I536" s="25" t="str">
        <x:f>IF($A536="","",IF(AND($C536="",$E536=""),"",IF($E536="","brak danych",IF($E536=0,0,IF(COUNTIFS($A$10:$A$89,$C536)&lt;&gt;1,"brak danych",IF(COUNTIFS($A$10:$A$89,$C536,$H$10:$H$89,"&lt;&gt;")=0,"brak danych",VLOOKUP($C536,$A$10:$J$89,8,FALSE)*$E536))))))</x:f>
      </x:c>
      <x:c r="J536" s="25" t="str">
        <x:f>IF($A536="","",IF(AND($C536="",$E536=""),"",IF($E536="","brak danych",IF($E536=0,0,IF(COUNTIFS($A$10:$A$89,$C536)&lt;&gt;1,"brak danych",IF(COUNTIFS($A$10:$A$89,$C536,$I$10:$I$89,"&lt;&gt;")=0,"brak danych",VLOOKUP($C536,$A$10:$J$89,9,FALSE)*$E536))))))</x:f>
      </x:c>
      <x:c r="K536" s="25" t="str">
        <x:f>IF($A536="","",IF(AND($C536="",$E536=""),"",IF($E536="","brak danych",IF($E536=0,0,IF(COUNTIFS($A$10:$A$89,$C536)&lt;&gt;1,"brak danych",IF(COUNTIFS($A$10:$A$89,$C536,$J$10:$J$89,"&lt;&gt;")=0,"brak danych",VLOOKUP($C536,$A$10:$J$89,10,FALSE)*$E536))))))</x:f>
      </x:c>
      <x:c r="L536" s="24" t="str">
        <x:f>IF($A536="","",IF($F536="","",IF($F536=0,0,IF(COUNTIFS($A$10:$A$89,$C536)&lt;&gt;1,"brak danych",IF(COUNTIFS($A$10:$A$89,$C536,$F$10:$F$89,"&lt;&gt;")=0,"brak danych",VLOOKUP($C536,$A$10:$J$89,6,FALSE)*$F536)))))</x:f>
      </x:c>
      <x:c r="M536" s="25" t="str">
        <x:f>IF($A536="","",IF($F536="","",IF($F536=0,0,IF(COUNTIFS($A$10:$A$89,$C536)&lt;&gt;1,"brak danych",IF(COUNTIFS($A$10:$A$89,$C536,$G$10:$G$89,"&lt;&gt;")=0,"brak danych",VLOOKUP($C536,$A$10:$J$89,7,FALSE)*$F536)))))</x:f>
      </x:c>
      <x:c r="N536" s="25" t="str">
        <x:f>IF($A536="","",IF($F536="","",IF($F536=0,0,IF(COUNTIFS($A$10:$A$89,$C536)&lt;&gt;1,"brak danych",IF(COUNTIFS($A$10:$A$89,$C536,$H$10:$H$89,"&lt;&gt;")=0,"brak danych",VLOOKUP($C536,$A$10:$J$89,8,FALSE)*$F536)))))</x:f>
      </x:c>
      <x:c r="O536" s="25" t="str">
        <x:f>IF($A536="","",IF($F536="","",IF($F536=0,0,IF(COUNTIFS($A$10:$A$89,$C536)&lt;&gt;1,"brak danych",IF(COUNTIFS($A$10:$A$89,$C536,$I$10:$I$89,"&lt;&gt;")=0,"brak danych",VLOOKUP($C536,$A$10:$J$89,9,FALSE)*$F536)))))</x:f>
      </x:c>
      <x:c r="P536" s="25" t="str">
        <x:f>IF($A536="","",IF($F536="","",IF($F536=0,0,IF(COUNTIFS($A$10:$A$89,$C536)&lt;&gt;1,"brak danych",IF(COUNTIFS($A$10:$A$89,$C536,$J$10:$J$89,"&lt;&gt;")=0,"brak danych",VLOOKUP($C536,$A$10:$J$89,10,FALSE)*$F536)))))</x:f>
      </x:c>
      <x:c r="Q536" s="18"/>
    </x:row>
    <x:row r="537" ht="25" customHeight="1">
      <x:c r="A537" s="6"/>
      <x:c r="B537" s="30"/>
      <x:c r="C537" s="5"/>
      <x:c r="D537" s="5"/>
      <x:c r="E537" s="32"/>
      <x:c r="F537" s="32"/>
      <x:c r="G537" s="24" t="str">
        <x:f>IF($A537="","",IF(AND($C537="",$E537=""),"",IF($E537="","brak danych",IF($E537=0,0,IF(COUNTIFS($A$10:$A$89,$C537)&lt;&gt;1,"brak danych",IF(COUNTIFS($A$10:$A$89,$C537,$F$10:$F$89,"&lt;&gt;")=0,"brak danych",VLOOKUP($C537,$A$10:$J$89,6,FALSE)*$E537))))))</x:f>
      </x:c>
      <x:c r="H537" s="25" t="str">
        <x:f>IF($A537="","",IF(AND($C537="",$E537=""),"",IF($E537="","brak danych",IF($E537=0,0,IF(COUNTIFS($A$10:$A$89,$C537)&lt;&gt;1,"brak danych",IF(COUNTIFS($A$10:$A$89,$C537,$G$10:$G$89,"&lt;&gt;")=0,"brak danych",VLOOKUP($C537,$A$10:$J$89,7,FALSE)*$E537))))))</x:f>
      </x:c>
      <x:c r="I537" s="25" t="str">
        <x:f>IF($A537="","",IF(AND($C537="",$E537=""),"",IF($E537="","brak danych",IF($E537=0,0,IF(COUNTIFS($A$10:$A$89,$C537)&lt;&gt;1,"brak danych",IF(COUNTIFS($A$10:$A$89,$C537,$H$10:$H$89,"&lt;&gt;")=0,"brak danych",VLOOKUP($C537,$A$10:$J$89,8,FALSE)*$E537))))))</x:f>
      </x:c>
      <x:c r="J537" s="25" t="str">
        <x:f>IF($A537="","",IF(AND($C537="",$E537=""),"",IF($E537="","brak danych",IF($E537=0,0,IF(COUNTIFS($A$10:$A$89,$C537)&lt;&gt;1,"brak danych",IF(COUNTIFS($A$10:$A$89,$C537,$I$10:$I$89,"&lt;&gt;")=0,"brak danych",VLOOKUP($C537,$A$10:$J$89,9,FALSE)*$E537))))))</x:f>
      </x:c>
      <x:c r="K537" s="25" t="str">
        <x:f>IF($A537="","",IF(AND($C537="",$E537=""),"",IF($E537="","brak danych",IF($E537=0,0,IF(COUNTIFS($A$10:$A$89,$C537)&lt;&gt;1,"brak danych",IF(COUNTIFS($A$10:$A$89,$C537,$J$10:$J$89,"&lt;&gt;")=0,"brak danych",VLOOKUP($C537,$A$10:$J$89,10,FALSE)*$E537))))))</x:f>
      </x:c>
      <x:c r="L537" s="24" t="str">
        <x:f>IF($A537="","",IF($F537="","",IF($F537=0,0,IF(COUNTIFS($A$10:$A$89,$C537)&lt;&gt;1,"brak danych",IF(COUNTIFS($A$10:$A$89,$C537,$F$10:$F$89,"&lt;&gt;")=0,"brak danych",VLOOKUP($C537,$A$10:$J$89,6,FALSE)*$F537)))))</x:f>
      </x:c>
      <x:c r="M537" s="25" t="str">
        <x:f>IF($A537="","",IF($F537="","",IF($F537=0,0,IF(COUNTIFS($A$10:$A$89,$C537)&lt;&gt;1,"brak danych",IF(COUNTIFS($A$10:$A$89,$C537,$G$10:$G$89,"&lt;&gt;")=0,"brak danych",VLOOKUP($C537,$A$10:$J$89,7,FALSE)*$F537)))))</x:f>
      </x:c>
      <x:c r="N537" s="25" t="str">
        <x:f>IF($A537="","",IF($F537="","",IF($F537=0,0,IF(COUNTIFS($A$10:$A$89,$C537)&lt;&gt;1,"brak danych",IF(COUNTIFS($A$10:$A$89,$C537,$H$10:$H$89,"&lt;&gt;")=0,"brak danych",VLOOKUP($C537,$A$10:$J$89,8,FALSE)*$F537)))))</x:f>
      </x:c>
      <x:c r="O537" s="25" t="str">
        <x:f>IF($A537="","",IF($F537="","",IF($F537=0,0,IF(COUNTIFS($A$10:$A$89,$C537)&lt;&gt;1,"brak danych",IF(COUNTIFS($A$10:$A$89,$C537,$I$10:$I$89,"&lt;&gt;")=0,"brak danych",VLOOKUP($C537,$A$10:$J$89,9,FALSE)*$F537)))))</x:f>
      </x:c>
      <x:c r="P537" s="25" t="str">
        <x:f>IF($A537="","",IF($F537="","",IF($F537=0,0,IF(COUNTIFS($A$10:$A$89,$C537)&lt;&gt;1,"brak danych",IF(COUNTIFS($A$10:$A$89,$C537,$J$10:$J$89,"&lt;&gt;")=0,"brak danych",VLOOKUP($C537,$A$10:$J$89,10,FALSE)*$F537)))))</x:f>
      </x:c>
      <x:c r="Q537" s="18"/>
    </x:row>
    <x:row r="538" ht="25" customHeight="1">
      <x:c r="A538" s="6"/>
      <x:c r="B538" s="30"/>
      <x:c r="C538" s="5"/>
      <x:c r="D538" s="5"/>
      <x:c r="E538" s="32"/>
      <x:c r="F538" s="32"/>
      <x:c r="G538" s="24" t="str">
        <x:f>IF($A538="","",IF(AND($C538="",$E538=""),"",IF($E538="","brak danych",IF($E538=0,0,IF(COUNTIFS($A$10:$A$89,$C538)&lt;&gt;1,"brak danych",IF(COUNTIFS($A$10:$A$89,$C538,$F$10:$F$89,"&lt;&gt;")=0,"brak danych",VLOOKUP($C538,$A$10:$J$89,6,FALSE)*$E538))))))</x:f>
      </x:c>
      <x:c r="H538" s="25" t="str">
        <x:f>IF($A538="","",IF(AND($C538="",$E538=""),"",IF($E538="","brak danych",IF($E538=0,0,IF(COUNTIFS($A$10:$A$89,$C538)&lt;&gt;1,"brak danych",IF(COUNTIFS($A$10:$A$89,$C538,$G$10:$G$89,"&lt;&gt;")=0,"brak danych",VLOOKUP($C538,$A$10:$J$89,7,FALSE)*$E538))))))</x:f>
      </x:c>
      <x:c r="I538" s="25" t="str">
        <x:f>IF($A538="","",IF(AND($C538="",$E538=""),"",IF($E538="","brak danych",IF($E538=0,0,IF(COUNTIFS($A$10:$A$89,$C538)&lt;&gt;1,"brak danych",IF(COUNTIFS($A$10:$A$89,$C538,$H$10:$H$89,"&lt;&gt;")=0,"brak danych",VLOOKUP($C538,$A$10:$J$89,8,FALSE)*$E538))))))</x:f>
      </x:c>
      <x:c r="J538" s="25" t="str">
        <x:f>IF($A538="","",IF(AND($C538="",$E538=""),"",IF($E538="","brak danych",IF($E538=0,0,IF(COUNTIFS($A$10:$A$89,$C538)&lt;&gt;1,"brak danych",IF(COUNTIFS($A$10:$A$89,$C538,$I$10:$I$89,"&lt;&gt;")=0,"brak danych",VLOOKUP($C538,$A$10:$J$89,9,FALSE)*$E538))))))</x:f>
      </x:c>
      <x:c r="K538" s="25" t="str">
        <x:f>IF($A538="","",IF(AND($C538="",$E538=""),"",IF($E538="","brak danych",IF($E538=0,0,IF(COUNTIFS($A$10:$A$89,$C538)&lt;&gt;1,"brak danych",IF(COUNTIFS($A$10:$A$89,$C538,$J$10:$J$89,"&lt;&gt;")=0,"brak danych",VLOOKUP($C538,$A$10:$J$89,10,FALSE)*$E538))))))</x:f>
      </x:c>
      <x:c r="L538" s="24" t="str">
        <x:f>IF($A538="","",IF($F538="","",IF($F538=0,0,IF(COUNTIFS($A$10:$A$89,$C538)&lt;&gt;1,"brak danych",IF(COUNTIFS($A$10:$A$89,$C538,$F$10:$F$89,"&lt;&gt;")=0,"brak danych",VLOOKUP($C538,$A$10:$J$89,6,FALSE)*$F538)))))</x:f>
      </x:c>
      <x:c r="M538" s="25" t="str">
        <x:f>IF($A538="","",IF($F538="","",IF($F538=0,0,IF(COUNTIFS($A$10:$A$89,$C538)&lt;&gt;1,"brak danych",IF(COUNTIFS($A$10:$A$89,$C538,$G$10:$G$89,"&lt;&gt;")=0,"brak danych",VLOOKUP($C538,$A$10:$J$89,7,FALSE)*$F538)))))</x:f>
      </x:c>
      <x:c r="N538" s="25" t="str">
        <x:f>IF($A538="","",IF($F538="","",IF($F538=0,0,IF(COUNTIFS($A$10:$A$89,$C538)&lt;&gt;1,"brak danych",IF(COUNTIFS($A$10:$A$89,$C538,$H$10:$H$89,"&lt;&gt;")=0,"brak danych",VLOOKUP($C538,$A$10:$J$89,8,FALSE)*$F538)))))</x:f>
      </x:c>
      <x:c r="O538" s="25" t="str">
        <x:f>IF($A538="","",IF($F538="","",IF($F538=0,0,IF(COUNTIFS($A$10:$A$89,$C538)&lt;&gt;1,"brak danych",IF(COUNTIFS($A$10:$A$89,$C538,$I$10:$I$89,"&lt;&gt;")=0,"brak danych",VLOOKUP($C538,$A$10:$J$89,9,FALSE)*$F538)))))</x:f>
      </x:c>
      <x:c r="P538" s="25" t="str">
        <x:f>IF($A538="","",IF($F538="","",IF($F538=0,0,IF(COUNTIFS($A$10:$A$89,$C538)&lt;&gt;1,"brak danych",IF(COUNTIFS($A$10:$A$89,$C538,$J$10:$J$89,"&lt;&gt;")=0,"brak danych",VLOOKUP($C538,$A$10:$J$89,10,FALSE)*$F538)))))</x:f>
      </x:c>
      <x:c r="Q538" s="18"/>
    </x:row>
    <x:row r="539" ht="25" customHeight="1">
      <x:c r="A539" s="6"/>
      <x:c r="B539" s="30"/>
      <x:c r="C539" s="5"/>
      <x:c r="D539" s="5"/>
      <x:c r="E539" s="32"/>
      <x:c r="F539" s="32"/>
      <x:c r="G539" s="24" t="str">
        <x:f>IF($A539="","",IF(AND($C539="",$E539=""),"",IF($E539="","brak danych",IF($E539=0,0,IF(COUNTIFS($A$10:$A$89,$C539)&lt;&gt;1,"brak danych",IF(COUNTIFS($A$10:$A$89,$C539,$F$10:$F$89,"&lt;&gt;")=0,"brak danych",VLOOKUP($C539,$A$10:$J$89,6,FALSE)*$E539))))))</x:f>
      </x:c>
      <x:c r="H539" s="25" t="str">
        <x:f>IF($A539="","",IF(AND($C539="",$E539=""),"",IF($E539="","brak danych",IF($E539=0,0,IF(COUNTIFS($A$10:$A$89,$C539)&lt;&gt;1,"brak danych",IF(COUNTIFS($A$10:$A$89,$C539,$G$10:$G$89,"&lt;&gt;")=0,"brak danych",VLOOKUP($C539,$A$10:$J$89,7,FALSE)*$E539))))))</x:f>
      </x:c>
      <x:c r="I539" s="25" t="str">
        <x:f>IF($A539="","",IF(AND($C539="",$E539=""),"",IF($E539="","brak danych",IF($E539=0,0,IF(COUNTIFS($A$10:$A$89,$C539)&lt;&gt;1,"brak danych",IF(COUNTIFS($A$10:$A$89,$C539,$H$10:$H$89,"&lt;&gt;")=0,"brak danych",VLOOKUP($C539,$A$10:$J$89,8,FALSE)*$E539))))))</x:f>
      </x:c>
      <x:c r="J539" s="25" t="str">
        <x:f>IF($A539="","",IF(AND($C539="",$E539=""),"",IF($E539="","brak danych",IF($E539=0,0,IF(COUNTIFS($A$10:$A$89,$C539)&lt;&gt;1,"brak danych",IF(COUNTIFS($A$10:$A$89,$C539,$I$10:$I$89,"&lt;&gt;")=0,"brak danych",VLOOKUP($C539,$A$10:$J$89,9,FALSE)*$E539))))))</x:f>
      </x:c>
      <x:c r="K539" s="25" t="str">
        <x:f>IF($A539="","",IF(AND($C539="",$E539=""),"",IF($E539="","brak danych",IF($E539=0,0,IF(COUNTIFS($A$10:$A$89,$C539)&lt;&gt;1,"brak danych",IF(COUNTIFS($A$10:$A$89,$C539,$J$10:$J$89,"&lt;&gt;")=0,"brak danych",VLOOKUP($C539,$A$10:$J$89,10,FALSE)*$E539))))))</x:f>
      </x:c>
      <x:c r="L539" s="24" t="str">
        <x:f>IF($A539="","",IF($F539="","",IF($F539=0,0,IF(COUNTIFS($A$10:$A$89,$C539)&lt;&gt;1,"brak danych",IF(COUNTIFS($A$10:$A$89,$C539,$F$10:$F$89,"&lt;&gt;")=0,"brak danych",VLOOKUP($C539,$A$10:$J$89,6,FALSE)*$F539)))))</x:f>
      </x:c>
      <x:c r="M539" s="25" t="str">
        <x:f>IF($A539="","",IF($F539="","",IF($F539=0,0,IF(COUNTIFS($A$10:$A$89,$C539)&lt;&gt;1,"brak danych",IF(COUNTIFS($A$10:$A$89,$C539,$G$10:$G$89,"&lt;&gt;")=0,"brak danych",VLOOKUP($C539,$A$10:$J$89,7,FALSE)*$F539)))))</x:f>
      </x:c>
      <x:c r="N539" s="25" t="str">
        <x:f>IF($A539="","",IF($F539="","",IF($F539=0,0,IF(COUNTIFS($A$10:$A$89,$C539)&lt;&gt;1,"brak danych",IF(COUNTIFS($A$10:$A$89,$C539,$H$10:$H$89,"&lt;&gt;")=0,"brak danych",VLOOKUP($C539,$A$10:$J$89,8,FALSE)*$F539)))))</x:f>
      </x:c>
      <x:c r="O539" s="25" t="str">
        <x:f>IF($A539="","",IF($F539="","",IF($F539=0,0,IF(COUNTIFS($A$10:$A$89,$C539)&lt;&gt;1,"brak danych",IF(COUNTIFS($A$10:$A$89,$C539,$I$10:$I$89,"&lt;&gt;")=0,"brak danych",VLOOKUP($C539,$A$10:$J$89,9,FALSE)*$F539)))))</x:f>
      </x:c>
      <x:c r="P539" s="25" t="str">
        <x:f>IF($A539="","",IF($F539="","",IF($F539=0,0,IF(COUNTIFS($A$10:$A$89,$C539)&lt;&gt;1,"brak danych",IF(COUNTIFS($A$10:$A$89,$C539,$J$10:$J$89,"&lt;&gt;")=0,"brak danych",VLOOKUP($C539,$A$10:$J$89,10,FALSE)*$F539)))))</x:f>
      </x:c>
      <x:c r="Q539" s="18"/>
    </x:row>
    <x:row r="540" ht="25" customHeight="1">
      <x:c r="A540" s="6"/>
      <x:c r="B540" s="30"/>
      <x:c r="C540" s="5"/>
      <x:c r="D540" s="5"/>
      <x:c r="E540" s="32"/>
      <x:c r="F540" s="32"/>
      <x:c r="G540" s="24" t="str">
        <x:f>IF($A540="","",IF(AND($C540="",$E540=""),"",IF($E540="","brak danych",IF($E540=0,0,IF(COUNTIFS($A$10:$A$89,$C540)&lt;&gt;1,"brak danych",IF(COUNTIFS($A$10:$A$89,$C540,$F$10:$F$89,"&lt;&gt;")=0,"brak danych",VLOOKUP($C540,$A$10:$J$89,6,FALSE)*$E540))))))</x:f>
      </x:c>
      <x:c r="H540" s="25" t="str">
        <x:f>IF($A540="","",IF(AND($C540="",$E540=""),"",IF($E540="","brak danych",IF($E540=0,0,IF(COUNTIFS($A$10:$A$89,$C540)&lt;&gt;1,"brak danych",IF(COUNTIFS($A$10:$A$89,$C540,$G$10:$G$89,"&lt;&gt;")=0,"brak danych",VLOOKUP($C540,$A$10:$J$89,7,FALSE)*$E540))))))</x:f>
      </x:c>
      <x:c r="I540" s="25" t="str">
        <x:f>IF($A540="","",IF(AND($C540="",$E540=""),"",IF($E540="","brak danych",IF($E540=0,0,IF(COUNTIFS($A$10:$A$89,$C540)&lt;&gt;1,"brak danych",IF(COUNTIFS($A$10:$A$89,$C540,$H$10:$H$89,"&lt;&gt;")=0,"brak danych",VLOOKUP($C540,$A$10:$J$89,8,FALSE)*$E540))))))</x:f>
      </x:c>
      <x:c r="J540" s="25" t="str">
        <x:f>IF($A540="","",IF(AND($C540="",$E540=""),"",IF($E540="","brak danych",IF($E540=0,0,IF(COUNTIFS($A$10:$A$89,$C540)&lt;&gt;1,"brak danych",IF(COUNTIFS($A$10:$A$89,$C540,$I$10:$I$89,"&lt;&gt;")=0,"brak danych",VLOOKUP($C540,$A$10:$J$89,9,FALSE)*$E540))))))</x:f>
      </x:c>
      <x:c r="K540" s="25" t="str">
        <x:f>IF($A540="","",IF(AND($C540="",$E540=""),"",IF($E540="","brak danych",IF($E540=0,0,IF(COUNTIFS($A$10:$A$89,$C540)&lt;&gt;1,"brak danych",IF(COUNTIFS($A$10:$A$89,$C540,$J$10:$J$89,"&lt;&gt;")=0,"brak danych",VLOOKUP($C540,$A$10:$J$89,10,FALSE)*$E540))))))</x:f>
      </x:c>
      <x:c r="L540" s="24" t="str">
        <x:f>IF($A540="","",IF($F540="","",IF($F540=0,0,IF(COUNTIFS($A$10:$A$89,$C540)&lt;&gt;1,"brak danych",IF(COUNTIFS($A$10:$A$89,$C540,$F$10:$F$89,"&lt;&gt;")=0,"brak danych",VLOOKUP($C540,$A$10:$J$89,6,FALSE)*$F540)))))</x:f>
      </x:c>
      <x:c r="M540" s="25" t="str">
        <x:f>IF($A540="","",IF($F540="","",IF($F540=0,0,IF(COUNTIFS($A$10:$A$89,$C540)&lt;&gt;1,"brak danych",IF(COUNTIFS($A$10:$A$89,$C540,$G$10:$G$89,"&lt;&gt;")=0,"brak danych",VLOOKUP($C540,$A$10:$J$89,7,FALSE)*$F540)))))</x:f>
      </x:c>
      <x:c r="N540" s="25" t="str">
        <x:f>IF($A540="","",IF($F540="","",IF($F540=0,0,IF(COUNTIFS($A$10:$A$89,$C540)&lt;&gt;1,"brak danych",IF(COUNTIFS($A$10:$A$89,$C540,$H$10:$H$89,"&lt;&gt;")=0,"brak danych",VLOOKUP($C540,$A$10:$J$89,8,FALSE)*$F540)))))</x:f>
      </x:c>
      <x:c r="O540" s="25" t="str">
        <x:f>IF($A540="","",IF($F540="","",IF($F540=0,0,IF(COUNTIFS($A$10:$A$89,$C540)&lt;&gt;1,"brak danych",IF(COUNTIFS($A$10:$A$89,$C540,$I$10:$I$89,"&lt;&gt;")=0,"brak danych",VLOOKUP($C540,$A$10:$J$89,9,FALSE)*$F540)))))</x:f>
      </x:c>
      <x:c r="P540" s="25" t="str">
        <x:f>IF($A540="","",IF($F540="","",IF($F540=0,0,IF(COUNTIFS($A$10:$A$89,$C540)&lt;&gt;1,"brak danych",IF(COUNTIFS($A$10:$A$89,$C540,$J$10:$J$89,"&lt;&gt;")=0,"brak danych",VLOOKUP($C540,$A$10:$J$89,10,FALSE)*$F540)))))</x:f>
      </x:c>
      <x:c r="Q540" s="18"/>
    </x:row>
    <x:row r="541" ht="25" customHeight="1">
      <x:c r="A541" s="6"/>
      <x:c r="B541" s="30"/>
      <x:c r="C541" s="5"/>
      <x:c r="D541" s="5"/>
      <x:c r="E541" s="32"/>
      <x:c r="F541" s="32"/>
      <x:c r="G541" s="24" t="str">
        <x:f>IF($A541="","",IF(AND($C541="",$E541=""),"",IF($E541="","brak danych",IF($E541=0,0,IF(COUNTIFS($A$10:$A$89,$C541)&lt;&gt;1,"brak danych",IF(COUNTIFS($A$10:$A$89,$C541,$F$10:$F$89,"&lt;&gt;")=0,"brak danych",VLOOKUP($C541,$A$10:$J$89,6,FALSE)*$E541))))))</x:f>
      </x:c>
      <x:c r="H541" s="25" t="str">
        <x:f>IF($A541="","",IF(AND($C541="",$E541=""),"",IF($E541="","brak danych",IF($E541=0,0,IF(COUNTIFS($A$10:$A$89,$C541)&lt;&gt;1,"brak danych",IF(COUNTIFS($A$10:$A$89,$C541,$G$10:$G$89,"&lt;&gt;")=0,"brak danych",VLOOKUP($C541,$A$10:$J$89,7,FALSE)*$E541))))))</x:f>
      </x:c>
      <x:c r="I541" s="25" t="str">
        <x:f>IF($A541="","",IF(AND($C541="",$E541=""),"",IF($E541="","brak danych",IF($E541=0,0,IF(COUNTIFS($A$10:$A$89,$C541)&lt;&gt;1,"brak danych",IF(COUNTIFS($A$10:$A$89,$C541,$H$10:$H$89,"&lt;&gt;")=0,"brak danych",VLOOKUP($C541,$A$10:$J$89,8,FALSE)*$E541))))))</x:f>
      </x:c>
      <x:c r="J541" s="25" t="str">
        <x:f>IF($A541="","",IF(AND($C541="",$E541=""),"",IF($E541="","brak danych",IF($E541=0,0,IF(COUNTIFS($A$10:$A$89,$C541)&lt;&gt;1,"brak danych",IF(COUNTIFS($A$10:$A$89,$C541,$I$10:$I$89,"&lt;&gt;")=0,"brak danych",VLOOKUP($C541,$A$10:$J$89,9,FALSE)*$E541))))))</x:f>
      </x:c>
      <x:c r="K541" s="25" t="str">
        <x:f>IF($A541="","",IF(AND($C541="",$E541=""),"",IF($E541="","brak danych",IF($E541=0,0,IF(COUNTIFS($A$10:$A$89,$C541)&lt;&gt;1,"brak danych",IF(COUNTIFS($A$10:$A$89,$C541,$J$10:$J$89,"&lt;&gt;")=0,"brak danych",VLOOKUP($C541,$A$10:$J$89,10,FALSE)*$E541))))))</x:f>
      </x:c>
      <x:c r="L541" s="24" t="str">
        <x:f>IF($A541="","",IF($F541="","",IF($F541=0,0,IF(COUNTIFS($A$10:$A$89,$C541)&lt;&gt;1,"brak danych",IF(COUNTIFS($A$10:$A$89,$C541,$F$10:$F$89,"&lt;&gt;")=0,"brak danych",VLOOKUP($C541,$A$10:$J$89,6,FALSE)*$F541)))))</x:f>
      </x:c>
      <x:c r="M541" s="25" t="str">
        <x:f>IF($A541="","",IF($F541="","",IF($F541=0,0,IF(COUNTIFS($A$10:$A$89,$C541)&lt;&gt;1,"brak danych",IF(COUNTIFS($A$10:$A$89,$C541,$G$10:$G$89,"&lt;&gt;")=0,"brak danych",VLOOKUP($C541,$A$10:$J$89,7,FALSE)*$F541)))))</x:f>
      </x:c>
      <x:c r="N541" s="25" t="str">
        <x:f>IF($A541="","",IF($F541="","",IF($F541=0,0,IF(COUNTIFS($A$10:$A$89,$C541)&lt;&gt;1,"brak danych",IF(COUNTIFS($A$10:$A$89,$C541,$H$10:$H$89,"&lt;&gt;")=0,"brak danych",VLOOKUP($C541,$A$10:$J$89,8,FALSE)*$F541)))))</x:f>
      </x:c>
      <x:c r="O541" s="25" t="str">
        <x:f>IF($A541="","",IF($F541="","",IF($F541=0,0,IF(COUNTIFS($A$10:$A$89,$C541)&lt;&gt;1,"brak danych",IF(COUNTIFS($A$10:$A$89,$C541,$I$10:$I$89,"&lt;&gt;")=0,"brak danych",VLOOKUP($C541,$A$10:$J$89,9,FALSE)*$F541)))))</x:f>
      </x:c>
      <x:c r="P541" s="25" t="str">
        <x:f>IF($A541="","",IF($F541="","",IF($F541=0,0,IF(COUNTIFS($A$10:$A$89,$C541)&lt;&gt;1,"brak danych",IF(COUNTIFS($A$10:$A$89,$C541,$J$10:$J$89,"&lt;&gt;")=0,"brak danych",VLOOKUP($C541,$A$10:$J$89,10,FALSE)*$F541)))))</x:f>
      </x:c>
      <x:c r="Q541" s="18"/>
    </x:row>
    <x:row r="542" ht="25" customHeight="1">
      <x:c r="A542" s="6"/>
      <x:c r="B542" s="30"/>
      <x:c r="C542" s="5"/>
      <x:c r="D542" s="5"/>
      <x:c r="E542" s="32"/>
      <x:c r="F542" s="32"/>
      <x:c r="G542" s="24" t="str">
        <x:f>IF($A542="","",IF(AND($C542="",$E542=""),"",IF($E542="","brak danych",IF($E542=0,0,IF(COUNTIFS($A$10:$A$89,$C542)&lt;&gt;1,"brak danych",IF(COUNTIFS($A$10:$A$89,$C542,$F$10:$F$89,"&lt;&gt;")=0,"brak danych",VLOOKUP($C542,$A$10:$J$89,6,FALSE)*$E542))))))</x:f>
      </x:c>
      <x:c r="H542" s="25" t="str">
        <x:f>IF($A542="","",IF(AND($C542="",$E542=""),"",IF($E542="","brak danych",IF($E542=0,0,IF(COUNTIFS($A$10:$A$89,$C542)&lt;&gt;1,"brak danych",IF(COUNTIFS($A$10:$A$89,$C542,$G$10:$G$89,"&lt;&gt;")=0,"brak danych",VLOOKUP($C542,$A$10:$J$89,7,FALSE)*$E542))))))</x:f>
      </x:c>
      <x:c r="I542" s="25" t="str">
        <x:f>IF($A542="","",IF(AND($C542="",$E542=""),"",IF($E542="","brak danych",IF($E542=0,0,IF(COUNTIFS($A$10:$A$89,$C542)&lt;&gt;1,"brak danych",IF(COUNTIFS($A$10:$A$89,$C542,$H$10:$H$89,"&lt;&gt;")=0,"brak danych",VLOOKUP($C542,$A$10:$J$89,8,FALSE)*$E542))))))</x:f>
      </x:c>
      <x:c r="J542" s="25" t="str">
        <x:f>IF($A542="","",IF(AND($C542="",$E542=""),"",IF($E542="","brak danych",IF($E542=0,0,IF(COUNTIFS($A$10:$A$89,$C542)&lt;&gt;1,"brak danych",IF(COUNTIFS($A$10:$A$89,$C542,$I$10:$I$89,"&lt;&gt;")=0,"brak danych",VLOOKUP($C542,$A$10:$J$89,9,FALSE)*$E542))))))</x:f>
      </x:c>
      <x:c r="K542" s="25" t="str">
        <x:f>IF($A542="","",IF(AND($C542="",$E542=""),"",IF($E542="","brak danych",IF($E542=0,0,IF(COUNTIFS($A$10:$A$89,$C542)&lt;&gt;1,"brak danych",IF(COUNTIFS($A$10:$A$89,$C542,$J$10:$J$89,"&lt;&gt;")=0,"brak danych",VLOOKUP($C542,$A$10:$J$89,10,FALSE)*$E542))))))</x:f>
      </x:c>
      <x:c r="L542" s="24" t="str">
        <x:f>IF($A542="","",IF($F542="","",IF($F542=0,0,IF(COUNTIFS($A$10:$A$89,$C542)&lt;&gt;1,"brak danych",IF(COUNTIFS($A$10:$A$89,$C542,$F$10:$F$89,"&lt;&gt;")=0,"brak danych",VLOOKUP($C542,$A$10:$J$89,6,FALSE)*$F542)))))</x:f>
      </x:c>
      <x:c r="M542" s="25" t="str">
        <x:f>IF($A542="","",IF($F542="","",IF($F542=0,0,IF(COUNTIFS($A$10:$A$89,$C542)&lt;&gt;1,"brak danych",IF(COUNTIFS($A$10:$A$89,$C542,$G$10:$G$89,"&lt;&gt;")=0,"brak danych",VLOOKUP($C542,$A$10:$J$89,7,FALSE)*$F542)))))</x:f>
      </x:c>
      <x:c r="N542" s="25" t="str">
        <x:f>IF($A542="","",IF($F542="","",IF($F542=0,0,IF(COUNTIFS($A$10:$A$89,$C542)&lt;&gt;1,"brak danych",IF(COUNTIFS($A$10:$A$89,$C542,$H$10:$H$89,"&lt;&gt;")=0,"brak danych",VLOOKUP($C542,$A$10:$J$89,8,FALSE)*$F542)))))</x:f>
      </x:c>
      <x:c r="O542" s="25" t="str">
        <x:f>IF($A542="","",IF($F542="","",IF($F542=0,0,IF(COUNTIFS($A$10:$A$89,$C542)&lt;&gt;1,"brak danych",IF(COUNTIFS($A$10:$A$89,$C542,$I$10:$I$89,"&lt;&gt;")=0,"brak danych",VLOOKUP($C542,$A$10:$J$89,9,FALSE)*$F542)))))</x:f>
      </x:c>
      <x:c r="P542" s="25" t="str">
        <x:f>IF($A542="","",IF($F542="","",IF($F542=0,0,IF(COUNTIFS($A$10:$A$89,$C542)&lt;&gt;1,"brak danych",IF(COUNTIFS($A$10:$A$89,$C542,$J$10:$J$89,"&lt;&gt;")=0,"brak danych",VLOOKUP($C542,$A$10:$J$89,10,FALSE)*$F542)))))</x:f>
      </x:c>
      <x:c r="Q542" s="18"/>
    </x:row>
    <x:row r="543" ht="25" customHeight="1">
      <x:c r="A543" s="6"/>
      <x:c r="B543" s="30"/>
      <x:c r="C543" s="5"/>
      <x:c r="D543" s="5"/>
      <x:c r="E543" s="32"/>
      <x:c r="F543" s="32"/>
      <x:c r="G543" s="24" t="str">
        <x:f>IF($A543="","",IF(AND($C543="",$E543=""),"",IF($E543="","brak danych",IF($E543=0,0,IF(COUNTIFS($A$10:$A$89,$C543)&lt;&gt;1,"brak danych",IF(COUNTIFS($A$10:$A$89,$C543,$F$10:$F$89,"&lt;&gt;")=0,"brak danych",VLOOKUP($C543,$A$10:$J$89,6,FALSE)*$E543))))))</x:f>
      </x:c>
      <x:c r="H543" s="25" t="str">
        <x:f>IF($A543="","",IF(AND($C543="",$E543=""),"",IF($E543="","brak danych",IF($E543=0,0,IF(COUNTIFS($A$10:$A$89,$C543)&lt;&gt;1,"brak danych",IF(COUNTIFS($A$10:$A$89,$C543,$G$10:$G$89,"&lt;&gt;")=0,"brak danych",VLOOKUP($C543,$A$10:$J$89,7,FALSE)*$E543))))))</x:f>
      </x:c>
      <x:c r="I543" s="25" t="str">
        <x:f>IF($A543="","",IF(AND($C543="",$E543=""),"",IF($E543="","brak danych",IF($E543=0,0,IF(COUNTIFS($A$10:$A$89,$C543)&lt;&gt;1,"brak danych",IF(COUNTIFS($A$10:$A$89,$C543,$H$10:$H$89,"&lt;&gt;")=0,"brak danych",VLOOKUP($C543,$A$10:$J$89,8,FALSE)*$E543))))))</x:f>
      </x:c>
      <x:c r="J543" s="25" t="str">
        <x:f>IF($A543="","",IF(AND($C543="",$E543=""),"",IF($E543="","brak danych",IF($E543=0,0,IF(COUNTIFS($A$10:$A$89,$C543)&lt;&gt;1,"brak danych",IF(COUNTIFS($A$10:$A$89,$C543,$I$10:$I$89,"&lt;&gt;")=0,"brak danych",VLOOKUP($C543,$A$10:$J$89,9,FALSE)*$E543))))))</x:f>
      </x:c>
      <x:c r="K543" s="25" t="str">
        <x:f>IF($A543="","",IF(AND($C543="",$E543=""),"",IF($E543="","brak danych",IF($E543=0,0,IF(COUNTIFS($A$10:$A$89,$C543)&lt;&gt;1,"brak danych",IF(COUNTIFS($A$10:$A$89,$C543,$J$10:$J$89,"&lt;&gt;")=0,"brak danych",VLOOKUP($C543,$A$10:$J$89,10,FALSE)*$E543))))))</x:f>
      </x:c>
      <x:c r="L543" s="24" t="str">
        <x:f>IF($A543="","",IF($F543="","",IF($F543=0,0,IF(COUNTIFS($A$10:$A$89,$C543)&lt;&gt;1,"brak danych",IF(COUNTIFS($A$10:$A$89,$C543,$F$10:$F$89,"&lt;&gt;")=0,"brak danych",VLOOKUP($C543,$A$10:$J$89,6,FALSE)*$F543)))))</x:f>
      </x:c>
      <x:c r="M543" s="25" t="str">
        <x:f>IF($A543="","",IF($F543="","",IF($F543=0,0,IF(COUNTIFS($A$10:$A$89,$C543)&lt;&gt;1,"brak danych",IF(COUNTIFS($A$10:$A$89,$C543,$G$10:$G$89,"&lt;&gt;")=0,"brak danych",VLOOKUP($C543,$A$10:$J$89,7,FALSE)*$F543)))))</x:f>
      </x:c>
      <x:c r="N543" s="25" t="str">
        <x:f>IF($A543="","",IF($F543="","",IF($F543=0,0,IF(COUNTIFS($A$10:$A$89,$C543)&lt;&gt;1,"brak danych",IF(COUNTIFS($A$10:$A$89,$C543,$H$10:$H$89,"&lt;&gt;")=0,"brak danych",VLOOKUP($C543,$A$10:$J$89,8,FALSE)*$F543)))))</x:f>
      </x:c>
      <x:c r="O543" s="25" t="str">
        <x:f>IF($A543="","",IF($F543="","",IF($F543=0,0,IF(COUNTIFS($A$10:$A$89,$C543)&lt;&gt;1,"brak danych",IF(COUNTIFS($A$10:$A$89,$C543,$I$10:$I$89,"&lt;&gt;")=0,"brak danych",VLOOKUP($C543,$A$10:$J$89,9,FALSE)*$F543)))))</x:f>
      </x:c>
      <x:c r="P543" s="25" t="str">
        <x:f>IF($A543="","",IF($F543="","",IF($F543=0,0,IF(COUNTIFS($A$10:$A$89,$C543)&lt;&gt;1,"brak danych",IF(COUNTIFS($A$10:$A$89,$C543,$J$10:$J$89,"&lt;&gt;")=0,"brak danych",VLOOKUP($C543,$A$10:$J$89,10,FALSE)*$F543)))))</x:f>
      </x:c>
      <x:c r="Q543" s="18"/>
    </x:row>
    <x:row r="544" ht="25" customHeight="1">
      <x:c r="A544" s="6"/>
      <x:c r="B544" s="30"/>
      <x:c r="C544" s="5"/>
      <x:c r="D544" s="5"/>
      <x:c r="E544" s="32"/>
      <x:c r="F544" s="32"/>
      <x:c r="G544" s="24" t="str">
        <x:f>IF($A544="","",IF(AND($C544="",$E544=""),"",IF($E544="","brak danych",IF($E544=0,0,IF(COUNTIFS($A$10:$A$89,$C544)&lt;&gt;1,"brak danych",IF(COUNTIFS($A$10:$A$89,$C544,$F$10:$F$89,"&lt;&gt;")=0,"brak danych",VLOOKUP($C544,$A$10:$J$89,6,FALSE)*$E544))))))</x:f>
      </x:c>
      <x:c r="H544" s="25" t="str">
        <x:f>IF($A544="","",IF(AND($C544="",$E544=""),"",IF($E544="","brak danych",IF($E544=0,0,IF(COUNTIFS($A$10:$A$89,$C544)&lt;&gt;1,"brak danych",IF(COUNTIFS($A$10:$A$89,$C544,$G$10:$G$89,"&lt;&gt;")=0,"brak danych",VLOOKUP($C544,$A$10:$J$89,7,FALSE)*$E544))))))</x:f>
      </x:c>
      <x:c r="I544" s="25" t="str">
        <x:f>IF($A544="","",IF(AND($C544="",$E544=""),"",IF($E544="","brak danych",IF($E544=0,0,IF(COUNTIFS($A$10:$A$89,$C544)&lt;&gt;1,"brak danych",IF(COUNTIFS($A$10:$A$89,$C544,$H$10:$H$89,"&lt;&gt;")=0,"brak danych",VLOOKUP($C544,$A$10:$J$89,8,FALSE)*$E544))))))</x:f>
      </x:c>
      <x:c r="J544" s="25" t="str">
        <x:f>IF($A544="","",IF(AND($C544="",$E544=""),"",IF($E544="","brak danych",IF($E544=0,0,IF(COUNTIFS($A$10:$A$89,$C544)&lt;&gt;1,"brak danych",IF(COUNTIFS($A$10:$A$89,$C544,$I$10:$I$89,"&lt;&gt;")=0,"brak danych",VLOOKUP($C544,$A$10:$J$89,9,FALSE)*$E544))))))</x:f>
      </x:c>
      <x:c r="K544" s="25" t="str">
        <x:f>IF($A544="","",IF(AND($C544="",$E544=""),"",IF($E544="","brak danych",IF($E544=0,0,IF(COUNTIFS($A$10:$A$89,$C544)&lt;&gt;1,"brak danych",IF(COUNTIFS($A$10:$A$89,$C544,$J$10:$J$89,"&lt;&gt;")=0,"brak danych",VLOOKUP($C544,$A$10:$J$89,10,FALSE)*$E544))))))</x:f>
      </x:c>
      <x:c r="L544" s="24" t="str">
        <x:f>IF($A544="","",IF($F544="","",IF($F544=0,0,IF(COUNTIFS($A$10:$A$89,$C544)&lt;&gt;1,"brak danych",IF(COUNTIFS($A$10:$A$89,$C544,$F$10:$F$89,"&lt;&gt;")=0,"brak danych",VLOOKUP($C544,$A$10:$J$89,6,FALSE)*$F544)))))</x:f>
      </x:c>
      <x:c r="M544" s="25" t="str">
        <x:f>IF($A544="","",IF($F544="","",IF($F544=0,0,IF(COUNTIFS($A$10:$A$89,$C544)&lt;&gt;1,"brak danych",IF(COUNTIFS($A$10:$A$89,$C544,$G$10:$G$89,"&lt;&gt;")=0,"brak danych",VLOOKUP($C544,$A$10:$J$89,7,FALSE)*$F544)))))</x:f>
      </x:c>
      <x:c r="N544" s="25" t="str">
        <x:f>IF($A544="","",IF($F544="","",IF($F544=0,0,IF(COUNTIFS($A$10:$A$89,$C544)&lt;&gt;1,"brak danych",IF(COUNTIFS($A$10:$A$89,$C544,$H$10:$H$89,"&lt;&gt;")=0,"brak danych",VLOOKUP($C544,$A$10:$J$89,8,FALSE)*$F544)))))</x:f>
      </x:c>
      <x:c r="O544" s="25" t="str">
        <x:f>IF($A544="","",IF($F544="","",IF($F544=0,0,IF(COUNTIFS($A$10:$A$89,$C544)&lt;&gt;1,"brak danych",IF(COUNTIFS($A$10:$A$89,$C544,$I$10:$I$89,"&lt;&gt;")=0,"brak danych",VLOOKUP($C544,$A$10:$J$89,9,FALSE)*$F544)))))</x:f>
      </x:c>
      <x:c r="P544" s="25" t="str">
        <x:f>IF($A544="","",IF($F544="","",IF($F544=0,0,IF(COUNTIFS($A$10:$A$89,$C544)&lt;&gt;1,"brak danych",IF(COUNTIFS($A$10:$A$89,$C544,$J$10:$J$89,"&lt;&gt;")=0,"brak danych",VLOOKUP($C544,$A$10:$J$89,10,FALSE)*$F544)))))</x:f>
      </x:c>
      <x:c r="Q544" s="18"/>
    </x:row>
    <x:row r="545" ht="25" customHeight="1">
      <x:c r="A545" s="6"/>
      <x:c r="B545" s="30"/>
      <x:c r="C545" s="5"/>
      <x:c r="D545" s="5"/>
      <x:c r="E545" s="32"/>
      <x:c r="F545" s="32"/>
      <x:c r="G545" s="24" t="str">
        <x:f>IF($A545="","",IF(AND($C545="",$E545=""),"",IF($E545="","brak danych",IF($E545=0,0,IF(COUNTIFS($A$10:$A$89,$C545)&lt;&gt;1,"brak danych",IF(COUNTIFS($A$10:$A$89,$C545,$F$10:$F$89,"&lt;&gt;")=0,"brak danych",VLOOKUP($C545,$A$10:$J$89,6,FALSE)*$E545))))))</x:f>
      </x:c>
      <x:c r="H545" s="25" t="str">
        <x:f>IF($A545="","",IF(AND($C545="",$E545=""),"",IF($E545="","brak danych",IF($E545=0,0,IF(COUNTIFS($A$10:$A$89,$C545)&lt;&gt;1,"brak danych",IF(COUNTIFS($A$10:$A$89,$C545,$G$10:$G$89,"&lt;&gt;")=0,"brak danych",VLOOKUP($C545,$A$10:$J$89,7,FALSE)*$E545))))))</x:f>
      </x:c>
      <x:c r="I545" s="25" t="str">
        <x:f>IF($A545="","",IF(AND($C545="",$E545=""),"",IF($E545="","brak danych",IF($E545=0,0,IF(COUNTIFS($A$10:$A$89,$C545)&lt;&gt;1,"brak danych",IF(COUNTIFS($A$10:$A$89,$C545,$H$10:$H$89,"&lt;&gt;")=0,"brak danych",VLOOKUP($C545,$A$10:$J$89,8,FALSE)*$E545))))))</x:f>
      </x:c>
      <x:c r="J545" s="25" t="str">
        <x:f>IF($A545="","",IF(AND($C545="",$E545=""),"",IF($E545="","brak danych",IF($E545=0,0,IF(COUNTIFS($A$10:$A$89,$C545)&lt;&gt;1,"brak danych",IF(COUNTIFS($A$10:$A$89,$C545,$I$10:$I$89,"&lt;&gt;")=0,"brak danych",VLOOKUP($C545,$A$10:$J$89,9,FALSE)*$E545))))))</x:f>
      </x:c>
      <x:c r="K545" s="25" t="str">
        <x:f>IF($A545="","",IF(AND($C545="",$E545=""),"",IF($E545="","brak danych",IF($E545=0,0,IF(COUNTIFS($A$10:$A$89,$C545)&lt;&gt;1,"brak danych",IF(COUNTIFS($A$10:$A$89,$C545,$J$10:$J$89,"&lt;&gt;")=0,"brak danych",VLOOKUP($C545,$A$10:$J$89,10,FALSE)*$E545))))))</x:f>
      </x:c>
      <x:c r="L545" s="24" t="str">
        <x:f>IF($A545="","",IF($F545="","",IF($F545=0,0,IF(COUNTIFS($A$10:$A$89,$C545)&lt;&gt;1,"brak danych",IF(COUNTIFS($A$10:$A$89,$C545,$F$10:$F$89,"&lt;&gt;")=0,"brak danych",VLOOKUP($C545,$A$10:$J$89,6,FALSE)*$F545)))))</x:f>
      </x:c>
      <x:c r="M545" s="25" t="str">
        <x:f>IF($A545="","",IF($F545="","",IF($F545=0,0,IF(COUNTIFS($A$10:$A$89,$C545)&lt;&gt;1,"brak danych",IF(COUNTIFS($A$10:$A$89,$C545,$G$10:$G$89,"&lt;&gt;")=0,"brak danych",VLOOKUP($C545,$A$10:$J$89,7,FALSE)*$F545)))))</x:f>
      </x:c>
      <x:c r="N545" s="25" t="str">
        <x:f>IF($A545="","",IF($F545="","",IF($F545=0,0,IF(COUNTIFS($A$10:$A$89,$C545)&lt;&gt;1,"brak danych",IF(COUNTIFS($A$10:$A$89,$C545,$H$10:$H$89,"&lt;&gt;")=0,"brak danych",VLOOKUP($C545,$A$10:$J$89,8,FALSE)*$F545)))))</x:f>
      </x:c>
      <x:c r="O545" s="25" t="str">
        <x:f>IF($A545="","",IF($F545="","",IF($F545=0,0,IF(COUNTIFS($A$10:$A$89,$C545)&lt;&gt;1,"brak danych",IF(COUNTIFS($A$10:$A$89,$C545,$I$10:$I$89,"&lt;&gt;")=0,"brak danych",VLOOKUP($C545,$A$10:$J$89,9,FALSE)*$F545)))))</x:f>
      </x:c>
      <x:c r="P545" s="25" t="str">
        <x:f>IF($A545="","",IF($F545="","",IF($F545=0,0,IF(COUNTIFS($A$10:$A$89,$C545)&lt;&gt;1,"brak danych",IF(COUNTIFS($A$10:$A$89,$C545,$J$10:$J$89,"&lt;&gt;")=0,"brak danych",VLOOKUP($C545,$A$10:$J$89,10,FALSE)*$F545)))))</x:f>
      </x:c>
      <x:c r="Q545" s="18"/>
    </x:row>
    <x:row r="546" ht="25" customHeight="1">
      <x:c r="A546" s="6"/>
      <x:c r="B546" s="30"/>
      <x:c r="C546" s="5"/>
      <x:c r="D546" s="5"/>
      <x:c r="E546" s="32"/>
      <x:c r="F546" s="32"/>
      <x:c r="G546" s="24" t="str">
        <x:f>IF($A546="","",IF(AND($C546="",$E546=""),"",IF($E546="","brak danych",IF($E546=0,0,IF(COUNTIFS($A$10:$A$89,$C546)&lt;&gt;1,"brak danych",IF(COUNTIFS($A$10:$A$89,$C546,$F$10:$F$89,"&lt;&gt;")=0,"brak danych",VLOOKUP($C546,$A$10:$J$89,6,FALSE)*$E546))))))</x:f>
      </x:c>
      <x:c r="H546" s="25" t="str">
        <x:f>IF($A546="","",IF(AND($C546="",$E546=""),"",IF($E546="","brak danych",IF($E546=0,0,IF(COUNTIFS($A$10:$A$89,$C546)&lt;&gt;1,"brak danych",IF(COUNTIFS($A$10:$A$89,$C546,$G$10:$G$89,"&lt;&gt;")=0,"brak danych",VLOOKUP($C546,$A$10:$J$89,7,FALSE)*$E546))))))</x:f>
      </x:c>
      <x:c r="I546" s="25" t="str">
        <x:f>IF($A546="","",IF(AND($C546="",$E546=""),"",IF($E546="","brak danych",IF($E546=0,0,IF(COUNTIFS($A$10:$A$89,$C546)&lt;&gt;1,"brak danych",IF(COUNTIFS($A$10:$A$89,$C546,$H$10:$H$89,"&lt;&gt;")=0,"brak danych",VLOOKUP($C546,$A$10:$J$89,8,FALSE)*$E546))))))</x:f>
      </x:c>
      <x:c r="J546" s="25" t="str">
        <x:f>IF($A546="","",IF(AND($C546="",$E546=""),"",IF($E546="","brak danych",IF($E546=0,0,IF(COUNTIFS($A$10:$A$89,$C546)&lt;&gt;1,"brak danych",IF(COUNTIFS($A$10:$A$89,$C546,$I$10:$I$89,"&lt;&gt;")=0,"brak danych",VLOOKUP($C546,$A$10:$J$89,9,FALSE)*$E546))))))</x:f>
      </x:c>
      <x:c r="K546" s="25" t="str">
        <x:f>IF($A546="","",IF(AND($C546="",$E546=""),"",IF($E546="","brak danych",IF($E546=0,0,IF(COUNTIFS($A$10:$A$89,$C546)&lt;&gt;1,"brak danych",IF(COUNTIFS($A$10:$A$89,$C546,$J$10:$J$89,"&lt;&gt;")=0,"brak danych",VLOOKUP($C546,$A$10:$J$89,10,FALSE)*$E546))))))</x:f>
      </x:c>
      <x:c r="L546" s="24" t="str">
        <x:f>IF($A546="","",IF($F546="","",IF($F546=0,0,IF(COUNTIFS($A$10:$A$89,$C546)&lt;&gt;1,"brak danych",IF(COUNTIFS($A$10:$A$89,$C546,$F$10:$F$89,"&lt;&gt;")=0,"brak danych",VLOOKUP($C546,$A$10:$J$89,6,FALSE)*$F546)))))</x:f>
      </x:c>
      <x:c r="M546" s="25" t="str">
        <x:f>IF($A546="","",IF($F546="","",IF($F546=0,0,IF(COUNTIFS($A$10:$A$89,$C546)&lt;&gt;1,"brak danych",IF(COUNTIFS($A$10:$A$89,$C546,$G$10:$G$89,"&lt;&gt;")=0,"brak danych",VLOOKUP($C546,$A$10:$J$89,7,FALSE)*$F546)))))</x:f>
      </x:c>
      <x:c r="N546" s="25" t="str">
        <x:f>IF($A546="","",IF($F546="","",IF($F546=0,0,IF(COUNTIFS($A$10:$A$89,$C546)&lt;&gt;1,"brak danych",IF(COUNTIFS($A$10:$A$89,$C546,$H$10:$H$89,"&lt;&gt;")=0,"brak danych",VLOOKUP($C546,$A$10:$J$89,8,FALSE)*$F546)))))</x:f>
      </x:c>
      <x:c r="O546" s="25" t="str">
        <x:f>IF($A546="","",IF($F546="","",IF($F546=0,0,IF(COUNTIFS($A$10:$A$89,$C546)&lt;&gt;1,"brak danych",IF(COUNTIFS($A$10:$A$89,$C546,$I$10:$I$89,"&lt;&gt;")=0,"brak danych",VLOOKUP($C546,$A$10:$J$89,9,FALSE)*$F546)))))</x:f>
      </x:c>
      <x:c r="P546" s="25" t="str">
        <x:f>IF($A546="","",IF($F546="","",IF($F546=0,0,IF(COUNTIFS($A$10:$A$89,$C546)&lt;&gt;1,"brak danych",IF(COUNTIFS($A$10:$A$89,$C546,$J$10:$J$89,"&lt;&gt;")=0,"brak danych",VLOOKUP($C546,$A$10:$J$89,10,FALSE)*$F546)))))</x:f>
      </x:c>
      <x:c r="Q546" s="18"/>
    </x:row>
    <x:row r="547" ht="25" customHeight="1">
      <x:c r="A547" s="6"/>
      <x:c r="B547" s="30"/>
      <x:c r="C547" s="5"/>
      <x:c r="D547" s="5"/>
      <x:c r="E547" s="32"/>
      <x:c r="F547" s="32"/>
      <x:c r="G547" s="24" t="str">
        <x:f>IF($A547="","",IF(AND($C547="",$E547=""),"",IF($E547="","brak danych",IF($E547=0,0,IF(COUNTIFS($A$10:$A$89,$C547)&lt;&gt;1,"brak danych",IF(COUNTIFS($A$10:$A$89,$C547,$F$10:$F$89,"&lt;&gt;")=0,"brak danych",VLOOKUP($C547,$A$10:$J$89,6,FALSE)*$E547))))))</x:f>
      </x:c>
      <x:c r="H547" s="25" t="str">
        <x:f>IF($A547="","",IF(AND($C547="",$E547=""),"",IF($E547="","brak danych",IF($E547=0,0,IF(COUNTIFS($A$10:$A$89,$C547)&lt;&gt;1,"brak danych",IF(COUNTIFS($A$10:$A$89,$C547,$G$10:$G$89,"&lt;&gt;")=0,"brak danych",VLOOKUP($C547,$A$10:$J$89,7,FALSE)*$E547))))))</x:f>
      </x:c>
      <x:c r="I547" s="25" t="str">
        <x:f>IF($A547="","",IF(AND($C547="",$E547=""),"",IF($E547="","brak danych",IF($E547=0,0,IF(COUNTIFS($A$10:$A$89,$C547)&lt;&gt;1,"brak danych",IF(COUNTIFS($A$10:$A$89,$C547,$H$10:$H$89,"&lt;&gt;")=0,"brak danych",VLOOKUP($C547,$A$10:$J$89,8,FALSE)*$E547))))))</x:f>
      </x:c>
      <x:c r="J547" s="25" t="str">
        <x:f>IF($A547="","",IF(AND($C547="",$E547=""),"",IF($E547="","brak danych",IF($E547=0,0,IF(COUNTIFS($A$10:$A$89,$C547)&lt;&gt;1,"brak danych",IF(COUNTIFS($A$10:$A$89,$C547,$I$10:$I$89,"&lt;&gt;")=0,"brak danych",VLOOKUP($C547,$A$10:$J$89,9,FALSE)*$E547))))))</x:f>
      </x:c>
      <x:c r="K547" s="25" t="str">
        <x:f>IF($A547="","",IF(AND($C547="",$E547=""),"",IF($E547="","brak danych",IF($E547=0,0,IF(COUNTIFS($A$10:$A$89,$C547)&lt;&gt;1,"brak danych",IF(COUNTIFS($A$10:$A$89,$C547,$J$10:$J$89,"&lt;&gt;")=0,"brak danych",VLOOKUP($C547,$A$10:$J$89,10,FALSE)*$E547))))))</x:f>
      </x:c>
      <x:c r="L547" s="24" t="str">
        <x:f>IF($A547="","",IF($F547="","",IF($F547=0,0,IF(COUNTIFS($A$10:$A$89,$C547)&lt;&gt;1,"brak danych",IF(COUNTIFS($A$10:$A$89,$C547,$F$10:$F$89,"&lt;&gt;")=0,"brak danych",VLOOKUP($C547,$A$10:$J$89,6,FALSE)*$F547)))))</x:f>
      </x:c>
      <x:c r="M547" s="25" t="str">
        <x:f>IF($A547="","",IF($F547="","",IF($F547=0,0,IF(COUNTIFS($A$10:$A$89,$C547)&lt;&gt;1,"brak danych",IF(COUNTIFS($A$10:$A$89,$C547,$G$10:$G$89,"&lt;&gt;")=0,"brak danych",VLOOKUP($C547,$A$10:$J$89,7,FALSE)*$F547)))))</x:f>
      </x:c>
      <x:c r="N547" s="25" t="str">
        <x:f>IF($A547="","",IF($F547="","",IF($F547=0,0,IF(COUNTIFS($A$10:$A$89,$C547)&lt;&gt;1,"brak danych",IF(COUNTIFS($A$10:$A$89,$C547,$H$10:$H$89,"&lt;&gt;")=0,"brak danych",VLOOKUP($C547,$A$10:$J$89,8,FALSE)*$F547)))))</x:f>
      </x:c>
      <x:c r="O547" s="25" t="str">
        <x:f>IF($A547="","",IF($F547="","",IF($F547=0,0,IF(COUNTIFS($A$10:$A$89,$C547)&lt;&gt;1,"brak danych",IF(COUNTIFS($A$10:$A$89,$C547,$I$10:$I$89,"&lt;&gt;")=0,"brak danych",VLOOKUP($C547,$A$10:$J$89,9,FALSE)*$F547)))))</x:f>
      </x:c>
      <x:c r="P547" s="25" t="str">
        <x:f>IF($A547="","",IF($F547="","",IF($F547=0,0,IF(COUNTIFS($A$10:$A$89,$C547)&lt;&gt;1,"brak danych",IF(COUNTIFS($A$10:$A$89,$C547,$J$10:$J$89,"&lt;&gt;")=0,"brak danych",VLOOKUP($C547,$A$10:$J$89,10,FALSE)*$F547)))))</x:f>
      </x:c>
      <x:c r="Q547" s="18"/>
    </x:row>
    <x:row r="548" ht="25" customHeight="1">
      <x:c r="A548" s="6"/>
      <x:c r="B548" s="30"/>
      <x:c r="C548" s="5"/>
      <x:c r="D548" s="5"/>
      <x:c r="E548" s="32"/>
      <x:c r="F548" s="32"/>
      <x:c r="G548" s="24" t="str">
        <x:f>IF($A548="","",IF(AND($C548="",$E548=""),"",IF($E548="","brak danych",IF($E548=0,0,IF(COUNTIFS($A$10:$A$89,$C548)&lt;&gt;1,"brak danych",IF(COUNTIFS($A$10:$A$89,$C548,$F$10:$F$89,"&lt;&gt;")=0,"brak danych",VLOOKUP($C548,$A$10:$J$89,6,FALSE)*$E548))))))</x:f>
      </x:c>
      <x:c r="H548" s="25" t="str">
        <x:f>IF($A548="","",IF(AND($C548="",$E548=""),"",IF($E548="","brak danych",IF($E548=0,0,IF(COUNTIFS($A$10:$A$89,$C548)&lt;&gt;1,"brak danych",IF(COUNTIFS($A$10:$A$89,$C548,$G$10:$G$89,"&lt;&gt;")=0,"brak danych",VLOOKUP($C548,$A$10:$J$89,7,FALSE)*$E548))))))</x:f>
      </x:c>
      <x:c r="I548" s="25" t="str">
        <x:f>IF($A548="","",IF(AND($C548="",$E548=""),"",IF($E548="","brak danych",IF($E548=0,0,IF(COUNTIFS($A$10:$A$89,$C548)&lt;&gt;1,"brak danych",IF(COUNTIFS($A$10:$A$89,$C548,$H$10:$H$89,"&lt;&gt;")=0,"brak danych",VLOOKUP($C548,$A$10:$J$89,8,FALSE)*$E548))))))</x:f>
      </x:c>
      <x:c r="J548" s="25" t="str">
        <x:f>IF($A548="","",IF(AND($C548="",$E548=""),"",IF($E548="","brak danych",IF($E548=0,0,IF(COUNTIFS($A$10:$A$89,$C548)&lt;&gt;1,"brak danych",IF(COUNTIFS($A$10:$A$89,$C548,$I$10:$I$89,"&lt;&gt;")=0,"brak danych",VLOOKUP($C548,$A$10:$J$89,9,FALSE)*$E548))))))</x:f>
      </x:c>
      <x:c r="K548" s="25" t="str">
        <x:f>IF($A548="","",IF(AND($C548="",$E548=""),"",IF($E548="","brak danych",IF($E548=0,0,IF(COUNTIFS($A$10:$A$89,$C548)&lt;&gt;1,"brak danych",IF(COUNTIFS($A$10:$A$89,$C548,$J$10:$J$89,"&lt;&gt;")=0,"brak danych",VLOOKUP($C548,$A$10:$J$89,10,FALSE)*$E548))))))</x:f>
      </x:c>
      <x:c r="L548" s="24" t="str">
        <x:f>IF($A548="","",IF($F548="","",IF($F548=0,0,IF(COUNTIFS($A$10:$A$89,$C548)&lt;&gt;1,"brak danych",IF(COUNTIFS($A$10:$A$89,$C548,$F$10:$F$89,"&lt;&gt;")=0,"brak danych",VLOOKUP($C548,$A$10:$J$89,6,FALSE)*$F548)))))</x:f>
      </x:c>
      <x:c r="M548" s="25" t="str">
        <x:f>IF($A548="","",IF($F548="","",IF($F548=0,0,IF(COUNTIFS($A$10:$A$89,$C548)&lt;&gt;1,"brak danych",IF(COUNTIFS($A$10:$A$89,$C548,$G$10:$G$89,"&lt;&gt;")=0,"brak danych",VLOOKUP($C548,$A$10:$J$89,7,FALSE)*$F548)))))</x:f>
      </x:c>
      <x:c r="N548" s="25" t="str">
        <x:f>IF($A548="","",IF($F548="","",IF($F548=0,0,IF(COUNTIFS($A$10:$A$89,$C548)&lt;&gt;1,"brak danych",IF(COUNTIFS($A$10:$A$89,$C548,$H$10:$H$89,"&lt;&gt;")=0,"brak danych",VLOOKUP($C548,$A$10:$J$89,8,FALSE)*$F548)))))</x:f>
      </x:c>
      <x:c r="O548" s="25" t="str">
        <x:f>IF($A548="","",IF($F548="","",IF($F548=0,0,IF(COUNTIFS($A$10:$A$89,$C548)&lt;&gt;1,"brak danych",IF(COUNTIFS($A$10:$A$89,$C548,$I$10:$I$89,"&lt;&gt;")=0,"brak danych",VLOOKUP($C548,$A$10:$J$89,9,FALSE)*$F548)))))</x:f>
      </x:c>
      <x:c r="P548" s="25" t="str">
        <x:f>IF($A548="","",IF($F548="","",IF($F548=0,0,IF(COUNTIFS($A$10:$A$89,$C548)&lt;&gt;1,"brak danych",IF(COUNTIFS($A$10:$A$89,$C548,$J$10:$J$89,"&lt;&gt;")=0,"brak danych",VLOOKUP($C548,$A$10:$J$89,10,FALSE)*$F548)))))</x:f>
      </x:c>
      <x:c r="Q548" s="18"/>
    </x:row>
    <x:row r="549" ht="25" customHeight="1">
      <x:c r="A549" s="6"/>
      <x:c r="B549" s="30"/>
      <x:c r="C549" s="5"/>
      <x:c r="D549" s="5"/>
      <x:c r="E549" s="32"/>
      <x:c r="F549" s="32"/>
      <x:c r="G549" s="24" t="str">
        <x:f>IF($A549="","",IF(AND($C549="",$E549=""),"",IF($E549="","brak danych",IF($E549=0,0,IF(COUNTIFS($A$10:$A$89,$C549)&lt;&gt;1,"brak danych",IF(COUNTIFS($A$10:$A$89,$C549,$F$10:$F$89,"&lt;&gt;")=0,"brak danych",VLOOKUP($C549,$A$10:$J$89,6,FALSE)*$E549))))))</x:f>
      </x:c>
      <x:c r="H549" s="25" t="str">
        <x:f>IF($A549="","",IF(AND($C549="",$E549=""),"",IF($E549="","brak danych",IF($E549=0,0,IF(COUNTIFS($A$10:$A$89,$C549)&lt;&gt;1,"brak danych",IF(COUNTIFS($A$10:$A$89,$C549,$G$10:$G$89,"&lt;&gt;")=0,"brak danych",VLOOKUP($C549,$A$10:$J$89,7,FALSE)*$E549))))))</x:f>
      </x:c>
      <x:c r="I549" s="25" t="str">
        <x:f>IF($A549="","",IF(AND($C549="",$E549=""),"",IF($E549="","brak danych",IF($E549=0,0,IF(COUNTIFS($A$10:$A$89,$C549)&lt;&gt;1,"brak danych",IF(COUNTIFS($A$10:$A$89,$C549,$H$10:$H$89,"&lt;&gt;")=0,"brak danych",VLOOKUP($C549,$A$10:$J$89,8,FALSE)*$E549))))))</x:f>
      </x:c>
      <x:c r="J549" s="25" t="str">
        <x:f>IF($A549="","",IF(AND($C549="",$E549=""),"",IF($E549="","brak danych",IF($E549=0,0,IF(COUNTIFS($A$10:$A$89,$C549)&lt;&gt;1,"brak danych",IF(COUNTIFS($A$10:$A$89,$C549,$I$10:$I$89,"&lt;&gt;")=0,"brak danych",VLOOKUP($C549,$A$10:$J$89,9,FALSE)*$E549))))))</x:f>
      </x:c>
      <x:c r="K549" s="25" t="str">
        <x:f>IF($A549="","",IF(AND($C549="",$E549=""),"",IF($E549="","brak danych",IF($E549=0,0,IF(COUNTIFS($A$10:$A$89,$C549)&lt;&gt;1,"brak danych",IF(COUNTIFS($A$10:$A$89,$C549,$J$10:$J$89,"&lt;&gt;")=0,"brak danych",VLOOKUP($C549,$A$10:$J$89,10,FALSE)*$E549))))))</x:f>
      </x:c>
      <x:c r="L549" s="24" t="str">
        <x:f>IF($A549="","",IF($F549="","",IF($F549=0,0,IF(COUNTIFS($A$10:$A$89,$C549)&lt;&gt;1,"brak danych",IF(COUNTIFS($A$10:$A$89,$C549,$F$10:$F$89,"&lt;&gt;")=0,"brak danych",VLOOKUP($C549,$A$10:$J$89,6,FALSE)*$F549)))))</x:f>
      </x:c>
      <x:c r="M549" s="25" t="str">
        <x:f>IF($A549="","",IF($F549="","",IF($F549=0,0,IF(COUNTIFS($A$10:$A$89,$C549)&lt;&gt;1,"brak danych",IF(COUNTIFS($A$10:$A$89,$C549,$G$10:$G$89,"&lt;&gt;")=0,"brak danych",VLOOKUP($C549,$A$10:$J$89,7,FALSE)*$F549)))))</x:f>
      </x:c>
      <x:c r="N549" s="25" t="str">
        <x:f>IF($A549="","",IF($F549="","",IF($F549=0,0,IF(COUNTIFS($A$10:$A$89,$C549)&lt;&gt;1,"brak danych",IF(COUNTIFS($A$10:$A$89,$C549,$H$10:$H$89,"&lt;&gt;")=0,"brak danych",VLOOKUP($C549,$A$10:$J$89,8,FALSE)*$F549)))))</x:f>
      </x:c>
      <x:c r="O549" s="25" t="str">
        <x:f>IF($A549="","",IF($F549="","",IF($F549=0,0,IF(COUNTIFS($A$10:$A$89,$C549)&lt;&gt;1,"brak danych",IF(COUNTIFS($A$10:$A$89,$C549,$I$10:$I$89,"&lt;&gt;")=0,"brak danych",VLOOKUP($C549,$A$10:$J$89,9,FALSE)*$F549)))))</x:f>
      </x:c>
      <x:c r="P549" s="25" t="str">
        <x:f>IF($A549="","",IF($F549="","",IF($F549=0,0,IF(COUNTIFS($A$10:$A$89,$C549)&lt;&gt;1,"brak danych",IF(COUNTIFS($A$10:$A$89,$C549,$J$10:$J$89,"&lt;&gt;")=0,"brak danych",VLOOKUP($C549,$A$10:$J$89,10,FALSE)*$F549)))))</x:f>
      </x:c>
      <x:c r="Q549" s="18"/>
    </x:row>
    <x:row r="550" ht="25" customHeight="1">
      <x:c r="A550" s="6"/>
      <x:c r="B550" s="30"/>
      <x:c r="C550" s="5"/>
      <x:c r="D550" s="5"/>
      <x:c r="E550" s="32"/>
      <x:c r="F550" s="32"/>
      <x:c r="G550" s="24" t="str">
        <x:f>IF($A550="","",IF(AND($C550="",$E550=""),"",IF($E550="","brak danych",IF($E550=0,0,IF(COUNTIFS($A$10:$A$89,$C550)&lt;&gt;1,"brak danych",IF(COUNTIFS($A$10:$A$89,$C550,$F$10:$F$89,"&lt;&gt;")=0,"brak danych",VLOOKUP($C550,$A$10:$J$89,6,FALSE)*$E550))))))</x:f>
      </x:c>
      <x:c r="H550" s="25" t="str">
        <x:f>IF($A550="","",IF(AND($C550="",$E550=""),"",IF($E550="","brak danych",IF($E550=0,0,IF(COUNTIFS($A$10:$A$89,$C550)&lt;&gt;1,"brak danych",IF(COUNTIFS($A$10:$A$89,$C550,$G$10:$G$89,"&lt;&gt;")=0,"brak danych",VLOOKUP($C550,$A$10:$J$89,7,FALSE)*$E550))))))</x:f>
      </x:c>
      <x:c r="I550" s="25" t="str">
        <x:f>IF($A550="","",IF(AND($C550="",$E550=""),"",IF($E550="","brak danych",IF($E550=0,0,IF(COUNTIFS($A$10:$A$89,$C550)&lt;&gt;1,"brak danych",IF(COUNTIFS($A$10:$A$89,$C550,$H$10:$H$89,"&lt;&gt;")=0,"brak danych",VLOOKUP($C550,$A$10:$J$89,8,FALSE)*$E550))))))</x:f>
      </x:c>
      <x:c r="J550" s="25" t="str">
        <x:f>IF($A550="","",IF(AND($C550="",$E550=""),"",IF($E550="","brak danych",IF($E550=0,0,IF(COUNTIFS($A$10:$A$89,$C550)&lt;&gt;1,"brak danych",IF(COUNTIFS($A$10:$A$89,$C550,$I$10:$I$89,"&lt;&gt;")=0,"brak danych",VLOOKUP($C550,$A$10:$J$89,9,FALSE)*$E550))))))</x:f>
      </x:c>
      <x:c r="K550" s="25" t="str">
        <x:f>IF($A550="","",IF(AND($C550="",$E550=""),"",IF($E550="","brak danych",IF($E550=0,0,IF(COUNTIFS($A$10:$A$89,$C550)&lt;&gt;1,"brak danych",IF(COUNTIFS($A$10:$A$89,$C550,$J$10:$J$89,"&lt;&gt;")=0,"brak danych",VLOOKUP($C550,$A$10:$J$89,10,FALSE)*$E550))))))</x:f>
      </x:c>
      <x:c r="L550" s="24" t="str">
        <x:f>IF($A550="","",IF($F550="","",IF($F550=0,0,IF(COUNTIFS($A$10:$A$89,$C550)&lt;&gt;1,"brak danych",IF(COUNTIFS($A$10:$A$89,$C550,$F$10:$F$89,"&lt;&gt;")=0,"brak danych",VLOOKUP($C550,$A$10:$J$89,6,FALSE)*$F550)))))</x:f>
      </x:c>
      <x:c r="M550" s="25" t="str">
        <x:f>IF($A550="","",IF($F550="","",IF($F550=0,0,IF(COUNTIFS($A$10:$A$89,$C550)&lt;&gt;1,"brak danych",IF(COUNTIFS($A$10:$A$89,$C550,$G$10:$G$89,"&lt;&gt;")=0,"brak danych",VLOOKUP($C550,$A$10:$J$89,7,FALSE)*$F550)))))</x:f>
      </x:c>
      <x:c r="N550" s="25" t="str">
        <x:f>IF($A550="","",IF($F550="","",IF($F550=0,0,IF(COUNTIFS($A$10:$A$89,$C550)&lt;&gt;1,"brak danych",IF(COUNTIFS($A$10:$A$89,$C550,$H$10:$H$89,"&lt;&gt;")=0,"brak danych",VLOOKUP($C550,$A$10:$J$89,8,FALSE)*$F550)))))</x:f>
      </x:c>
      <x:c r="O550" s="25" t="str">
        <x:f>IF($A550="","",IF($F550="","",IF($F550=0,0,IF(COUNTIFS($A$10:$A$89,$C550)&lt;&gt;1,"brak danych",IF(COUNTIFS($A$10:$A$89,$C550,$I$10:$I$89,"&lt;&gt;")=0,"brak danych",VLOOKUP($C550,$A$10:$J$89,9,FALSE)*$F550)))))</x:f>
      </x:c>
      <x:c r="P550" s="25" t="str">
        <x:f>IF($A550="","",IF($F550="","",IF($F550=0,0,IF(COUNTIFS($A$10:$A$89,$C550)&lt;&gt;1,"brak danych",IF(COUNTIFS($A$10:$A$89,$C550,$J$10:$J$89,"&lt;&gt;")=0,"brak danych",VLOOKUP($C550,$A$10:$J$89,10,FALSE)*$F550)))))</x:f>
      </x:c>
      <x:c r="Q550" s="18"/>
    </x:row>
    <x:row r="551" ht="25" customHeight="1">
      <x:c r="A551" s="6"/>
      <x:c r="B551" s="30"/>
      <x:c r="C551" s="5"/>
      <x:c r="D551" s="5"/>
      <x:c r="E551" s="32"/>
      <x:c r="F551" s="32"/>
      <x:c r="G551" s="24" t="str">
        <x:f>IF($A551="","",IF(AND($C551="",$E551=""),"",IF($E551="","brak danych",IF($E551=0,0,IF(COUNTIFS($A$10:$A$89,$C551)&lt;&gt;1,"brak danych",IF(COUNTIFS($A$10:$A$89,$C551,$F$10:$F$89,"&lt;&gt;")=0,"brak danych",VLOOKUP($C551,$A$10:$J$89,6,FALSE)*$E551))))))</x:f>
      </x:c>
      <x:c r="H551" s="25" t="str">
        <x:f>IF($A551="","",IF(AND($C551="",$E551=""),"",IF($E551="","brak danych",IF($E551=0,0,IF(COUNTIFS($A$10:$A$89,$C551)&lt;&gt;1,"brak danych",IF(COUNTIFS($A$10:$A$89,$C551,$G$10:$G$89,"&lt;&gt;")=0,"brak danych",VLOOKUP($C551,$A$10:$J$89,7,FALSE)*$E551))))))</x:f>
      </x:c>
      <x:c r="I551" s="25" t="str">
        <x:f>IF($A551="","",IF(AND($C551="",$E551=""),"",IF($E551="","brak danych",IF($E551=0,0,IF(COUNTIFS($A$10:$A$89,$C551)&lt;&gt;1,"brak danych",IF(COUNTIFS($A$10:$A$89,$C551,$H$10:$H$89,"&lt;&gt;")=0,"brak danych",VLOOKUP($C551,$A$10:$J$89,8,FALSE)*$E551))))))</x:f>
      </x:c>
      <x:c r="J551" s="25" t="str">
        <x:f>IF($A551="","",IF(AND($C551="",$E551=""),"",IF($E551="","brak danych",IF($E551=0,0,IF(COUNTIFS($A$10:$A$89,$C551)&lt;&gt;1,"brak danych",IF(COUNTIFS($A$10:$A$89,$C551,$I$10:$I$89,"&lt;&gt;")=0,"brak danych",VLOOKUP($C551,$A$10:$J$89,9,FALSE)*$E551))))))</x:f>
      </x:c>
      <x:c r="K551" s="25" t="str">
        <x:f>IF($A551="","",IF(AND($C551="",$E551=""),"",IF($E551="","brak danych",IF($E551=0,0,IF(COUNTIFS($A$10:$A$89,$C551)&lt;&gt;1,"brak danych",IF(COUNTIFS($A$10:$A$89,$C551,$J$10:$J$89,"&lt;&gt;")=0,"brak danych",VLOOKUP($C551,$A$10:$J$89,10,FALSE)*$E551))))))</x:f>
      </x:c>
      <x:c r="L551" s="24" t="str">
        <x:f>IF($A551="","",IF($F551="","",IF($F551=0,0,IF(COUNTIFS($A$10:$A$89,$C551)&lt;&gt;1,"brak danych",IF(COUNTIFS($A$10:$A$89,$C551,$F$10:$F$89,"&lt;&gt;")=0,"brak danych",VLOOKUP($C551,$A$10:$J$89,6,FALSE)*$F551)))))</x:f>
      </x:c>
      <x:c r="M551" s="25" t="str">
        <x:f>IF($A551="","",IF($F551="","",IF($F551=0,0,IF(COUNTIFS($A$10:$A$89,$C551)&lt;&gt;1,"brak danych",IF(COUNTIFS($A$10:$A$89,$C551,$G$10:$G$89,"&lt;&gt;")=0,"brak danych",VLOOKUP($C551,$A$10:$J$89,7,FALSE)*$F551)))))</x:f>
      </x:c>
      <x:c r="N551" s="25" t="str">
        <x:f>IF($A551="","",IF($F551="","",IF($F551=0,0,IF(COUNTIFS($A$10:$A$89,$C551)&lt;&gt;1,"brak danych",IF(COUNTIFS($A$10:$A$89,$C551,$H$10:$H$89,"&lt;&gt;")=0,"brak danych",VLOOKUP($C551,$A$10:$J$89,8,FALSE)*$F551)))))</x:f>
      </x:c>
      <x:c r="O551" s="25" t="str">
        <x:f>IF($A551="","",IF($F551="","",IF($F551=0,0,IF(COUNTIFS($A$10:$A$89,$C551)&lt;&gt;1,"brak danych",IF(COUNTIFS($A$10:$A$89,$C551,$I$10:$I$89,"&lt;&gt;")=0,"brak danych",VLOOKUP($C551,$A$10:$J$89,9,FALSE)*$F551)))))</x:f>
      </x:c>
      <x:c r="P551" s="25" t="str">
        <x:f>IF($A551="","",IF($F551="","",IF($F551=0,0,IF(COUNTIFS($A$10:$A$89,$C551)&lt;&gt;1,"brak danych",IF(COUNTIFS($A$10:$A$89,$C551,$J$10:$J$89,"&lt;&gt;")=0,"brak danych",VLOOKUP($C551,$A$10:$J$89,10,FALSE)*$F551)))))</x:f>
      </x:c>
      <x:c r="Q551" s="18"/>
    </x:row>
    <x:row r="552" ht="25" customHeight="1">
      <x:c r="A552" s="6"/>
      <x:c r="B552" s="30"/>
      <x:c r="C552" s="5"/>
      <x:c r="D552" s="5"/>
      <x:c r="E552" s="32"/>
      <x:c r="F552" s="32"/>
      <x:c r="G552" s="24" t="str">
        <x:f>IF($A552="","",IF(AND($C552="",$E552=""),"",IF($E552="","brak danych",IF($E552=0,0,IF(COUNTIFS($A$10:$A$89,$C552)&lt;&gt;1,"brak danych",IF(COUNTIFS($A$10:$A$89,$C552,$F$10:$F$89,"&lt;&gt;")=0,"brak danych",VLOOKUP($C552,$A$10:$J$89,6,FALSE)*$E552))))))</x:f>
      </x:c>
      <x:c r="H552" s="25" t="str">
        <x:f>IF($A552="","",IF(AND($C552="",$E552=""),"",IF($E552="","brak danych",IF($E552=0,0,IF(COUNTIFS($A$10:$A$89,$C552)&lt;&gt;1,"brak danych",IF(COUNTIFS($A$10:$A$89,$C552,$G$10:$G$89,"&lt;&gt;")=0,"brak danych",VLOOKUP($C552,$A$10:$J$89,7,FALSE)*$E552))))))</x:f>
      </x:c>
      <x:c r="I552" s="25" t="str">
        <x:f>IF($A552="","",IF(AND($C552="",$E552=""),"",IF($E552="","brak danych",IF($E552=0,0,IF(COUNTIFS($A$10:$A$89,$C552)&lt;&gt;1,"brak danych",IF(COUNTIFS($A$10:$A$89,$C552,$H$10:$H$89,"&lt;&gt;")=0,"brak danych",VLOOKUP($C552,$A$10:$J$89,8,FALSE)*$E552))))))</x:f>
      </x:c>
      <x:c r="J552" s="25" t="str">
        <x:f>IF($A552="","",IF(AND($C552="",$E552=""),"",IF($E552="","brak danych",IF($E552=0,0,IF(COUNTIFS($A$10:$A$89,$C552)&lt;&gt;1,"brak danych",IF(COUNTIFS($A$10:$A$89,$C552,$I$10:$I$89,"&lt;&gt;")=0,"brak danych",VLOOKUP($C552,$A$10:$J$89,9,FALSE)*$E552))))))</x:f>
      </x:c>
      <x:c r="K552" s="25" t="str">
        <x:f>IF($A552="","",IF(AND($C552="",$E552=""),"",IF($E552="","brak danych",IF($E552=0,0,IF(COUNTIFS($A$10:$A$89,$C552)&lt;&gt;1,"brak danych",IF(COUNTIFS($A$10:$A$89,$C552,$J$10:$J$89,"&lt;&gt;")=0,"brak danych",VLOOKUP($C552,$A$10:$J$89,10,FALSE)*$E552))))))</x:f>
      </x:c>
      <x:c r="L552" s="24" t="str">
        <x:f>IF($A552="","",IF($F552="","",IF($F552=0,0,IF(COUNTIFS($A$10:$A$89,$C552)&lt;&gt;1,"brak danych",IF(COUNTIFS($A$10:$A$89,$C552,$F$10:$F$89,"&lt;&gt;")=0,"brak danych",VLOOKUP($C552,$A$10:$J$89,6,FALSE)*$F552)))))</x:f>
      </x:c>
      <x:c r="M552" s="25" t="str">
        <x:f>IF($A552="","",IF($F552="","",IF($F552=0,0,IF(COUNTIFS($A$10:$A$89,$C552)&lt;&gt;1,"brak danych",IF(COUNTIFS($A$10:$A$89,$C552,$G$10:$G$89,"&lt;&gt;")=0,"brak danych",VLOOKUP($C552,$A$10:$J$89,7,FALSE)*$F552)))))</x:f>
      </x:c>
      <x:c r="N552" s="25" t="str">
        <x:f>IF($A552="","",IF($F552="","",IF($F552=0,0,IF(COUNTIFS($A$10:$A$89,$C552)&lt;&gt;1,"brak danych",IF(COUNTIFS($A$10:$A$89,$C552,$H$10:$H$89,"&lt;&gt;")=0,"brak danych",VLOOKUP($C552,$A$10:$J$89,8,FALSE)*$F552)))))</x:f>
      </x:c>
      <x:c r="O552" s="25" t="str">
        <x:f>IF($A552="","",IF($F552="","",IF($F552=0,0,IF(COUNTIFS($A$10:$A$89,$C552)&lt;&gt;1,"brak danych",IF(COUNTIFS($A$10:$A$89,$C552,$I$10:$I$89,"&lt;&gt;")=0,"brak danych",VLOOKUP($C552,$A$10:$J$89,9,FALSE)*$F552)))))</x:f>
      </x:c>
      <x:c r="P552" s="25" t="str">
        <x:f>IF($A552="","",IF($F552="","",IF($F552=0,0,IF(COUNTIFS($A$10:$A$89,$C552)&lt;&gt;1,"brak danych",IF(COUNTIFS($A$10:$A$89,$C552,$J$10:$J$89,"&lt;&gt;")=0,"brak danych",VLOOKUP($C552,$A$10:$J$89,10,FALSE)*$F552)))))</x:f>
      </x:c>
      <x:c r="Q552" s="18"/>
    </x:row>
    <x:row r="553" ht="25" customHeight="1">
      <x:c r="A553" s="6"/>
      <x:c r="B553" s="30"/>
      <x:c r="C553" s="5"/>
      <x:c r="D553" s="5"/>
      <x:c r="E553" s="32"/>
      <x:c r="F553" s="32"/>
      <x:c r="G553" s="24" t="str">
        <x:f>IF($A553="","",IF(AND($C553="",$E553=""),"",IF($E553="","brak danych",IF($E553=0,0,IF(COUNTIFS($A$10:$A$89,$C553)&lt;&gt;1,"brak danych",IF(COUNTIFS($A$10:$A$89,$C553,$F$10:$F$89,"&lt;&gt;")=0,"brak danych",VLOOKUP($C553,$A$10:$J$89,6,FALSE)*$E553))))))</x:f>
      </x:c>
      <x:c r="H553" s="25" t="str">
        <x:f>IF($A553="","",IF(AND($C553="",$E553=""),"",IF($E553="","brak danych",IF($E553=0,0,IF(COUNTIFS($A$10:$A$89,$C553)&lt;&gt;1,"brak danych",IF(COUNTIFS($A$10:$A$89,$C553,$G$10:$G$89,"&lt;&gt;")=0,"brak danych",VLOOKUP($C553,$A$10:$J$89,7,FALSE)*$E553))))))</x:f>
      </x:c>
      <x:c r="I553" s="25" t="str">
        <x:f>IF($A553="","",IF(AND($C553="",$E553=""),"",IF($E553="","brak danych",IF($E553=0,0,IF(COUNTIFS($A$10:$A$89,$C553)&lt;&gt;1,"brak danych",IF(COUNTIFS($A$10:$A$89,$C553,$H$10:$H$89,"&lt;&gt;")=0,"brak danych",VLOOKUP($C553,$A$10:$J$89,8,FALSE)*$E553))))))</x:f>
      </x:c>
      <x:c r="J553" s="25" t="str">
        <x:f>IF($A553="","",IF(AND($C553="",$E553=""),"",IF($E553="","brak danych",IF($E553=0,0,IF(COUNTIFS($A$10:$A$89,$C553)&lt;&gt;1,"brak danych",IF(COUNTIFS($A$10:$A$89,$C553,$I$10:$I$89,"&lt;&gt;")=0,"brak danych",VLOOKUP($C553,$A$10:$J$89,9,FALSE)*$E553))))))</x:f>
      </x:c>
      <x:c r="K553" s="25" t="str">
        <x:f>IF($A553="","",IF(AND($C553="",$E553=""),"",IF($E553="","brak danych",IF($E553=0,0,IF(COUNTIFS($A$10:$A$89,$C553)&lt;&gt;1,"brak danych",IF(COUNTIFS($A$10:$A$89,$C553,$J$10:$J$89,"&lt;&gt;")=0,"brak danych",VLOOKUP($C553,$A$10:$J$89,10,FALSE)*$E553))))))</x:f>
      </x:c>
      <x:c r="L553" s="24" t="str">
        <x:f>IF($A553="","",IF($F553="","",IF($F553=0,0,IF(COUNTIFS($A$10:$A$89,$C553)&lt;&gt;1,"brak danych",IF(COUNTIFS($A$10:$A$89,$C553,$F$10:$F$89,"&lt;&gt;")=0,"brak danych",VLOOKUP($C553,$A$10:$J$89,6,FALSE)*$F553)))))</x:f>
      </x:c>
      <x:c r="M553" s="25" t="str">
        <x:f>IF($A553="","",IF($F553="","",IF($F553=0,0,IF(COUNTIFS($A$10:$A$89,$C553)&lt;&gt;1,"brak danych",IF(COUNTIFS($A$10:$A$89,$C553,$G$10:$G$89,"&lt;&gt;")=0,"brak danych",VLOOKUP($C553,$A$10:$J$89,7,FALSE)*$F553)))))</x:f>
      </x:c>
      <x:c r="N553" s="25" t="str">
        <x:f>IF($A553="","",IF($F553="","",IF($F553=0,0,IF(COUNTIFS($A$10:$A$89,$C553)&lt;&gt;1,"brak danych",IF(COUNTIFS($A$10:$A$89,$C553,$H$10:$H$89,"&lt;&gt;")=0,"brak danych",VLOOKUP($C553,$A$10:$J$89,8,FALSE)*$F553)))))</x:f>
      </x:c>
      <x:c r="O553" s="25" t="str">
        <x:f>IF($A553="","",IF($F553="","",IF($F553=0,0,IF(COUNTIFS($A$10:$A$89,$C553)&lt;&gt;1,"brak danych",IF(COUNTIFS($A$10:$A$89,$C553,$I$10:$I$89,"&lt;&gt;")=0,"brak danych",VLOOKUP($C553,$A$10:$J$89,9,FALSE)*$F553)))))</x:f>
      </x:c>
      <x:c r="P553" s="25" t="str">
        <x:f>IF($A553="","",IF($F553="","",IF($F553=0,0,IF(COUNTIFS($A$10:$A$89,$C553)&lt;&gt;1,"brak danych",IF(COUNTIFS($A$10:$A$89,$C553,$J$10:$J$89,"&lt;&gt;")=0,"brak danych",VLOOKUP($C553,$A$10:$J$89,10,FALSE)*$F553)))))</x:f>
      </x:c>
      <x:c r="Q553" s="18"/>
    </x:row>
    <x:row r="554" ht="25" customHeight="1">
      <x:c r="A554" s="6"/>
      <x:c r="B554" s="30"/>
      <x:c r="C554" s="5"/>
      <x:c r="D554" s="5"/>
      <x:c r="E554" s="32"/>
      <x:c r="F554" s="32"/>
      <x:c r="G554" s="24" t="str">
        <x:f>IF($A554="","",IF(AND($C554="",$E554=""),"",IF($E554="","brak danych",IF($E554=0,0,IF(COUNTIFS($A$10:$A$89,$C554)&lt;&gt;1,"brak danych",IF(COUNTIFS($A$10:$A$89,$C554,$F$10:$F$89,"&lt;&gt;")=0,"brak danych",VLOOKUP($C554,$A$10:$J$89,6,FALSE)*$E554))))))</x:f>
      </x:c>
      <x:c r="H554" s="25" t="str">
        <x:f>IF($A554="","",IF(AND($C554="",$E554=""),"",IF($E554="","brak danych",IF($E554=0,0,IF(COUNTIFS($A$10:$A$89,$C554)&lt;&gt;1,"brak danych",IF(COUNTIFS($A$10:$A$89,$C554,$G$10:$G$89,"&lt;&gt;")=0,"brak danych",VLOOKUP($C554,$A$10:$J$89,7,FALSE)*$E554))))))</x:f>
      </x:c>
      <x:c r="I554" s="25" t="str">
        <x:f>IF($A554="","",IF(AND($C554="",$E554=""),"",IF($E554="","brak danych",IF($E554=0,0,IF(COUNTIFS($A$10:$A$89,$C554)&lt;&gt;1,"brak danych",IF(COUNTIFS($A$10:$A$89,$C554,$H$10:$H$89,"&lt;&gt;")=0,"brak danych",VLOOKUP($C554,$A$10:$J$89,8,FALSE)*$E554))))))</x:f>
      </x:c>
      <x:c r="J554" s="25" t="str">
        <x:f>IF($A554="","",IF(AND($C554="",$E554=""),"",IF($E554="","brak danych",IF($E554=0,0,IF(COUNTIFS($A$10:$A$89,$C554)&lt;&gt;1,"brak danych",IF(COUNTIFS($A$10:$A$89,$C554,$I$10:$I$89,"&lt;&gt;")=0,"brak danych",VLOOKUP($C554,$A$10:$J$89,9,FALSE)*$E554))))))</x:f>
      </x:c>
      <x:c r="K554" s="25" t="str">
        <x:f>IF($A554="","",IF(AND($C554="",$E554=""),"",IF($E554="","brak danych",IF($E554=0,0,IF(COUNTIFS($A$10:$A$89,$C554)&lt;&gt;1,"brak danych",IF(COUNTIFS($A$10:$A$89,$C554,$J$10:$J$89,"&lt;&gt;")=0,"brak danych",VLOOKUP($C554,$A$10:$J$89,10,FALSE)*$E554))))))</x:f>
      </x:c>
      <x:c r="L554" s="24" t="str">
        <x:f>IF($A554="","",IF($F554="","",IF($F554=0,0,IF(COUNTIFS($A$10:$A$89,$C554)&lt;&gt;1,"brak danych",IF(COUNTIFS($A$10:$A$89,$C554,$F$10:$F$89,"&lt;&gt;")=0,"brak danych",VLOOKUP($C554,$A$10:$J$89,6,FALSE)*$F554)))))</x:f>
      </x:c>
      <x:c r="M554" s="25" t="str">
        <x:f>IF($A554="","",IF($F554="","",IF($F554=0,0,IF(COUNTIFS($A$10:$A$89,$C554)&lt;&gt;1,"brak danych",IF(COUNTIFS($A$10:$A$89,$C554,$G$10:$G$89,"&lt;&gt;")=0,"brak danych",VLOOKUP($C554,$A$10:$J$89,7,FALSE)*$F554)))))</x:f>
      </x:c>
      <x:c r="N554" s="25" t="str">
        <x:f>IF($A554="","",IF($F554="","",IF($F554=0,0,IF(COUNTIFS($A$10:$A$89,$C554)&lt;&gt;1,"brak danych",IF(COUNTIFS($A$10:$A$89,$C554,$H$10:$H$89,"&lt;&gt;")=0,"brak danych",VLOOKUP($C554,$A$10:$J$89,8,FALSE)*$F554)))))</x:f>
      </x:c>
      <x:c r="O554" s="25" t="str">
        <x:f>IF($A554="","",IF($F554="","",IF($F554=0,0,IF(COUNTIFS($A$10:$A$89,$C554)&lt;&gt;1,"brak danych",IF(COUNTIFS($A$10:$A$89,$C554,$I$10:$I$89,"&lt;&gt;")=0,"brak danych",VLOOKUP($C554,$A$10:$J$89,9,FALSE)*$F554)))))</x:f>
      </x:c>
      <x:c r="P554" s="25" t="str">
        <x:f>IF($A554="","",IF($F554="","",IF($F554=0,0,IF(COUNTIFS($A$10:$A$89,$C554)&lt;&gt;1,"brak danych",IF(COUNTIFS($A$10:$A$89,$C554,$J$10:$J$89,"&lt;&gt;")=0,"brak danych",VLOOKUP($C554,$A$10:$J$89,10,FALSE)*$F554)))))</x:f>
      </x:c>
      <x:c r="Q554" s="18"/>
    </x:row>
    <x:row r="555" ht="25" customHeight="1">
      <x:c r="A555" s="6"/>
      <x:c r="B555" s="30"/>
      <x:c r="C555" s="5"/>
      <x:c r="D555" s="5"/>
      <x:c r="E555" s="32"/>
      <x:c r="F555" s="32"/>
      <x:c r="G555" s="24" t="str">
        <x:f>IF($A555="","",IF(AND($C555="",$E555=""),"",IF($E555="","brak danych",IF($E555=0,0,IF(COUNTIFS($A$10:$A$89,$C555)&lt;&gt;1,"brak danych",IF(COUNTIFS($A$10:$A$89,$C555,$F$10:$F$89,"&lt;&gt;")=0,"brak danych",VLOOKUP($C555,$A$10:$J$89,6,FALSE)*$E555))))))</x:f>
      </x:c>
      <x:c r="H555" s="25" t="str">
        <x:f>IF($A555="","",IF(AND($C555="",$E555=""),"",IF($E555="","brak danych",IF($E555=0,0,IF(COUNTIFS($A$10:$A$89,$C555)&lt;&gt;1,"brak danych",IF(COUNTIFS($A$10:$A$89,$C555,$G$10:$G$89,"&lt;&gt;")=0,"brak danych",VLOOKUP($C555,$A$10:$J$89,7,FALSE)*$E555))))))</x:f>
      </x:c>
      <x:c r="I555" s="25" t="str">
        <x:f>IF($A555="","",IF(AND($C555="",$E555=""),"",IF($E555="","brak danych",IF($E555=0,0,IF(COUNTIFS($A$10:$A$89,$C555)&lt;&gt;1,"brak danych",IF(COUNTIFS($A$10:$A$89,$C555,$H$10:$H$89,"&lt;&gt;")=0,"brak danych",VLOOKUP($C555,$A$10:$J$89,8,FALSE)*$E555))))))</x:f>
      </x:c>
      <x:c r="J555" s="25" t="str">
        <x:f>IF($A555="","",IF(AND($C555="",$E555=""),"",IF($E555="","brak danych",IF($E555=0,0,IF(COUNTIFS($A$10:$A$89,$C555)&lt;&gt;1,"brak danych",IF(COUNTIFS($A$10:$A$89,$C555,$I$10:$I$89,"&lt;&gt;")=0,"brak danych",VLOOKUP($C555,$A$10:$J$89,9,FALSE)*$E555))))))</x:f>
      </x:c>
      <x:c r="K555" s="25" t="str">
        <x:f>IF($A555="","",IF(AND($C555="",$E555=""),"",IF($E555="","brak danych",IF($E555=0,0,IF(COUNTIFS($A$10:$A$89,$C555)&lt;&gt;1,"brak danych",IF(COUNTIFS($A$10:$A$89,$C555,$J$10:$J$89,"&lt;&gt;")=0,"brak danych",VLOOKUP($C555,$A$10:$J$89,10,FALSE)*$E555))))))</x:f>
      </x:c>
      <x:c r="L555" s="24" t="str">
        <x:f>IF($A555="","",IF($F555="","",IF($F555=0,0,IF(COUNTIFS($A$10:$A$89,$C555)&lt;&gt;1,"brak danych",IF(COUNTIFS($A$10:$A$89,$C555,$F$10:$F$89,"&lt;&gt;")=0,"brak danych",VLOOKUP($C555,$A$10:$J$89,6,FALSE)*$F555)))))</x:f>
      </x:c>
      <x:c r="M555" s="25" t="str">
        <x:f>IF($A555="","",IF($F555="","",IF($F555=0,0,IF(COUNTIFS($A$10:$A$89,$C555)&lt;&gt;1,"brak danych",IF(COUNTIFS($A$10:$A$89,$C555,$G$10:$G$89,"&lt;&gt;")=0,"brak danych",VLOOKUP($C555,$A$10:$J$89,7,FALSE)*$F555)))))</x:f>
      </x:c>
      <x:c r="N555" s="25" t="str">
        <x:f>IF($A555="","",IF($F555="","",IF($F555=0,0,IF(COUNTIFS($A$10:$A$89,$C555)&lt;&gt;1,"brak danych",IF(COUNTIFS($A$10:$A$89,$C555,$H$10:$H$89,"&lt;&gt;")=0,"brak danych",VLOOKUP($C555,$A$10:$J$89,8,FALSE)*$F555)))))</x:f>
      </x:c>
      <x:c r="O555" s="25" t="str">
        <x:f>IF($A555="","",IF($F555="","",IF($F555=0,0,IF(COUNTIFS($A$10:$A$89,$C555)&lt;&gt;1,"brak danych",IF(COUNTIFS($A$10:$A$89,$C555,$I$10:$I$89,"&lt;&gt;")=0,"brak danych",VLOOKUP($C555,$A$10:$J$89,9,FALSE)*$F555)))))</x:f>
      </x:c>
      <x:c r="P555" s="25" t="str">
        <x:f>IF($A555="","",IF($F555="","",IF($F555=0,0,IF(COUNTIFS($A$10:$A$89,$C555)&lt;&gt;1,"brak danych",IF(COUNTIFS($A$10:$A$89,$C555,$J$10:$J$89,"&lt;&gt;")=0,"brak danych",VLOOKUP($C555,$A$10:$J$89,10,FALSE)*$F555)))))</x:f>
      </x:c>
      <x:c r="Q555" s="18"/>
    </x:row>
    <x:row r="556" ht="25" customHeight="1">
      <x:c r="A556" s="6"/>
      <x:c r="B556" s="30"/>
      <x:c r="C556" s="5"/>
      <x:c r="D556" s="5"/>
      <x:c r="E556" s="32"/>
      <x:c r="F556" s="32"/>
      <x:c r="G556" s="24" t="str">
        <x:f>IF($A556="","",IF(AND($C556="",$E556=""),"",IF($E556="","brak danych",IF($E556=0,0,IF(COUNTIFS($A$10:$A$89,$C556)&lt;&gt;1,"brak danych",IF(COUNTIFS($A$10:$A$89,$C556,$F$10:$F$89,"&lt;&gt;")=0,"brak danych",VLOOKUP($C556,$A$10:$J$89,6,FALSE)*$E556))))))</x:f>
      </x:c>
      <x:c r="H556" s="25" t="str">
        <x:f>IF($A556="","",IF(AND($C556="",$E556=""),"",IF($E556="","brak danych",IF($E556=0,0,IF(COUNTIFS($A$10:$A$89,$C556)&lt;&gt;1,"brak danych",IF(COUNTIFS($A$10:$A$89,$C556,$G$10:$G$89,"&lt;&gt;")=0,"brak danych",VLOOKUP($C556,$A$10:$J$89,7,FALSE)*$E556))))))</x:f>
      </x:c>
      <x:c r="I556" s="25" t="str">
        <x:f>IF($A556="","",IF(AND($C556="",$E556=""),"",IF($E556="","brak danych",IF($E556=0,0,IF(COUNTIFS($A$10:$A$89,$C556)&lt;&gt;1,"brak danych",IF(COUNTIFS($A$10:$A$89,$C556,$H$10:$H$89,"&lt;&gt;")=0,"brak danych",VLOOKUP($C556,$A$10:$J$89,8,FALSE)*$E556))))))</x:f>
      </x:c>
      <x:c r="J556" s="25" t="str">
        <x:f>IF($A556="","",IF(AND($C556="",$E556=""),"",IF($E556="","brak danych",IF($E556=0,0,IF(COUNTIFS($A$10:$A$89,$C556)&lt;&gt;1,"brak danych",IF(COUNTIFS($A$10:$A$89,$C556,$I$10:$I$89,"&lt;&gt;")=0,"brak danych",VLOOKUP($C556,$A$10:$J$89,9,FALSE)*$E556))))))</x:f>
      </x:c>
      <x:c r="K556" s="25" t="str">
        <x:f>IF($A556="","",IF(AND($C556="",$E556=""),"",IF($E556="","brak danych",IF($E556=0,0,IF(COUNTIFS($A$10:$A$89,$C556)&lt;&gt;1,"brak danych",IF(COUNTIFS($A$10:$A$89,$C556,$J$10:$J$89,"&lt;&gt;")=0,"brak danych",VLOOKUP($C556,$A$10:$J$89,10,FALSE)*$E556))))))</x:f>
      </x:c>
      <x:c r="L556" s="24" t="str">
        <x:f>IF($A556="","",IF($F556="","",IF($F556=0,0,IF(COUNTIFS($A$10:$A$89,$C556)&lt;&gt;1,"brak danych",IF(COUNTIFS($A$10:$A$89,$C556,$F$10:$F$89,"&lt;&gt;")=0,"brak danych",VLOOKUP($C556,$A$10:$J$89,6,FALSE)*$F556)))))</x:f>
      </x:c>
      <x:c r="M556" s="25" t="str">
        <x:f>IF($A556="","",IF($F556="","",IF($F556=0,0,IF(COUNTIFS($A$10:$A$89,$C556)&lt;&gt;1,"brak danych",IF(COUNTIFS($A$10:$A$89,$C556,$G$10:$G$89,"&lt;&gt;")=0,"brak danych",VLOOKUP($C556,$A$10:$J$89,7,FALSE)*$F556)))))</x:f>
      </x:c>
      <x:c r="N556" s="25" t="str">
        <x:f>IF($A556="","",IF($F556="","",IF($F556=0,0,IF(COUNTIFS($A$10:$A$89,$C556)&lt;&gt;1,"brak danych",IF(COUNTIFS($A$10:$A$89,$C556,$H$10:$H$89,"&lt;&gt;")=0,"brak danych",VLOOKUP($C556,$A$10:$J$89,8,FALSE)*$F556)))))</x:f>
      </x:c>
      <x:c r="O556" s="25" t="str">
        <x:f>IF($A556="","",IF($F556="","",IF($F556=0,0,IF(COUNTIFS($A$10:$A$89,$C556)&lt;&gt;1,"brak danych",IF(COUNTIFS($A$10:$A$89,$C556,$I$10:$I$89,"&lt;&gt;")=0,"brak danych",VLOOKUP($C556,$A$10:$J$89,9,FALSE)*$F556)))))</x:f>
      </x:c>
      <x:c r="P556" s="25" t="str">
        <x:f>IF($A556="","",IF($F556="","",IF($F556=0,0,IF(COUNTIFS($A$10:$A$89,$C556)&lt;&gt;1,"brak danych",IF(COUNTIFS($A$10:$A$89,$C556,$J$10:$J$89,"&lt;&gt;")=0,"brak danych",VLOOKUP($C556,$A$10:$J$89,10,FALSE)*$F556)))))</x:f>
      </x:c>
      <x:c r="Q556" s="18"/>
    </x:row>
    <x:row r="557" ht="25" customHeight="1">
      <x:c r="A557" s="6"/>
      <x:c r="B557" s="30"/>
      <x:c r="C557" s="5"/>
      <x:c r="D557" s="5"/>
      <x:c r="E557" s="32"/>
      <x:c r="F557" s="32"/>
      <x:c r="G557" s="24" t="str">
        <x:f>IF($A557="","",IF(AND($C557="",$E557=""),"",IF($E557="","brak danych",IF($E557=0,0,IF(COUNTIFS($A$10:$A$89,$C557)&lt;&gt;1,"brak danych",IF(COUNTIFS($A$10:$A$89,$C557,$F$10:$F$89,"&lt;&gt;")=0,"brak danych",VLOOKUP($C557,$A$10:$J$89,6,FALSE)*$E557))))))</x:f>
      </x:c>
      <x:c r="H557" s="25" t="str">
        <x:f>IF($A557="","",IF(AND($C557="",$E557=""),"",IF($E557="","brak danych",IF($E557=0,0,IF(COUNTIFS($A$10:$A$89,$C557)&lt;&gt;1,"brak danych",IF(COUNTIFS($A$10:$A$89,$C557,$G$10:$G$89,"&lt;&gt;")=0,"brak danych",VLOOKUP($C557,$A$10:$J$89,7,FALSE)*$E557))))))</x:f>
      </x:c>
      <x:c r="I557" s="25" t="str">
        <x:f>IF($A557="","",IF(AND($C557="",$E557=""),"",IF($E557="","brak danych",IF($E557=0,0,IF(COUNTIFS($A$10:$A$89,$C557)&lt;&gt;1,"brak danych",IF(COUNTIFS($A$10:$A$89,$C557,$H$10:$H$89,"&lt;&gt;")=0,"brak danych",VLOOKUP($C557,$A$10:$J$89,8,FALSE)*$E557))))))</x:f>
      </x:c>
      <x:c r="J557" s="25" t="str">
        <x:f>IF($A557="","",IF(AND($C557="",$E557=""),"",IF($E557="","brak danych",IF($E557=0,0,IF(COUNTIFS($A$10:$A$89,$C557)&lt;&gt;1,"brak danych",IF(COUNTIFS($A$10:$A$89,$C557,$I$10:$I$89,"&lt;&gt;")=0,"brak danych",VLOOKUP($C557,$A$10:$J$89,9,FALSE)*$E557))))))</x:f>
      </x:c>
      <x:c r="K557" s="25" t="str">
        <x:f>IF($A557="","",IF(AND($C557="",$E557=""),"",IF($E557="","brak danych",IF($E557=0,0,IF(COUNTIFS($A$10:$A$89,$C557)&lt;&gt;1,"brak danych",IF(COUNTIFS($A$10:$A$89,$C557,$J$10:$J$89,"&lt;&gt;")=0,"brak danych",VLOOKUP($C557,$A$10:$J$89,10,FALSE)*$E557))))))</x:f>
      </x:c>
      <x:c r="L557" s="24" t="str">
        <x:f>IF($A557="","",IF($F557="","",IF($F557=0,0,IF(COUNTIFS($A$10:$A$89,$C557)&lt;&gt;1,"brak danych",IF(COUNTIFS($A$10:$A$89,$C557,$F$10:$F$89,"&lt;&gt;")=0,"brak danych",VLOOKUP($C557,$A$10:$J$89,6,FALSE)*$F557)))))</x:f>
      </x:c>
      <x:c r="M557" s="25" t="str">
        <x:f>IF($A557="","",IF($F557="","",IF($F557=0,0,IF(COUNTIFS($A$10:$A$89,$C557)&lt;&gt;1,"brak danych",IF(COUNTIFS($A$10:$A$89,$C557,$G$10:$G$89,"&lt;&gt;")=0,"brak danych",VLOOKUP($C557,$A$10:$J$89,7,FALSE)*$F557)))))</x:f>
      </x:c>
      <x:c r="N557" s="25" t="str">
        <x:f>IF($A557="","",IF($F557="","",IF($F557=0,0,IF(COUNTIFS($A$10:$A$89,$C557)&lt;&gt;1,"brak danych",IF(COUNTIFS($A$10:$A$89,$C557,$H$10:$H$89,"&lt;&gt;")=0,"brak danych",VLOOKUP($C557,$A$10:$J$89,8,FALSE)*$F557)))))</x:f>
      </x:c>
      <x:c r="O557" s="25" t="str">
        <x:f>IF($A557="","",IF($F557="","",IF($F557=0,0,IF(COUNTIFS($A$10:$A$89,$C557)&lt;&gt;1,"brak danych",IF(COUNTIFS($A$10:$A$89,$C557,$I$10:$I$89,"&lt;&gt;")=0,"brak danych",VLOOKUP($C557,$A$10:$J$89,9,FALSE)*$F557)))))</x:f>
      </x:c>
      <x:c r="P557" s="25" t="str">
        <x:f>IF($A557="","",IF($F557="","",IF($F557=0,0,IF(COUNTIFS($A$10:$A$89,$C557)&lt;&gt;1,"brak danych",IF(COUNTIFS($A$10:$A$89,$C557,$J$10:$J$89,"&lt;&gt;")=0,"brak danych",VLOOKUP($C557,$A$10:$J$89,10,FALSE)*$F557)))))</x:f>
      </x:c>
      <x:c r="Q557" s="18"/>
    </x:row>
    <x:row r="558" ht="25" customHeight="1">
      <x:c r="A558" s="6"/>
      <x:c r="B558" s="30"/>
      <x:c r="C558" s="5"/>
      <x:c r="D558" s="5"/>
      <x:c r="E558" s="32"/>
      <x:c r="F558" s="32"/>
      <x:c r="G558" s="24" t="str">
        <x:f>IF($A558="","",IF(AND($C558="",$E558=""),"",IF($E558="","brak danych",IF($E558=0,0,IF(COUNTIFS($A$10:$A$89,$C558)&lt;&gt;1,"brak danych",IF(COUNTIFS($A$10:$A$89,$C558,$F$10:$F$89,"&lt;&gt;")=0,"brak danych",VLOOKUP($C558,$A$10:$J$89,6,FALSE)*$E558))))))</x:f>
      </x:c>
      <x:c r="H558" s="25" t="str">
        <x:f>IF($A558="","",IF(AND($C558="",$E558=""),"",IF($E558="","brak danych",IF($E558=0,0,IF(COUNTIFS($A$10:$A$89,$C558)&lt;&gt;1,"brak danych",IF(COUNTIFS($A$10:$A$89,$C558,$G$10:$G$89,"&lt;&gt;")=0,"brak danych",VLOOKUP($C558,$A$10:$J$89,7,FALSE)*$E558))))))</x:f>
      </x:c>
      <x:c r="I558" s="25" t="str">
        <x:f>IF($A558="","",IF(AND($C558="",$E558=""),"",IF($E558="","brak danych",IF($E558=0,0,IF(COUNTIFS($A$10:$A$89,$C558)&lt;&gt;1,"brak danych",IF(COUNTIFS($A$10:$A$89,$C558,$H$10:$H$89,"&lt;&gt;")=0,"brak danych",VLOOKUP($C558,$A$10:$J$89,8,FALSE)*$E558))))))</x:f>
      </x:c>
      <x:c r="J558" s="25" t="str">
        <x:f>IF($A558="","",IF(AND($C558="",$E558=""),"",IF($E558="","brak danych",IF($E558=0,0,IF(COUNTIFS($A$10:$A$89,$C558)&lt;&gt;1,"brak danych",IF(COUNTIFS($A$10:$A$89,$C558,$I$10:$I$89,"&lt;&gt;")=0,"brak danych",VLOOKUP($C558,$A$10:$J$89,9,FALSE)*$E558))))))</x:f>
      </x:c>
      <x:c r="K558" s="25" t="str">
        <x:f>IF($A558="","",IF(AND($C558="",$E558=""),"",IF($E558="","brak danych",IF($E558=0,0,IF(COUNTIFS($A$10:$A$89,$C558)&lt;&gt;1,"brak danych",IF(COUNTIFS($A$10:$A$89,$C558,$J$10:$J$89,"&lt;&gt;")=0,"brak danych",VLOOKUP($C558,$A$10:$J$89,10,FALSE)*$E558))))))</x:f>
      </x:c>
      <x:c r="L558" s="24" t="str">
        <x:f>IF($A558="","",IF($F558="","",IF($F558=0,0,IF(COUNTIFS($A$10:$A$89,$C558)&lt;&gt;1,"brak danych",IF(COUNTIFS($A$10:$A$89,$C558,$F$10:$F$89,"&lt;&gt;")=0,"brak danych",VLOOKUP($C558,$A$10:$J$89,6,FALSE)*$F558)))))</x:f>
      </x:c>
      <x:c r="M558" s="25" t="str">
        <x:f>IF($A558="","",IF($F558="","",IF($F558=0,0,IF(COUNTIFS($A$10:$A$89,$C558)&lt;&gt;1,"brak danych",IF(COUNTIFS($A$10:$A$89,$C558,$G$10:$G$89,"&lt;&gt;")=0,"brak danych",VLOOKUP($C558,$A$10:$J$89,7,FALSE)*$F558)))))</x:f>
      </x:c>
      <x:c r="N558" s="25" t="str">
        <x:f>IF($A558="","",IF($F558="","",IF($F558=0,0,IF(COUNTIFS($A$10:$A$89,$C558)&lt;&gt;1,"brak danych",IF(COUNTIFS($A$10:$A$89,$C558,$H$10:$H$89,"&lt;&gt;")=0,"brak danych",VLOOKUP($C558,$A$10:$J$89,8,FALSE)*$F558)))))</x:f>
      </x:c>
      <x:c r="O558" s="25" t="str">
        <x:f>IF($A558="","",IF($F558="","",IF($F558=0,0,IF(COUNTIFS($A$10:$A$89,$C558)&lt;&gt;1,"brak danych",IF(COUNTIFS($A$10:$A$89,$C558,$I$10:$I$89,"&lt;&gt;")=0,"brak danych",VLOOKUP($C558,$A$10:$J$89,9,FALSE)*$F558)))))</x:f>
      </x:c>
      <x:c r="P558" s="25" t="str">
        <x:f>IF($A558="","",IF($F558="","",IF($F558=0,0,IF(COUNTIFS($A$10:$A$89,$C558)&lt;&gt;1,"brak danych",IF(COUNTIFS($A$10:$A$89,$C558,$J$10:$J$89,"&lt;&gt;")=0,"brak danych",VLOOKUP($C558,$A$10:$J$89,10,FALSE)*$F558)))))</x:f>
      </x:c>
      <x:c r="Q558" s="18"/>
    </x:row>
    <x:row r="559" ht="25" customHeight="1">
      <x:c r="A559" s="6"/>
      <x:c r="B559" s="30"/>
      <x:c r="C559" s="5"/>
      <x:c r="D559" s="5"/>
      <x:c r="E559" s="32"/>
      <x:c r="F559" s="32"/>
      <x:c r="G559" s="24" t="str">
        <x:f>IF($A559="","",IF(AND($C559="",$E559=""),"",IF($E559="","brak danych",IF($E559=0,0,IF(COUNTIFS($A$10:$A$89,$C559)&lt;&gt;1,"brak danych",IF(COUNTIFS($A$10:$A$89,$C559,$F$10:$F$89,"&lt;&gt;")=0,"brak danych",VLOOKUP($C559,$A$10:$J$89,6,FALSE)*$E559))))))</x:f>
      </x:c>
      <x:c r="H559" s="25" t="str">
        <x:f>IF($A559="","",IF(AND($C559="",$E559=""),"",IF($E559="","brak danych",IF($E559=0,0,IF(COUNTIFS($A$10:$A$89,$C559)&lt;&gt;1,"brak danych",IF(COUNTIFS($A$10:$A$89,$C559,$G$10:$G$89,"&lt;&gt;")=0,"brak danych",VLOOKUP($C559,$A$10:$J$89,7,FALSE)*$E559))))))</x:f>
      </x:c>
      <x:c r="I559" s="25" t="str">
        <x:f>IF($A559="","",IF(AND($C559="",$E559=""),"",IF($E559="","brak danych",IF($E559=0,0,IF(COUNTIFS($A$10:$A$89,$C559)&lt;&gt;1,"brak danych",IF(COUNTIFS($A$10:$A$89,$C559,$H$10:$H$89,"&lt;&gt;")=0,"brak danych",VLOOKUP($C559,$A$10:$J$89,8,FALSE)*$E559))))))</x:f>
      </x:c>
      <x:c r="J559" s="25" t="str">
        <x:f>IF($A559="","",IF(AND($C559="",$E559=""),"",IF($E559="","brak danych",IF($E559=0,0,IF(COUNTIFS($A$10:$A$89,$C559)&lt;&gt;1,"brak danych",IF(COUNTIFS($A$10:$A$89,$C559,$I$10:$I$89,"&lt;&gt;")=0,"brak danych",VLOOKUP($C559,$A$10:$J$89,9,FALSE)*$E559))))))</x:f>
      </x:c>
      <x:c r="K559" s="25" t="str">
        <x:f>IF($A559="","",IF(AND($C559="",$E559=""),"",IF($E559="","brak danych",IF($E559=0,0,IF(COUNTIFS($A$10:$A$89,$C559)&lt;&gt;1,"brak danych",IF(COUNTIFS($A$10:$A$89,$C559,$J$10:$J$89,"&lt;&gt;")=0,"brak danych",VLOOKUP($C559,$A$10:$J$89,10,FALSE)*$E559))))))</x:f>
      </x:c>
      <x:c r="L559" s="24" t="str">
        <x:f>IF($A559="","",IF($F559="","",IF($F559=0,0,IF(COUNTIFS($A$10:$A$89,$C559)&lt;&gt;1,"brak danych",IF(COUNTIFS($A$10:$A$89,$C559,$F$10:$F$89,"&lt;&gt;")=0,"brak danych",VLOOKUP($C559,$A$10:$J$89,6,FALSE)*$F559)))))</x:f>
      </x:c>
      <x:c r="M559" s="25" t="str">
        <x:f>IF($A559="","",IF($F559="","",IF($F559=0,0,IF(COUNTIFS($A$10:$A$89,$C559)&lt;&gt;1,"brak danych",IF(COUNTIFS($A$10:$A$89,$C559,$G$10:$G$89,"&lt;&gt;")=0,"brak danych",VLOOKUP($C559,$A$10:$J$89,7,FALSE)*$F559)))))</x:f>
      </x:c>
      <x:c r="N559" s="25" t="str">
        <x:f>IF($A559="","",IF($F559="","",IF($F559=0,0,IF(COUNTIFS($A$10:$A$89,$C559)&lt;&gt;1,"brak danych",IF(COUNTIFS($A$10:$A$89,$C559,$H$10:$H$89,"&lt;&gt;")=0,"brak danych",VLOOKUP($C559,$A$10:$J$89,8,FALSE)*$F559)))))</x:f>
      </x:c>
      <x:c r="O559" s="25" t="str">
        <x:f>IF($A559="","",IF($F559="","",IF($F559=0,0,IF(COUNTIFS($A$10:$A$89,$C559)&lt;&gt;1,"brak danych",IF(COUNTIFS($A$10:$A$89,$C559,$I$10:$I$89,"&lt;&gt;")=0,"brak danych",VLOOKUP($C559,$A$10:$J$89,9,FALSE)*$F559)))))</x:f>
      </x:c>
      <x:c r="P559" s="25" t="str">
        <x:f>IF($A559="","",IF($F559="","",IF($F559=0,0,IF(COUNTIFS($A$10:$A$89,$C559)&lt;&gt;1,"brak danych",IF(COUNTIFS($A$10:$A$89,$C559,$J$10:$J$89,"&lt;&gt;")=0,"brak danych",VLOOKUP($C559,$A$10:$J$89,10,FALSE)*$F559)))))</x:f>
      </x:c>
      <x:c r="Q559" s="18"/>
    </x:row>
    <x:row r="560" ht="25" customHeight="1">
      <x:c r="A560" s="6"/>
      <x:c r="B560" s="30"/>
      <x:c r="C560" s="5"/>
      <x:c r="D560" s="5"/>
      <x:c r="E560" s="32"/>
      <x:c r="F560" s="32"/>
      <x:c r="G560" s="24" t="str">
        <x:f>IF($A560="","",IF(AND($C560="",$E560=""),"",IF($E560="","brak danych",IF($E560=0,0,IF(COUNTIFS($A$10:$A$89,$C560)&lt;&gt;1,"brak danych",IF(COUNTIFS($A$10:$A$89,$C560,$F$10:$F$89,"&lt;&gt;")=0,"brak danych",VLOOKUP($C560,$A$10:$J$89,6,FALSE)*$E560))))))</x:f>
      </x:c>
      <x:c r="H560" s="25" t="str">
        <x:f>IF($A560="","",IF(AND($C560="",$E560=""),"",IF($E560="","brak danych",IF($E560=0,0,IF(COUNTIFS($A$10:$A$89,$C560)&lt;&gt;1,"brak danych",IF(COUNTIFS($A$10:$A$89,$C560,$G$10:$G$89,"&lt;&gt;")=0,"brak danych",VLOOKUP($C560,$A$10:$J$89,7,FALSE)*$E560))))))</x:f>
      </x:c>
      <x:c r="I560" s="25" t="str">
        <x:f>IF($A560="","",IF(AND($C560="",$E560=""),"",IF($E560="","brak danych",IF($E560=0,0,IF(COUNTIFS($A$10:$A$89,$C560)&lt;&gt;1,"brak danych",IF(COUNTIFS($A$10:$A$89,$C560,$H$10:$H$89,"&lt;&gt;")=0,"brak danych",VLOOKUP($C560,$A$10:$J$89,8,FALSE)*$E560))))))</x:f>
      </x:c>
      <x:c r="J560" s="25" t="str">
        <x:f>IF($A560="","",IF(AND($C560="",$E560=""),"",IF($E560="","brak danych",IF($E560=0,0,IF(COUNTIFS($A$10:$A$89,$C560)&lt;&gt;1,"brak danych",IF(COUNTIFS($A$10:$A$89,$C560,$I$10:$I$89,"&lt;&gt;")=0,"brak danych",VLOOKUP($C560,$A$10:$J$89,9,FALSE)*$E560))))))</x:f>
      </x:c>
      <x:c r="K560" s="25" t="str">
        <x:f>IF($A560="","",IF(AND($C560="",$E560=""),"",IF($E560="","brak danych",IF($E560=0,0,IF(COUNTIFS($A$10:$A$89,$C560)&lt;&gt;1,"brak danych",IF(COUNTIFS($A$10:$A$89,$C560,$J$10:$J$89,"&lt;&gt;")=0,"brak danych",VLOOKUP($C560,$A$10:$J$89,10,FALSE)*$E560))))))</x:f>
      </x:c>
      <x:c r="L560" s="24" t="str">
        <x:f>IF($A560="","",IF($F560="","",IF($F560=0,0,IF(COUNTIFS($A$10:$A$89,$C560)&lt;&gt;1,"brak danych",IF(COUNTIFS($A$10:$A$89,$C560,$F$10:$F$89,"&lt;&gt;")=0,"brak danych",VLOOKUP($C560,$A$10:$J$89,6,FALSE)*$F560)))))</x:f>
      </x:c>
      <x:c r="M560" s="25" t="str">
        <x:f>IF($A560="","",IF($F560="","",IF($F560=0,0,IF(COUNTIFS($A$10:$A$89,$C560)&lt;&gt;1,"brak danych",IF(COUNTIFS($A$10:$A$89,$C560,$G$10:$G$89,"&lt;&gt;")=0,"brak danych",VLOOKUP($C560,$A$10:$J$89,7,FALSE)*$F560)))))</x:f>
      </x:c>
      <x:c r="N560" s="25" t="str">
        <x:f>IF($A560="","",IF($F560="","",IF($F560=0,0,IF(COUNTIFS($A$10:$A$89,$C560)&lt;&gt;1,"brak danych",IF(COUNTIFS($A$10:$A$89,$C560,$H$10:$H$89,"&lt;&gt;")=0,"brak danych",VLOOKUP($C560,$A$10:$J$89,8,FALSE)*$F560)))))</x:f>
      </x:c>
      <x:c r="O560" s="25" t="str">
        <x:f>IF($A560="","",IF($F560="","",IF($F560=0,0,IF(COUNTIFS($A$10:$A$89,$C560)&lt;&gt;1,"brak danych",IF(COUNTIFS($A$10:$A$89,$C560,$I$10:$I$89,"&lt;&gt;")=0,"brak danych",VLOOKUP($C560,$A$10:$J$89,9,FALSE)*$F560)))))</x:f>
      </x:c>
      <x:c r="P560" s="25" t="str">
        <x:f>IF($A560="","",IF($F560="","",IF($F560=0,0,IF(COUNTIFS($A$10:$A$89,$C560)&lt;&gt;1,"brak danych",IF(COUNTIFS($A$10:$A$89,$C560,$J$10:$J$89,"&lt;&gt;")=0,"brak danych",VLOOKUP($C560,$A$10:$J$89,10,FALSE)*$F560)))))</x:f>
      </x:c>
      <x:c r="Q560" s="18"/>
    </x:row>
    <x:row r="561" ht="25" customHeight="1">
      <x:c r="A561" s="6"/>
      <x:c r="B561" s="30"/>
      <x:c r="C561" s="5"/>
      <x:c r="D561" s="5"/>
      <x:c r="E561" s="32"/>
      <x:c r="F561" s="32"/>
      <x:c r="G561" s="24" t="str">
        <x:f>IF($A561="","",IF(AND($C561="",$E561=""),"",IF($E561="","brak danych",IF($E561=0,0,IF(COUNTIFS($A$10:$A$89,$C561)&lt;&gt;1,"brak danych",IF(COUNTIFS($A$10:$A$89,$C561,$F$10:$F$89,"&lt;&gt;")=0,"brak danych",VLOOKUP($C561,$A$10:$J$89,6,FALSE)*$E561))))))</x:f>
      </x:c>
      <x:c r="H561" s="25" t="str">
        <x:f>IF($A561="","",IF(AND($C561="",$E561=""),"",IF($E561="","brak danych",IF($E561=0,0,IF(COUNTIFS($A$10:$A$89,$C561)&lt;&gt;1,"brak danych",IF(COUNTIFS($A$10:$A$89,$C561,$G$10:$G$89,"&lt;&gt;")=0,"brak danych",VLOOKUP($C561,$A$10:$J$89,7,FALSE)*$E561))))))</x:f>
      </x:c>
      <x:c r="I561" s="25" t="str">
        <x:f>IF($A561="","",IF(AND($C561="",$E561=""),"",IF($E561="","brak danych",IF($E561=0,0,IF(COUNTIFS($A$10:$A$89,$C561)&lt;&gt;1,"brak danych",IF(COUNTIFS($A$10:$A$89,$C561,$H$10:$H$89,"&lt;&gt;")=0,"brak danych",VLOOKUP($C561,$A$10:$J$89,8,FALSE)*$E561))))))</x:f>
      </x:c>
      <x:c r="J561" s="25" t="str">
        <x:f>IF($A561="","",IF(AND($C561="",$E561=""),"",IF($E561="","brak danych",IF($E561=0,0,IF(COUNTIFS($A$10:$A$89,$C561)&lt;&gt;1,"brak danych",IF(COUNTIFS($A$10:$A$89,$C561,$I$10:$I$89,"&lt;&gt;")=0,"brak danych",VLOOKUP($C561,$A$10:$J$89,9,FALSE)*$E561))))))</x:f>
      </x:c>
      <x:c r="K561" s="25" t="str">
        <x:f>IF($A561="","",IF(AND($C561="",$E561=""),"",IF($E561="","brak danych",IF($E561=0,0,IF(COUNTIFS($A$10:$A$89,$C561)&lt;&gt;1,"brak danych",IF(COUNTIFS($A$10:$A$89,$C561,$J$10:$J$89,"&lt;&gt;")=0,"brak danych",VLOOKUP($C561,$A$10:$J$89,10,FALSE)*$E561))))))</x:f>
      </x:c>
      <x:c r="L561" s="24" t="str">
        <x:f>IF($A561="","",IF($F561="","",IF($F561=0,0,IF(COUNTIFS($A$10:$A$89,$C561)&lt;&gt;1,"brak danych",IF(COUNTIFS($A$10:$A$89,$C561,$F$10:$F$89,"&lt;&gt;")=0,"brak danych",VLOOKUP($C561,$A$10:$J$89,6,FALSE)*$F561)))))</x:f>
      </x:c>
      <x:c r="M561" s="25" t="str">
        <x:f>IF($A561="","",IF($F561="","",IF($F561=0,0,IF(COUNTIFS($A$10:$A$89,$C561)&lt;&gt;1,"brak danych",IF(COUNTIFS($A$10:$A$89,$C561,$G$10:$G$89,"&lt;&gt;")=0,"brak danych",VLOOKUP($C561,$A$10:$J$89,7,FALSE)*$F561)))))</x:f>
      </x:c>
      <x:c r="N561" s="25" t="str">
        <x:f>IF($A561="","",IF($F561="","",IF($F561=0,0,IF(COUNTIFS($A$10:$A$89,$C561)&lt;&gt;1,"brak danych",IF(COUNTIFS($A$10:$A$89,$C561,$H$10:$H$89,"&lt;&gt;")=0,"brak danych",VLOOKUP($C561,$A$10:$J$89,8,FALSE)*$F561)))))</x:f>
      </x:c>
      <x:c r="O561" s="25" t="str">
        <x:f>IF($A561="","",IF($F561="","",IF($F561=0,0,IF(COUNTIFS($A$10:$A$89,$C561)&lt;&gt;1,"brak danych",IF(COUNTIFS($A$10:$A$89,$C561,$I$10:$I$89,"&lt;&gt;")=0,"brak danych",VLOOKUP($C561,$A$10:$J$89,9,FALSE)*$F561)))))</x:f>
      </x:c>
      <x:c r="P561" s="25" t="str">
        <x:f>IF($A561="","",IF($F561="","",IF($F561=0,0,IF(COUNTIFS($A$10:$A$89,$C561)&lt;&gt;1,"brak danych",IF(COUNTIFS($A$10:$A$89,$C561,$J$10:$J$89,"&lt;&gt;")=0,"brak danych",VLOOKUP($C561,$A$10:$J$89,10,FALSE)*$F561)))))</x:f>
      </x:c>
      <x:c r="Q561" s="18"/>
    </x:row>
    <x:row r="562" ht="25" customHeight="1">
      <x:c r="A562" s="6"/>
      <x:c r="B562" s="30"/>
      <x:c r="C562" s="5"/>
      <x:c r="D562" s="5"/>
      <x:c r="E562" s="32"/>
      <x:c r="F562" s="32"/>
      <x:c r="G562" s="24" t="str">
        <x:f>IF($A562="","",IF(AND($C562="",$E562=""),"",IF($E562="","brak danych",IF($E562=0,0,IF(COUNTIFS($A$10:$A$89,$C562)&lt;&gt;1,"brak danych",IF(COUNTIFS($A$10:$A$89,$C562,$F$10:$F$89,"&lt;&gt;")=0,"brak danych",VLOOKUP($C562,$A$10:$J$89,6,FALSE)*$E562))))))</x:f>
      </x:c>
      <x:c r="H562" s="25" t="str">
        <x:f>IF($A562="","",IF(AND($C562="",$E562=""),"",IF($E562="","brak danych",IF($E562=0,0,IF(COUNTIFS($A$10:$A$89,$C562)&lt;&gt;1,"brak danych",IF(COUNTIFS($A$10:$A$89,$C562,$G$10:$G$89,"&lt;&gt;")=0,"brak danych",VLOOKUP($C562,$A$10:$J$89,7,FALSE)*$E562))))))</x:f>
      </x:c>
      <x:c r="I562" s="25" t="str">
        <x:f>IF($A562="","",IF(AND($C562="",$E562=""),"",IF($E562="","brak danych",IF($E562=0,0,IF(COUNTIFS($A$10:$A$89,$C562)&lt;&gt;1,"brak danych",IF(COUNTIFS($A$10:$A$89,$C562,$H$10:$H$89,"&lt;&gt;")=0,"brak danych",VLOOKUP($C562,$A$10:$J$89,8,FALSE)*$E562))))))</x:f>
      </x:c>
      <x:c r="J562" s="25" t="str">
        <x:f>IF($A562="","",IF(AND($C562="",$E562=""),"",IF($E562="","brak danych",IF($E562=0,0,IF(COUNTIFS($A$10:$A$89,$C562)&lt;&gt;1,"brak danych",IF(COUNTIFS($A$10:$A$89,$C562,$I$10:$I$89,"&lt;&gt;")=0,"brak danych",VLOOKUP($C562,$A$10:$J$89,9,FALSE)*$E562))))))</x:f>
      </x:c>
      <x:c r="K562" s="25" t="str">
        <x:f>IF($A562="","",IF(AND($C562="",$E562=""),"",IF($E562="","brak danych",IF($E562=0,0,IF(COUNTIFS($A$10:$A$89,$C562)&lt;&gt;1,"brak danych",IF(COUNTIFS($A$10:$A$89,$C562,$J$10:$J$89,"&lt;&gt;")=0,"brak danych",VLOOKUP($C562,$A$10:$J$89,10,FALSE)*$E562))))))</x:f>
      </x:c>
      <x:c r="L562" s="24" t="str">
        <x:f>IF($A562="","",IF($F562="","",IF($F562=0,0,IF(COUNTIFS($A$10:$A$89,$C562)&lt;&gt;1,"brak danych",IF(COUNTIFS($A$10:$A$89,$C562,$F$10:$F$89,"&lt;&gt;")=0,"brak danych",VLOOKUP($C562,$A$10:$J$89,6,FALSE)*$F562)))))</x:f>
      </x:c>
      <x:c r="M562" s="25" t="str">
        <x:f>IF($A562="","",IF($F562="","",IF($F562=0,0,IF(COUNTIFS($A$10:$A$89,$C562)&lt;&gt;1,"brak danych",IF(COUNTIFS($A$10:$A$89,$C562,$G$10:$G$89,"&lt;&gt;")=0,"brak danych",VLOOKUP($C562,$A$10:$J$89,7,FALSE)*$F562)))))</x:f>
      </x:c>
      <x:c r="N562" s="25" t="str">
        <x:f>IF($A562="","",IF($F562="","",IF($F562=0,0,IF(COUNTIFS($A$10:$A$89,$C562)&lt;&gt;1,"brak danych",IF(COUNTIFS($A$10:$A$89,$C562,$H$10:$H$89,"&lt;&gt;")=0,"brak danych",VLOOKUP($C562,$A$10:$J$89,8,FALSE)*$F562)))))</x:f>
      </x:c>
      <x:c r="O562" s="25" t="str">
        <x:f>IF($A562="","",IF($F562="","",IF($F562=0,0,IF(COUNTIFS($A$10:$A$89,$C562)&lt;&gt;1,"brak danych",IF(COUNTIFS($A$10:$A$89,$C562,$I$10:$I$89,"&lt;&gt;")=0,"brak danych",VLOOKUP($C562,$A$10:$J$89,9,FALSE)*$F562)))))</x:f>
      </x:c>
      <x:c r="P562" s="25" t="str">
        <x:f>IF($A562="","",IF($F562="","",IF($F562=0,0,IF(COUNTIFS($A$10:$A$89,$C562)&lt;&gt;1,"brak danych",IF(COUNTIFS($A$10:$A$89,$C562,$J$10:$J$89,"&lt;&gt;")=0,"brak danych",VLOOKUP($C562,$A$10:$J$89,10,FALSE)*$F562)))))</x:f>
      </x:c>
      <x:c r="Q562" s="18"/>
    </x:row>
    <x:row r="563" ht="25" customHeight="1">
      <x:c r="A563" s="6"/>
      <x:c r="B563" s="30"/>
      <x:c r="C563" s="5"/>
      <x:c r="D563" s="5"/>
      <x:c r="E563" s="32"/>
      <x:c r="F563" s="32"/>
      <x:c r="G563" s="24" t="str">
        <x:f>IF($A563="","",IF(AND($C563="",$E563=""),"",IF($E563="","brak danych",IF($E563=0,0,IF(COUNTIFS($A$10:$A$89,$C563)&lt;&gt;1,"brak danych",IF(COUNTIFS($A$10:$A$89,$C563,$F$10:$F$89,"&lt;&gt;")=0,"brak danych",VLOOKUP($C563,$A$10:$J$89,6,FALSE)*$E563))))))</x:f>
      </x:c>
      <x:c r="H563" s="25" t="str">
        <x:f>IF($A563="","",IF(AND($C563="",$E563=""),"",IF($E563="","brak danych",IF($E563=0,0,IF(COUNTIFS($A$10:$A$89,$C563)&lt;&gt;1,"brak danych",IF(COUNTIFS($A$10:$A$89,$C563,$G$10:$G$89,"&lt;&gt;")=0,"brak danych",VLOOKUP($C563,$A$10:$J$89,7,FALSE)*$E563))))))</x:f>
      </x:c>
      <x:c r="I563" s="25" t="str">
        <x:f>IF($A563="","",IF(AND($C563="",$E563=""),"",IF($E563="","brak danych",IF($E563=0,0,IF(COUNTIFS($A$10:$A$89,$C563)&lt;&gt;1,"brak danych",IF(COUNTIFS($A$10:$A$89,$C563,$H$10:$H$89,"&lt;&gt;")=0,"brak danych",VLOOKUP($C563,$A$10:$J$89,8,FALSE)*$E563))))))</x:f>
      </x:c>
      <x:c r="J563" s="25" t="str">
        <x:f>IF($A563="","",IF(AND($C563="",$E563=""),"",IF($E563="","brak danych",IF($E563=0,0,IF(COUNTIFS($A$10:$A$89,$C563)&lt;&gt;1,"brak danych",IF(COUNTIFS($A$10:$A$89,$C563,$I$10:$I$89,"&lt;&gt;")=0,"brak danych",VLOOKUP($C563,$A$10:$J$89,9,FALSE)*$E563))))))</x:f>
      </x:c>
      <x:c r="K563" s="25" t="str">
        <x:f>IF($A563="","",IF(AND($C563="",$E563=""),"",IF($E563="","brak danych",IF($E563=0,0,IF(COUNTIFS($A$10:$A$89,$C563)&lt;&gt;1,"brak danych",IF(COUNTIFS($A$10:$A$89,$C563,$J$10:$J$89,"&lt;&gt;")=0,"brak danych",VLOOKUP($C563,$A$10:$J$89,10,FALSE)*$E563))))))</x:f>
      </x:c>
      <x:c r="L563" s="24" t="str">
        <x:f>IF($A563="","",IF($F563="","",IF($F563=0,0,IF(COUNTIFS($A$10:$A$89,$C563)&lt;&gt;1,"brak danych",IF(COUNTIFS($A$10:$A$89,$C563,$F$10:$F$89,"&lt;&gt;")=0,"brak danych",VLOOKUP($C563,$A$10:$J$89,6,FALSE)*$F563)))))</x:f>
      </x:c>
      <x:c r="M563" s="25" t="str">
        <x:f>IF($A563="","",IF($F563="","",IF($F563=0,0,IF(COUNTIFS($A$10:$A$89,$C563)&lt;&gt;1,"brak danych",IF(COUNTIFS($A$10:$A$89,$C563,$G$10:$G$89,"&lt;&gt;")=0,"brak danych",VLOOKUP($C563,$A$10:$J$89,7,FALSE)*$F563)))))</x:f>
      </x:c>
      <x:c r="N563" s="25" t="str">
        <x:f>IF($A563="","",IF($F563="","",IF($F563=0,0,IF(COUNTIFS($A$10:$A$89,$C563)&lt;&gt;1,"brak danych",IF(COUNTIFS($A$10:$A$89,$C563,$H$10:$H$89,"&lt;&gt;")=0,"brak danych",VLOOKUP($C563,$A$10:$J$89,8,FALSE)*$F563)))))</x:f>
      </x:c>
      <x:c r="O563" s="25" t="str">
        <x:f>IF($A563="","",IF($F563="","",IF($F563=0,0,IF(COUNTIFS($A$10:$A$89,$C563)&lt;&gt;1,"brak danych",IF(COUNTIFS($A$10:$A$89,$C563,$I$10:$I$89,"&lt;&gt;")=0,"brak danych",VLOOKUP($C563,$A$10:$J$89,9,FALSE)*$F563)))))</x:f>
      </x:c>
      <x:c r="P563" s="25" t="str">
        <x:f>IF($A563="","",IF($F563="","",IF($F563=0,0,IF(COUNTIFS($A$10:$A$89,$C563)&lt;&gt;1,"brak danych",IF(COUNTIFS($A$10:$A$89,$C563,$J$10:$J$89,"&lt;&gt;")=0,"brak danych",VLOOKUP($C563,$A$10:$J$89,10,FALSE)*$F563)))))</x:f>
      </x:c>
      <x:c r="Q563" s="18"/>
    </x:row>
    <x:row r="564" ht="25" customHeight="1">
      <x:c r="A564" s="6"/>
      <x:c r="B564" s="30"/>
      <x:c r="C564" s="5"/>
      <x:c r="D564" s="5"/>
      <x:c r="E564" s="32"/>
      <x:c r="F564" s="32"/>
      <x:c r="G564" s="24" t="str">
        <x:f>IF($A564="","",IF(AND($C564="",$E564=""),"",IF($E564="","brak danych",IF($E564=0,0,IF(COUNTIFS($A$10:$A$89,$C564)&lt;&gt;1,"brak danych",IF(COUNTIFS($A$10:$A$89,$C564,$F$10:$F$89,"&lt;&gt;")=0,"brak danych",VLOOKUP($C564,$A$10:$J$89,6,FALSE)*$E564))))))</x:f>
      </x:c>
      <x:c r="H564" s="25" t="str">
        <x:f>IF($A564="","",IF(AND($C564="",$E564=""),"",IF($E564="","brak danych",IF($E564=0,0,IF(COUNTIFS($A$10:$A$89,$C564)&lt;&gt;1,"brak danych",IF(COUNTIFS($A$10:$A$89,$C564,$G$10:$G$89,"&lt;&gt;")=0,"brak danych",VLOOKUP($C564,$A$10:$J$89,7,FALSE)*$E564))))))</x:f>
      </x:c>
      <x:c r="I564" s="25" t="str">
        <x:f>IF($A564="","",IF(AND($C564="",$E564=""),"",IF($E564="","brak danych",IF($E564=0,0,IF(COUNTIFS($A$10:$A$89,$C564)&lt;&gt;1,"brak danych",IF(COUNTIFS($A$10:$A$89,$C564,$H$10:$H$89,"&lt;&gt;")=0,"brak danych",VLOOKUP($C564,$A$10:$J$89,8,FALSE)*$E564))))))</x:f>
      </x:c>
      <x:c r="J564" s="25" t="str">
        <x:f>IF($A564="","",IF(AND($C564="",$E564=""),"",IF($E564="","brak danych",IF($E564=0,0,IF(COUNTIFS($A$10:$A$89,$C564)&lt;&gt;1,"brak danych",IF(COUNTIFS($A$10:$A$89,$C564,$I$10:$I$89,"&lt;&gt;")=0,"brak danych",VLOOKUP($C564,$A$10:$J$89,9,FALSE)*$E564))))))</x:f>
      </x:c>
      <x:c r="K564" s="25" t="str">
        <x:f>IF($A564="","",IF(AND($C564="",$E564=""),"",IF($E564="","brak danych",IF($E564=0,0,IF(COUNTIFS($A$10:$A$89,$C564)&lt;&gt;1,"brak danych",IF(COUNTIFS($A$10:$A$89,$C564,$J$10:$J$89,"&lt;&gt;")=0,"brak danych",VLOOKUP($C564,$A$10:$J$89,10,FALSE)*$E564))))))</x:f>
      </x:c>
      <x:c r="L564" s="24" t="str">
        <x:f>IF($A564="","",IF($F564="","",IF($F564=0,0,IF(COUNTIFS($A$10:$A$89,$C564)&lt;&gt;1,"brak danych",IF(COUNTIFS($A$10:$A$89,$C564,$F$10:$F$89,"&lt;&gt;")=0,"brak danych",VLOOKUP($C564,$A$10:$J$89,6,FALSE)*$F564)))))</x:f>
      </x:c>
      <x:c r="M564" s="25" t="str">
        <x:f>IF($A564="","",IF($F564="","",IF($F564=0,0,IF(COUNTIFS($A$10:$A$89,$C564)&lt;&gt;1,"brak danych",IF(COUNTIFS($A$10:$A$89,$C564,$G$10:$G$89,"&lt;&gt;")=0,"brak danych",VLOOKUP($C564,$A$10:$J$89,7,FALSE)*$F564)))))</x:f>
      </x:c>
      <x:c r="N564" s="25" t="str">
        <x:f>IF($A564="","",IF($F564="","",IF($F564=0,0,IF(COUNTIFS($A$10:$A$89,$C564)&lt;&gt;1,"brak danych",IF(COUNTIFS($A$10:$A$89,$C564,$H$10:$H$89,"&lt;&gt;")=0,"brak danych",VLOOKUP($C564,$A$10:$J$89,8,FALSE)*$F564)))))</x:f>
      </x:c>
      <x:c r="O564" s="25" t="str">
        <x:f>IF($A564="","",IF($F564="","",IF($F564=0,0,IF(COUNTIFS($A$10:$A$89,$C564)&lt;&gt;1,"brak danych",IF(COUNTIFS($A$10:$A$89,$C564,$I$10:$I$89,"&lt;&gt;")=0,"brak danych",VLOOKUP($C564,$A$10:$J$89,9,FALSE)*$F564)))))</x:f>
      </x:c>
      <x:c r="P564" s="25" t="str">
        <x:f>IF($A564="","",IF($F564="","",IF($F564=0,0,IF(COUNTIFS($A$10:$A$89,$C564)&lt;&gt;1,"brak danych",IF(COUNTIFS($A$10:$A$89,$C564,$J$10:$J$89,"&lt;&gt;")=0,"brak danych",VLOOKUP($C564,$A$10:$J$89,10,FALSE)*$F564)))))</x:f>
      </x:c>
      <x:c r="Q564" s="18"/>
    </x:row>
    <x:row r="565" ht="25" customHeight="1">
      <x:c r="A565" s="6"/>
      <x:c r="B565" s="30"/>
      <x:c r="C565" s="5"/>
      <x:c r="D565" s="5"/>
      <x:c r="E565" s="32"/>
      <x:c r="F565" s="32"/>
      <x:c r="G565" s="24" t="str">
        <x:f>IF($A565="","",IF(AND($C565="",$E565=""),"",IF($E565="","brak danych",IF($E565=0,0,IF(COUNTIFS($A$10:$A$89,$C565)&lt;&gt;1,"brak danych",IF(COUNTIFS($A$10:$A$89,$C565,$F$10:$F$89,"&lt;&gt;")=0,"brak danych",VLOOKUP($C565,$A$10:$J$89,6,FALSE)*$E565))))))</x:f>
      </x:c>
      <x:c r="H565" s="25" t="str">
        <x:f>IF($A565="","",IF(AND($C565="",$E565=""),"",IF($E565="","brak danych",IF($E565=0,0,IF(COUNTIFS($A$10:$A$89,$C565)&lt;&gt;1,"brak danych",IF(COUNTIFS($A$10:$A$89,$C565,$G$10:$G$89,"&lt;&gt;")=0,"brak danych",VLOOKUP($C565,$A$10:$J$89,7,FALSE)*$E565))))))</x:f>
      </x:c>
      <x:c r="I565" s="25" t="str">
        <x:f>IF($A565="","",IF(AND($C565="",$E565=""),"",IF($E565="","brak danych",IF($E565=0,0,IF(COUNTIFS($A$10:$A$89,$C565)&lt;&gt;1,"brak danych",IF(COUNTIFS($A$10:$A$89,$C565,$H$10:$H$89,"&lt;&gt;")=0,"brak danych",VLOOKUP($C565,$A$10:$J$89,8,FALSE)*$E565))))))</x:f>
      </x:c>
      <x:c r="J565" s="25" t="str">
        <x:f>IF($A565="","",IF(AND($C565="",$E565=""),"",IF($E565="","brak danych",IF($E565=0,0,IF(COUNTIFS($A$10:$A$89,$C565)&lt;&gt;1,"brak danych",IF(COUNTIFS($A$10:$A$89,$C565,$I$10:$I$89,"&lt;&gt;")=0,"brak danych",VLOOKUP($C565,$A$10:$J$89,9,FALSE)*$E565))))))</x:f>
      </x:c>
      <x:c r="K565" s="25" t="str">
        <x:f>IF($A565="","",IF(AND($C565="",$E565=""),"",IF($E565="","brak danych",IF($E565=0,0,IF(COUNTIFS($A$10:$A$89,$C565)&lt;&gt;1,"brak danych",IF(COUNTIFS($A$10:$A$89,$C565,$J$10:$J$89,"&lt;&gt;")=0,"brak danych",VLOOKUP($C565,$A$10:$J$89,10,FALSE)*$E565))))))</x:f>
      </x:c>
      <x:c r="L565" s="24" t="str">
        <x:f>IF($A565="","",IF($F565="","",IF($F565=0,0,IF(COUNTIFS($A$10:$A$89,$C565)&lt;&gt;1,"brak danych",IF(COUNTIFS($A$10:$A$89,$C565,$F$10:$F$89,"&lt;&gt;")=0,"brak danych",VLOOKUP($C565,$A$10:$J$89,6,FALSE)*$F565)))))</x:f>
      </x:c>
      <x:c r="M565" s="25" t="str">
        <x:f>IF($A565="","",IF($F565="","",IF($F565=0,0,IF(COUNTIFS($A$10:$A$89,$C565)&lt;&gt;1,"brak danych",IF(COUNTIFS($A$10:$A$89,$C565,$G$10:$G$89,"&lt;&gt;")=0,"brak danych",VLOOKUP($C565,$A$10:$J$89,7,FALSE)*$F565)))))</x:f>
      </x:c>
      <x:c r="N565" s="25" t="str">
        <x:f>IF($A565="","",IF($F565="","",IF($F565=0,0,IF(COUNTIFS($A$10:$A$89,$C565)&lt;&gt;1,"brak danych",IF(COUNTIFS($A$10:$A$89,$C565,$H$10:$H$89,"&lt;&gt;")=0,"brak danych",VLOOKUP($C565,$A$10:$J$89,8,FALSE)*$F565)))))</x:f>
      </x:c>
      <x:c r="O565" s="25" t="str">
        <x:f>IF($A565="","",IF($F565="","",IF($F565=0,0,IF(COUNTIFS($A$10:$A$89,$C565)&lt;&gt;1,"brak danych",IF(COUNTIFS($A$10:$A$89,$C565,$I$10:$I$89,"&lt;&gt;")=0,"brak danych",VLOOKUP($C565,$A$10:$J$89,9,FALSE)*$F565)))))</x:f>
      </x:c>
      <x:c r="P565" s="25" t="str">
        <x:f>IF($A565="","",IF($F565="","",IF($F565=0,0,IF(COUNTIFS($A$10:$A$89,$C565)&lt;&gt;1,"brak danych",IF(COUNTIFS($A$10:$A$89,$C565,$J$10:$J$89,"&lt;&gt;")=0,"brak danych",VLOOKUP($C565,$A$10:$J$89,10,FALSE)*$F565)))))</x:f>
      </x:c>
      <x:c r="Q565" s="18"/>
    </x:row>
    <x:row r="566" ht="25" customHeight="1">
      <x:c r="A566" s="6"/>
      <x:c r="B566" s="30"/>
      <x:c r="C566" s="5"/>
      <x:c r="D566" s="5"/>
      <x:c r="E566" s="32"/>
      <x:c r="F566" s="32"/>
      <x:c r="G566" s="24" t="str">
        <x:f>IF($A566="","",IF(AND($C566="",$E566=""),"",IF($E566="","brak danych",IF($E566=0,0,IF(COUNTIFS($A$10:$A$89,$C566)&lt;&gt;1,"brak danych",IF(COUNTIFS($A$10:$A$89,$C566,$F$10:$F$89,"&lt;&gt;")=0,"brak danych",VLOOKUP($C566,$A$10:$J$89,6,FALSE)*$E566))))))</x:f>
      </x:c>
      <x:c r="H566" s="25" t="str">
        <x:f>IF($A566="","",IF(AND($C566="",$E566=""),"",IF($E566="","brak danych",IF($E566=0,0,IF(COUNTIFS($A$10:$A$89,$C566)&lt;&gt;1,"brak danych",IF(COUNTIFS($A$10:$A$89,$C566,$G$10:$G$89,"&lt;&gt;")=0,"brak danych",VLOOKUP($C566,$A$10:$J$89,7,FALSE)*$E566))))))</x:f>
      </x:c>
      <x:c r="I566" s="25" t="str">
        <x:f>IF($A566="","",IF(AND($C566="",$E566=""),"",IF($E566="","brak danych",IF($E566=0,0,IF(COUNTIFS($A$10:$A$89,$C566)&lt;&gt;1,"brak danych",IF(COUNTIFS($A$10:$A$89,$C566,$H$10:$H$89,"&lt;&gt;")=0,"brak danych",VLOOKUP($C566,$A$10:$J$89,8,FALSE)*$E566))))))</x:f>
      </x:c>
      <x:c r="J566" s="25" t="str">
        <x:f>IF($A566="","",IF(AND($C566="",$E566=""),"",IF($E566="","brak danych",IF($E566=0,0,IF(COUNTIFS($A$10:$A$89,$C566)&lt;&gt;1,"brak danych",IF(COUNTIFS($A$10:$A$89,$C566,$I$10:$I$89,"&lt;&gt;")=0,"brak danych",VLOOKUP($C566,$A$10:$J$89,9,FALSE)*$E566))))))</x:f>
      </x:c>
      <x:c r="K566" s="25" t="str">
        <x:f>IF($A566="","",IF(AND($C566="",$E566=""),"",IF($E566="","brak danych",IF($E566=0,0,IF(COUNTIFS($A$10:$A$89,$C566)&lt;&gt;1,"brak danych",IF(COUNTIFS($A$10:$A$89,$C566,$J$10:$J$89,"&lt;&gt;")=0,"brak danych",VLOOKUP($C566,$A$10:$J$89,10,FALSE)*$E566))))))</x:f>
      </x:c>
      <x:c r="L566" s="24" t="str">
        <x:f>IF($A566="","",IF($F566="","",IF($F566=0,0,IF(COUNTIFS($A$10:$A$89,$C566)&lt;&gt;1,"brak danych",IF(COUNTIFS($A$10:$A$89,$C566,$F$10:$F$89,"&lt;&gt;")=0,"brak danych",VLOOKUP($C566,$A$10:$J$89,6,FALSE)*$F566)))))</x:f>
      </x:c>
      <x:c r="M566" s="25" t="str">
        <x:f>IF($A566="","",IF($F566="","",IF($F566=0,0,IF(COUNTIFS($A$10:$A$89,$C566)&lt;&gt;1,"brak danych",IF(COUNTIFS($A$10:$A$89,$C566,$G$10:$G$89,"&lt;&gt;")=0,"brak danych",VLOOKUP($C566,$A$10:$J$89,7,FALSE)*$F566)))))</x:f>
      </x:c>
      <x:c r="N566" s="25" t="str">
        <x:f>IF($A566="","",IF($F566="","",IF($F566=0,0,IF(COUNTIFS($A$10:$A$89,$C566)&lt;&gt;1,"brak danych",IF(COUNTIFS($A$10:$A$89,$C566,$H$10:$H$89,"&lt;&gt;")=0,"brak danych",VLOOKUP($C566,$A$10:$J$89,8,FALSE)*$F566)))))</x:f>
      </x:c>
      <x:c r="O566" s="25" t="str">
        <x:f>IF($A566="","",IF($F566="","",IF($F566=0,0,IF(COUNTIFS($A$10:$A$89,$C566)&lt;&gt;1,"brak danych",IF(COUNTIFS($A$10:$A$89,$C566,$I$10:$I$89,"&lt;&gt;")=0,"brak danych",VLOOKUP($C566,$A$10:$J$89,9,FALSE)*$F566)))))</x:f>
      </x:c>
      <x:c r="P566" s="25" t="str">
        <x:f>IF($A566="","",IF($F566="","",IF($F566=0,0,IF(COUNTIFS($A$10:$A$89,$C566)&lt;&gt;1,"brak danych",IF(COUNTIFS($A$10:$A$89,$C566,$J$10:$J$89,"&lt;&gt;")=0,"brak danych",VLOOKUP($C566,$A$10:$J$89,10,FALSE)*$F566)))))</x:f>
      </x:c>
      <x:c r="Q566" s="18"/>
    </x:row>
    <x:row r="567" ht="25" customHeight="1">
      <x:c r="A567" s="6"/>
      <x:c r="B567" s="30"/>
      <x:c r="C567" s="5"/>
      <x:c r="D567" s="5"/>
      <x:c r="E567" s="32"/>
      <x:c r="F567" s="32"/>
      <x:c r="G567" s="24" t="str">
        <x:f>IF($A567="","",IF(AND($C567="",$E567=""),"",IF($E567="","brak danych",IF($E567=0,0,IF(COUNTIFS($A$10:$A$89,$C567)&lt;&gt;1,"brak danych",IF(COUNTIFS($A$10:$A$89,$C567,$F$10:$F$89,"&lt;&gt;")=0,"brak danych",VLOOKUP($C567,$A$10:$J$89,6,FALSE)*$E567))))))</x:f>
      </x:c>
      <x:c r="H567" s="25" t="str">
        <x:f>IF($A567="","",IF(AND($C567="",$E567=""),"",IF($E567="","brak danych",IF($E567=0,0,IF(COUNTIFS($A$10:$A$89,$C567)&lt;&gt;1,"brak danych",IF(COUNTIFS($A$10:$A$89,$C567,$G$10:$G$89,"&lt;&gt;")=0,"brak danych",VLOOKUP($C567,$A$10:$J$89,7,FALSE)*$E567))))))</x:f>
      </x:c>
      <x:c r="I567" s="25" t="str">
        <x:f>IF($A567="","",IF(AND($C567="",$E567=""),"",IF($E567="","brak danych",IF($E567=0,0,IF(COUNTIFS($A$10:$A$89,$C567)&lt;&gt;1,"brak danych",IF(COUNTIFS($A$10:$A$89,$C567,$H$10:$H$89,"&lt;&gt;")=0,"brak danych",VLOOKUP($C567,$A$10:$J$89,8,FALSE)*$E567))))))</x:f>
      </x:c>
      <x:c r="J567" s="25" t="str">
        <x:f>IF($A567="","",IF(AND($C567="",$E567=""),"",IF($E567="","brak danych",IF($E567=0,0,IF(COUNTIFS($A$10:$A$89,$C567)&lt;&gt;1,"brak danych",IF(COUNTIFS($A$10:$A$89,$C567,$I$10:$I$89,"&lt;&gt;")=0,"brak danych",VLOOKUP($C567,$A$10:$J$89,9,FALSE)*$E567))))))</x:f>
      </x:c>
      <x:c r="K567" s="25" t="str">
        <x:f>IF($A567="","",IF(AND($C567="",$E567=""),"",IF($E567="","brak danych",IF($E567=0,0,IF(COUNTIFS($A$10:$A$89,$C567)&lt;&gt;1,"brak danych",IF(COUNTIFS($A$10:$A$89,$C567,$J$10:$J$89,"&lt;&gt;")=0,"brak danych",VLOOKUP($C567,$A$10:$J$89,10,FALSE)*$E567))))))</x:f>
      </x:c>
      <x:c r="L567" s="24" t="str">
        <x:f>IF($A567="","",IF($F567="","",IF($F567=0,0,IF(COUNTIFS($A$10:$A$89,$C567)&lt;&gt;1,"brak danych",IF(COUNTIFS($A$10:$A$89,$C567,$F$10:$F$89,"&lt;&gt;")=0,"brak danych",VLOOKUP($C567,$A$10:$J$89,6,FALSE)*$F567)))))</x:f>
      </x:c>
      <x:c r="M567" s="25" t="str">
        <x:f>IF($A567="","",IF($F567="","",IF($F567=0,0,IF(COUNTIFS($A$10:$A$89,$C567)&lt;&gt;1,"brak danych",IF(COUNTIFS($A$10:$A$89,$C567,$G$10:$G$89,"&lt;&gt;")=0,"brak danych",VLOOKUP($C567,$A$10:$J$89,7,FALSE)*$F567)))))</x:f>
      </x:c>
      <x:c r="N567" s="25" t="str">
        <x:f>IF($A567="","",IF($F567="","",IF($F567=0,0,IF(COUNTIFS($A$10:$A$89,$C567)&lt;&gt;1,"brak danych",IF(COUNTIFS($A$10:$A$89,$C567,$H$10:$H$89,"&lt;&gt;")=0,"brak danych",VLOOKUP($C567,$A$10:$J$89,8,FALSE)*$F567)))))</x:f>
      </x:c>
      <x:c r="O567" s="25" t="str">
        <x:f>IF($A567="","",IF($F567="","",IF($F567=0,0,IF(COUNTIFS($A$10:$A$89,$C567)&lt;&gt;1,"brak danych",IF(COUNTIFS($A$10:$A$89,$C567,$I$10:$I$89,"&lt;&gt;")=0,"brak danych",VLOOKUP($C567,$A$10:$J$89,9,FALSE)*$F567)))))</x:f>
      </x:c>
      <x:c r="P567" s="25" t="str">
        <x:f>IF($A567="","",IF($F567="","",IF($F567=0,0,IF(COUNTIFS($A$10:$A$89,$C567)&lt;&gt;1,"brak danych",IF(COUNTIFS($A$10:$A$89,$C567,$J$10:$J$89,"&lt;&gt;")=0,"brak danych",VLOOKUP($C567,$A$10:$J$89,10,FALSE)*$F567)))))</x:f>
      </x:c>
      <x:c r="Q567" s="18"/>
    </x:row>
    <x:row r="568" ht="25" customHeight="1">
      <x:c r="A568" s="6"/>
      <x:c r="B568" s="30"/>
      <x:c r="C568" s="5"/>
      <x:c r="D568" s="5"/>
      <x:c r="E568" s="32"/>
      <x:c r="F568" s="32"/>
      <x:c r="G568" s="24" t="str">
        <x:f>IF($A568="","",IF(AND($C568="",$E568=""),"",IF($E568="","brak danych",IF($E568=0,0,IF(COUNTIFS($A$10:$A$89,$C568)&lt;&gt;1,"brak danych",IF(COUNTIFS($A$10:$A$89,$C568,$F$10:$F$89,"&lt;&gt;")=0,"brak danych",VLOOKUP($C568,$A$10:$J$89,6,FALSE)*$E568))))))</x:f>
      </x:c>
      <x:c r="H568" s="25" t="str">
        <x:f>IF($A568="","",IF(AND($C568="",$E568=""),"",IF($E568="","brak danych",IF($E568=0,0,IF(COUNTIFS($A$10:$A$89,$C568)&lt;&gt;1,"brak danych",IF(COUNTIFS($A$10:$A$89,$C568,$G$10:$G$89,"&lt;&gt;")=0,"brak danych",VLOOKUP($C568,$A$10:$J$89,7,FALSE)*$E568))))))</x:f>
      </x:c>
      <x:c r="I568" s="25" t="str">
        <x:f>IF($A568="","",IF(AND($C568="",$E568=""),"",IF($E568="","brak danych",IF($E568=0,0,IF(COUNTIFS($A$10:$A$89,$C568)&lt;&gt;1,"brak danych",IF(COUNTIFS($A$10:$A$89,$C568,$H$10:$H$89,"&lt;&gt;")=0,"brak danych",VLOOKUP($C568,$A$10:$J$89,8,FALSE)*$E568))))))</x:f>
      </x:c>
      <x:c r="J568" s="25" t="str">
        <x:f>IF($A568="","",IF(AND($C568="",$E568=""),"",IF($E568="","brak danych",IF($E568=0,0,IF(COUNTIFS($A$10:$A$89,$C568)&lt;&gt;1,"brak danych",IF(COUNTIFS($A$10:$A$89,$C568,$I$10:$I$89,"&lt;&gt;")=0,"brak danych",VLOOKUP($C568,$A$10:$J$89,9,FALSE)*$E568))))))</x:f>
      </x:c>
      <x:c r="K568" s="25" t="str">
        <x:f>IF($A568="","",IF(AND($C568="",$E568=""),"",IF($E568="","brak danych",IF($E568=0,0,IF(COUNTIFS($A$10:$A$89,$C568)&lt;&gt;1,"brak danych",IF(COUNTIFS($A$10:$A$89,$C568,$J$10:$J$89,"&lt;&gt;")=0,"brak danych",VLOOKUP($C568,$A$10:$J$89,10,FALSE)*$E568))))))</x:f>
      </x:c>
      <x:c r="L568" s="24" t="str">
        <x:f>IF($A568="","",IF($F568="","",IF($F568=0,0,IF(COUNTIFS($A$10:$A$89,$C568)&lt;&gt;1,"brak danych",IF(COUNTIFS($A$10:$A$89,$C568,$F$10:$F$89,"&lt;&gt;")=0,"brak danych",VLOOKUP($C568,$A$10:$J$89,6,FALSE)*$F568)))))</x:f>
      </x:c>
      <x:c r="M568" s="25" t="str">
        <x:f>IF($A568="","",IF($F568="","",IF($F568=0,0,IF(COUNTIFS($A$10:$A$89,$C568)&lt;&gt;1,"brak danych",IF(COUNTIFS($A$10:$A$89,$C568,$G$10:$G$89,"&lt;&gt;")=0,"brak danych",VLOOKUP($C568,$A$10:$J$89,7,FALSE)*$F568)))))</x:f>
      </x:c>
      <x:c r="N568" s="25" t="str">
        <x:f>IF($A568="","",IF($F568="","",IF($F568=0,0,IF(COUNTIFS($A$10:$A$89,$C568)&lt;&gt;1,"brak danych",IF(COUNTIFS($A$10:$A$89,$C568,$H$10:$H$89,"&lt;&gt;")=0,"brak danych",VLOOKUP($C568,$A$10:$J$89,8,FALSE)*$F568)))))</x:f>
      </x:c>
      <x:c r="O568" s="25" t="str">
        <x:f>IF($A568="","",IF($F568="","",IF($F568=0,0,IF(COUNTIFS($A$10:$A$89,$C568)&lt;&gt;1,"brak danych",IF(COUNTIFS($A$10:$A$89,$C568,$I$10:$I$89,"&lt;&gt;")=0,"brak danych",VLOOKUP($C568,$A$10:$J$89,9,FALSE)*$F568)))))</x:f>
      </x:c>
      <x:c r="P568" s="25" t="str">
        <x:f>IF($A568="","",IF($F568="","",IF($F568=0,0,IF(COUNTIFS($A$10:$A$89,$C568)&lt;&gt;1,"brak danych",IF(COUNTIFS($A$10:$A$89,$C568,$J$10:$J$89,"&lt;&gt;")=0,"brak danych",VLOOKUP($C568,$A$10:$J$89,10,FALSE)*$F568)))))</x:f>
      </x:c>
      <x:c r="Q568" s="18"/>
    </x:row>
    <x:row r="569" ht="25" customHeight="1">
      <x:c r="A569" s="6"/>
      <x:c r="B569" s="30"/>
      <x:c r="C569" s="5"/>
      <x:c r="D569" s="5"/>
      <x:c r="E569" s="32"/>
      <x:c r="F569" s="32"/>
      <x:c r="G569" s="24" t="str">
        <x:f>IF($A569="","",IF(AND($C569="",$E569=""),"",IF($E569="","brak danych",IF($E569=0,0,IF(COUNTIFS($A$10:$A$89,$C569)&lt;&gt;1,"brak danych",IF(COUNTIFS($A$10:$A$89,$C569,$F$10:$F$89,"&lt;&gt;")=0,"brak danych",VLOOKUP($C569,$A$10:$J$89,6,FALSE)*$E569))))))</x:f>
      </x:c>
      <x:c r="H569" s="25" t="str">
        <x:f>IF($A569="","",IF(AND($C569="",$E569=""),"",IF($E569="","brak danych",IF($E569=0,0,IF(COUNTIFS($A$10:$A$89,$C569)&lt;&gt;1,"brak danych",IF(COUNTIFS($A$10:$A$89,$C569,$G$10:$G$89,"&lt;&gt;")=0,"brak danych",VLOOKUP($C569,$A$10:$J$89,7,FALSE)*$E569))))))</x:f>
      </x:c>
      <x:c r="I569" s="25" t="str">
        <x:f>IF($A569="","",IF(AND($C569="",$E569=""),"",IF($E569="","brak danych",IF($E569=0,0,IF(COUNTIFS($A$10:$A$89,$C569)&lt;&gt;1,"brak danych",IF(COUNTIFS($A$10:$A$89,$C569,$H$10:$H$89,"&lt;&gt;")=0,"brak danych",VLOOKUP($C569,$A$10:$J$89,8,FALSE)*$E569))))))</x:f>
      </x:c>
      <x:c r="J569" s="25" t="str">
        <x:f>IF($A569="","",IF(AND($C569="",$E569=""),"",IF($E569="","brak danych",IF($E569=0,0,IF(COUNTIFS($A$10:$A$89,$C569)&lt;&gt;1,"brak danych",IF(COUNTIFS($A$10:$A$89,$C569,$I$10:$I$89,"&lt;&gt;")=0,"brak danych",VLOOKUP($C569,$A$10:$J$89,9,FALSE)*$E569))))))</x:f>
      </x:c>
      <x:c r="K569" s="25" t="str">
        <x:f>IF($A569="","",IF(AND($C569="",$E569=""),"",IF($E569="","brak danych",IF($E569=0,0,IF(COUNTIFS($A$10:$A$89,$C569)&lt;&gt;1,"brak danych",IF(COUNTIFS($A$10:$A$89,$C569,$J$10:$J$89,"&lt;&gt;")=0,"brak danych",VLOOKUP($C569,$A$10:$J$89,10,FALSE)*$E569))))))</x:f>
      </x:c>
      <x:c r="L569" s="24" t="str">
        <x:f>IF($A569="","",IF($F569="","",IF($F569=0,0,IF(COUNTIFS($A$10:$A$89,$C569)&lt;&gt;1,"brak danych",IF(COUNTIFS($A$10:$A$89,$C569,$F$10:$F$89,"&lt;&gt;")=0,"brak danych",VLOOKUP($C569,$A$10:$J$89,6,FALSE)*$F569)))))</x:f>
      </x:c>
      <x:c r="M569" s="25" t="str">
        <x:f>IF($A569="","",IF($F569="","",IF($F569=0,0,IF(COUNTIFS($A$10:$A$89,$C569)&lt;&gt;1,"brak danych",IF(COUNTIFS($A$10:$A$89,$C569,$G$10:$G$89,"&lt;&gt;")=0,"brak danych",VLOOKUP($C569,$A$10:$J$89,7,FALSE)*$F569)))))</x:f>
      </x:c>
      <x:c r="N569" s="25" t="str">
        <x:f>IF($A569="","",IF($F569="","",IF($F569=0,0,IF(COUNTIFS($A$10:$A$89,$C569)&lt;&gt;1,"brak danych",IF(COUNTIFS($A$10:$A$89,$C569,$H$10:$H$89,"&lt;&gt;")=0,"brak danych",VLOOKUP($C569,$A$10:$J$89,8,FALSE)*$F569)))))</x:f>
      </x:c>
      <x:c r="O569" s="25" t="str">
        <x:f>IF($A569="","",IF($F569="","",IF($F569=0,0,IF(COUNTIFS($A$10:$A$89,$C569)&lt;&gt;1,"brak danych",IF(COUNTIFS($A$10:$A$89,$C569,$I$10:$I$89,"&lt;&gt;")=0,"brak danych",VLOOKUP($C569,$A$10:$J$89,9,FALSE)*$F569)))))</x:f>
      </x:c>
      <x:c r="P569" s="25" t="str">
        <x:f>IF($A569="","",IF($F569="","",IF($F569=0,0,IF(COUNTIFS($A$10:$A$89,$C569)&lt;&gt;1,"brak danych",IF(COUNTIFS($A$10:$A$89,$C569,$J$10:$J$89,"&lt;&gt;")=0,"brak danych",VLOOKUP($C569,$A$10:$J$89,10,FALSE)*$F569)))))</x:f>
      </x:c>
      <x:c r="Q569" s="18"/>
    </x:row>
    <x:row r="570" ht="25" customHeight="1">
      <x:c r="A570" s="6"/>
      <x:c r="B570" s="30"/>
      <x:c r="C570" s="5"/>
      <x:c r="D570" s="5"/>
      <x:c r="E570" s="32"/>
      <x:c r="F570" s="32"/>
      <x:c r="G570" s="24" t="str">
        <x:f>IF($A570="","",IF(AND($C570="",$E570=""),"",IF($E570="","brak danych",IF($E570=0,0,IF(COUNTIFS($A$10:$A$89,$C570)&lt;&gt;1,"brak danych",IF(COUNTIFS($A$10:$A$89,$C570,$F$10:$F$89,"&lt;&gt;")=0,"brak danych",VLOOKUP($C570,$A$10:$J$89,6,FALSE)*$E570))))))</x:f>
      </x:c>
      <x:c r="H570" s="25" t="str">
        <x:f>IF($A570="","",IF(AND($C570="",$E570=""),"",IF($E570="","brak danych",IF($E570=0,0,IF(COUNTIFS($A$10:$A$89,$C570)&lt;&gt;1,"brak danych",IF(COUNTIFS($A$10:$A$89,$C570,$G$10:$G$89,"&lt;&gt;")=0,"brak danych",VLOOKUP($C570,$A$10:$J$89,7,FALSE)*$E570))))))</x:f>
      </x:c>
      <x:c r="I570" s="25" t="str">
        <x:f>IF($A570="","",IF(AND($C570="",$E570=""),"",IF($E570="","brak danych",IF($E570=0,0,IF(COUNTIFS($A$10:$A$89,$C570)&lt;&gt;1,"brak danych",IF(COUNTIFS($A$10:$A$89,$C570,$H$10:$H$89,"&lt;&gt;")=0,"brak danych",VLOOKUP($C570,$A$10:$J$89,8,FALSE)*$E570))))))</x:f>
      </x:c>
      <x:c r="J570" s="25" t="str">
        <x:f>IF($A570="","",IF(AND($C570="",$E570=""),"",IF($E570="","brak danych",IF($E570=0,0,IF(COUNTIFS($A$10:$A$89,$C570)&lt;&gt;1,"brak danych",IF(COUNTIFS($A$10:$A$89,$C570,$I$10:$I$89,"&lt;&gt;")=0,"brak danych",VLOOKUP($C570,$A$10:$J$89,9,FALSE)*$E570))))))</x:f>
      </x:c>
      <x:c r="K570" s="25" t="str">
        <x:f>IF($A570="","",IF(AND($C570="",$E570=""),"",IF($E570="","brak danych",IF($E570=0,0,IF(COUNTIFS($A$10:$A$89,$C570)&lt;&gt;1,"brak danych",IF(COUNTIFS($A$10:$A$89,$C570,$J$10:$J$89,"&lt;&gt;")=0,"brak danych",VLOOKUP($C570,$A$10:$J$89,10,FALSE)*$E570))))))</x:f>
      </x:c>
      <x:c r="L570" s="24" t="str">
        <x:f>IF($A570="","",IF($F570="","",IF($F570=0,0,IF(COUNTIFS($A$10:$A$89,$C570)&lt;&gt;1,"brak danych",IF(COUNTIFS($A$10:$A$89,$C570,$F$10:$F$89,"&lt;&gt;")=0,"brak danych",VLOOKUP($C570,$A$10:$J$89,6,FALSE)*$F570)))))</x:f>
      </x:c>
      <x:c r="M570" s="25" t="str">
        <x:f>IF($A570="","",IF($F570="","",IF($F570=0,0,IF(COUNTIFS($A$10:$A$89,$C570)&lt;&gt;1,"brak danych",IF(COUNTIFS($A$10:$A$89,$C570,$G$10:$G$89,"&lt;&gt;")=0,"brak danych",VLOOKUP($C570,$A$10:$J$89,7,FALSE)*$F570)))))</x:f>
      </x:c>
      <x:c r="N570" s="25" t="str">
        <x:f>IF($A570="","",IF($F570="","",IF($F570=0,0,IF(COUNTIFS($A$10:$A$89,$C570)&lt;&gt;1,"brak danych",IF(COUNTIFS($A$10:$A$89,$C570,$H$10:$H$89,"&lt;&gt;")=0,"brak danych",VLOOKUP($C570,$A$10:$J$89,8,FALSE)*$F570)))))</x:f>
      </x:c>
      <x:c r="O570" s="25" t="str">
        <x:f>IF($A570="","",IF($F570="","",IF($F570=0,0,IF(COUNTIFS($A$10:$A$89,$C570)&lt;&gt;1,"brak danych",IF(COUNTIFS($A$10:$A$89,$C570,$I$10:$I$89,"&lt;&gt;")=0,"brak danych",VLOOKUP($C570,$A$10:$J$89,9,FALSE)*$F570)))))</x:f>
      </x:c>
      <x:c r="P570" s="25" t="str">
        <x:f>IF($A570="","",IF($F570="","",IF($F570=0,0,IF(COUNTIFS($A$10:$A$89,$C570)&lt;&gt;1,"brak danych",IF(COUNTIFS($A$10:$A$89,$C570,$J$10:$J$89,"&lt;&gt;")=0,"brak danych",VLOOKUP($C570,$A$10:$J$89,10,FALSE)*$F570)))))</x:f>
      </x:c>
      <x:c r="Q570" s="18"/>
    </x:row>
    <x:row r="571" ht="25" customHeight="1">
      <x:c r="A571" s="6"/>
      <x:c r="B571" s="30"/>
      <x:c r="C571" s="5"/>
      <x:c r="D571" s="5"/>
      <x:c r="E571" s="32"/>
      <x:c r="F571" s="32"/>
      <x:c r="G571" s="24" t="str">
        <x:f>IF($A571="","",IF(AND($C571="",$E571=""),"",IF($E571="","brak danych",IF($E571=0,0,IF(COUNTIFS($A$10:$A$89,$C571)&lt;&gt;1,"brak danych",IF(COUNTIFS($A$10:$A$89,$C571,$F$10:$F$89,"&lt;&gt;")=0,"brak danych",VLOOKUP($C571,$A$10:$J$89,6,FALSE)*$E571))))))</x:f>
      </x:c>
      <x:c r="H571" s="25" t="str">
        <x:f>IF($A571="","",IF(AND($C571="",$E571=""),"",IF($E571="","brak danych",IF($E571=0,0,IF(COUNTIFS($A$10:$A$89,$C571)&lt;&gt;1,"brak danych",IF(COUNTIFS($A$10:$A$89,$C571,$G$10:$G$89,"&lt;&gt;")=0,"brak danych",VLOOKUP($C571,$A$10:$J$89,7,FALSE)*$E571))))))</x:f>
      </x:c>
      <x:c r="I571" s="25" t="str">
        <x:f>IF($A571="","",IF(AND($C571="",$E571=""),"",IF($E571="","brak danych",IF($E571=0,0,IF(COUNTIFS($A$10:$A$89,$C571)&lt;&gt;1,"brak danych",IF(COUNTIFS($A$10:$A$89,$C571,$H$10:$H$89,"&lt;&gt;")=0,"brak danych",VLOOKUP($C571,$A$10:$J$89,8,FALSE)*$E571))))))</x:f>
      </x:c>
      <x:c r="J571" s="25" t="str">
        <x:f>IF($A571="","",IF(AND($C571="",$E571=""),"",IF($E571="","brak danych",IF($E571=0,0,IF(COUNTIFS($A$10:$A$89,$C571)&lt;&gt;1,"brak danych",IF(COUNTIFS($A$10:$A$89,$C571,$I$10:$I$89,"&lt;&gt;")=0,"brak danych",VLOOKUP($C571,$A$10:$J$89,9,FALSE)*$E571))))))</x:f>
      </x:c>
      <x:c r="K571" s="25" t="str">
        <x:f>IF($A571="","",IF(AND($C571="",$E571=""),"",IF($E571="","brak danych",IF($E571=0,0,IF(COUNTIFS($A$10:$A$89,$C571)&lt;&gt;1,"brak danych",IF(COUNTIFS($A$10:$A$89,$C571,$J$10:$J$89,"&lt;&gt;")=0,"brak danych",VLOOKUP($C571,$A$10:$J$89,10,FALSE)*$E571))))))</x:f>
      </x:c>
      <x:c r="L571" s="24" t="str">
        <x:f>IF($A571="","",IF($F571="","",IF($F571=0,0,IF(COUNTIFS($A$10:$A$89,$C571)&lt;&gt;1,"brak danych",IF(COUNTIFS($A$10:$A$89,$C571,$F$10:$F$89,"&lt;&gt;")=0,"brak danych",VLOOKUP($C571,$A$10:$J$89,6,FALSE)*$F571)))))</x:f>
      </x:c>
      <x:c r="M571" s="25" t="str">
        <x:f>IF($A571="","",IF($F571="","",IF($F571=0,0,IF(COUNTIFS($A$10:$A$89,$C571)&lt;&gt;1,"brak danych",IF(COUNTIFS($A$10:$A$89,$C571,$G$10:$G$89,"&lt;&gt;")=0,"brak danych",VLOOKUP($C571,$A$10:$J$89,7,FALSE)*$F571)))))</x:f>
      </x:c>
      <x:c r="N571" s="25" t="str">
        <x:f>IF($A571="","",IF($F571="","",IF($F571=0,0,IF(COUNTIFS($A$10:$A$89,$C571)&lt;&gt;1,"brak danych",IF(COUNTIFS($A$10:$A$89,$C571,$H$10:$H$89,"&lt;&gt;")=0,"brak danych",VLOOKUP($C571,$A$10:$J$89,8,FALSE)*$F571)))))</x:f>
      </x:c>
      <x:c r="O571" s="25" t="str">
        <x:f>IF($A571="","",IF($F571="","",IF($F571=0,0,IF(COUNTIFS($A$10:$A$89,$C571)&lt;&gt;1,"brak danych",IF(COUNTIFS($A$10:$A$89,$C571,$I$10:$I$89,"&lt;&gt;")=0,"brak danych",VLOOKUP($C571,$A$10:$J$89,9,FALSE)*$F571)))))</x:f>
      </x:c>
      <x:c r="P571" s="25" t="str">
        <x:f>IF($A571="","",IF($F571="","",IF($F571=0,0,IF(COUNTIFS($A$10:$A$89,$C571)&lt;&gt;1,"brak danych",IF(COUNTIFS($A$10:$A$89,$C571,$J$10:$J$89,"&lt;&gt;")=0,"brak danych",VLOOKUP($C571,$A$10:$J$89,10,FALSE)*$F571)))))</x:f>
      </x:c>
      <x:c r="Q571" s="18"/>
    </x:row>
    <x:row r="572" ht="25" customHeight="1">
      <x:c r="A572" s="6"/>
      <x:c r="B572" s="30"/>
      <x:c r="C572" s="5"/>
      <x:c r="D572" s="5"/>
      <x:c r="E572" s="32"/>
      <x:c r="F572" s="32"/>
      <x:c r="G572" s="24" t="str">
        <x:f>IF($A572="","",IF(AND($C572="",$E572=""),"",IF($E572="","brak danych",IF($E572=0,0,IF(COUNTIFS($A$10:$A$89,$C572)&lt;&gt;1,"brak danych",IF(COUNTIFS($A$10:$A$89,$C572,$F$10:$F$89,"&lt;&gt;")=0,"brak danych",VLOOKUP($C572,$A$10:$J$89,6,FALSE)*$E572))))))</x:f>
      </x:c>
      <x:c r="H572" s="25" t="str">
        <x:f>IF($A572="","",IF(AND($C572="",$E572=""),"",IF($E572="","brak danych",IF($E572=0,0,IF(COUNTIFS($A$10:$A$89,$C572)&lt;&gt;1,"brak danych",IF(COUNTIFS($A$10:$A$89,$C572,$G$10:$G$89,"&lt;&gt;")=0,"brak danych",VLOOKUP($C572,$A$10:$J$89,7,FALSE)*$E572))))))</x:f>
      </x:c>
      <x:c r="I572" s="25" t="str">
        <x:f>IF($A572="","",IF(AND($C572="",$E572=""),"",IF($E572="","brak danych",IF($E572=0,0,IF(COUNTIFS($A$10:$A$89,$C572)&lt;&gt;1,"brak danych",IF(COUNTIFS($A$10:$A$89,$C572,$H$10:$H$89,"&lt;&gt;")=0,"brak danych",VLOOKUP($C572,$A$10:$J$89,8,FALSE)*$E572))))))</x:f>
      </x:c>
      <x:c r="J572" s="25" t="str">
        <x:f>IF($A572="","",IF(AND($C572="",$E572=""),"",IF($E572="","brak danych",IF($E572=0,0,IF(COUNTIFS($A$10:$A$89,$C572)&lt;&gt;1,"brak danych",IF(COUNTIFS($A$10:$A$89,$C572,$I$10:$I$89,"&lt;&gt;")=0,"brak danych",VLOOKUP($C572,$A$10:$J$89,9,FALSE)*$E572))))))</x:f>
      </x:c>
      <x:c r="K572" s="25" t="str">
        <x:f>IF($A572="","",IF(AND($C572="",$E572=""),"",IF($E572="","brak danych",IF($E572=0,0,IF(COUNTIFS($A$10:$A$89,$C572)&lt;&gt;1,"brak danych",IF(COUNTIFS($A$10:$A$89,$C572,$J$10:$J$89,"&lt;&gt;")=0,"brak danych",VLOOKUP($C572,$A$10:$J$89,10,FALSE)*$E572))))))</x:f>
      </x:c>
      <x:c r="L572" s="24" t="str">
        <x:f>IF($A572="","",IF($F572="","",IF($F572=0,0,IF(COUNTIFS($A$10:$A$89,$C572)&lt;&gt;1,"brak danych",IF(COUNTIFS($A$10:$A$89,$C572,$F$10:$F$89,"&lt;&gt;")=0,"brak danych",VLOOKUP($C572,$A$10:$J$89,6,FALSE)*$F572)))))</x:f>
      </x:c>
      <x:c r="M572" s="25" t="str">
        <x:f>IF($A572="","",IF($F572="","",IF($F572=0,0,IF(COUNTIFS($A$10:$A$89,$C572)&lt;&gt;1,"brak danych",IF(COUNTIFS($A$10:$A$89,$C572,$G$10:$G$89,"&lt;&gt;")=0,"brak danych",VLOOKUP($C572,$A$10:$J$89,7,FALSE)*$F572)))))</x:f>
      </x:c>
      <x:c r="N572" s="25" t="str">
        <x:f>IF($A572="","",IF($F572="","",IF($F572=0,0,IF(COUNTIFS($A$10:$A$89,$C572)&lt;&gt;1,"brak danych",IF(COUNTIFS($A$10:$A$89,$C572,$H$10:$H$89,"&lt;&gt;")=0,"brak danych",VLOOKUP($C572,$A$10:$J$89,8,FALSE)*$F572)))))</x:f>
      </x:c>
      <x:c r="O572" s="25" t="str">
        <x:f>IF($A572="","",IF($F572="","",IF($F572=0,0,IF(COUNTIFS($A$10:$A$89,$C572)&lt;&gt;1,"brak danych",IF(COUNTIFS($A$10:$A$89,$C572,$I$10:$I$89,"&lt;&gt;")=0,"brak danych",VLOOKUP($C572,$A$10:$J$89,9,FALSE)*$F572)))))</x:f>
      </x:c>
      <x:c r="P572" s="25" t="str">
        <x:f>IF($A572="","",IF($F572="","",IF($F572=0,0,IF(COUNTIFS($A$10:$A$89,$C572)&lt;&gt;1,"brak danych",IF(COUNTIFS($A$10:$A$89,$C572,$J$10:$J$89,"&lt;&gt;")=0,"brak danych",VLOOKUP($C572,$A$10:$J$89,10,FALSE)*$F572)))))</x:f>
      </x:c>
      <x:c r="Q572" s="18"/>
    </x:row>
    <x:row r="573" ht="25" customHeight="1">
      <x:c r="A573" s="6"/>
      <x:c r="B573" s="30"/>
      <x:c r="C573" s="5"/>
      <x:c r="D573" s="5"/>
      <x:c r="E573" s="32"/>
      <x:c r="F573" s="32"/>
      <x:c r="G573" s="24" t="str">
        <x:f>IF($A573="","",IF(AND($C573="",$E573=""),"",IF($E573="","brak danych",IF($E573=0,0,IF(COUNTIFS($A$10:$A$89,$C573)&lt;&gt;1,"brak danych",IF(COUNTIFS($A$10:$A$89,$C573,$F$10:$F$89,"&lt;&gt;")=0,"brak danych",VLOOKUP($C573,$A$10:$J$89,6,FALSE)*$E573))))))</x:f>
      </x:c>
      <x:c r="H573" s="25" t="str">
        <x:f>IF($A573="","",IF(AND($C573="",$E573=""),"",IF($E573="","brak danych",IF($E573=0,0,IF(COUNTIFS($A$10:$A$89,$C573)&lt;&gt;1,"brak danych",IF(COUNTIFS($A$10:$A$89,$C573,$G$10:$G$89,"&lt;&gt;")=0,"brak danych",VLOOKUP($C573,$A$10:$J$89,7,FALSE)*$E573))))))</x:f>
      </x:c>
      <x:c r="I573" s="25" t="str">
        <x:f>IF($A573="","",IF(AND($C573="",$E573=""),"",IF($E573="","brak danych",IF($E573=0,0,IF(COUNTIFS($A$10:$A$89,$C573)&lt;&gt;1,"brak danych",IF(COUNTIFS($A$10:$A$89,$C573,$H$10:$H$89,"&lt;&gt;")=0,"brak danych",VLOOKUP($C573,$A$10:$J$89,8,FALSE)*$E573))))))</x:f>
      </x:c>
      <x:c r="J573" s="25" t="str">
        <x:f>IF($A573="","",IF(AND($C573="",$E573=""),"",IF($E573="","brak danych",IF($E573=0,0,IF(COUNTIFS($A$10:$A$89,$C573)&lt;&gt;1,"brak danych",IF(COUNTIFS($A$10:$A$89,$C573,$I$10:$I$89,"&lt;&gt;")=0,"brak danych",VLOOKUP($C573,$A$10:$J$89,9,FALSE)*$E573))))))</x:f>
      </x:c>
      <x:c r="K573" s="25" t="str">
        <x:f>IF($A573="","",IF(AND($C573="",$E573=""),"",IF($E573="","brak danych",IF($E573=0,0,IF(COUNTIFS($A$10:$A$89,$C573)&lt;&gt;1,"brak danych",IF(COUNTIFS($A$10:$A$89,$C573,$J$10:$J$89,"&lt;&gt;")=0,"brak danych",VLOOKUP($C573,$A$10:$J$89,10,FALSE)*$E573))))))</x:f>
      </x:c>
      <x:c r="L573" s="24" t="str">
        <x:f>IF($A573="","",IF($F573="","",IF($F573=0,0,IF(COUNTIFS($A$10:$A$89,$C573)&lt;&gt;1,"brak danych",IF(COUNTIFS($A$10:$A$89,$C573,$F$10:$F$89,"&lt;&gt;")=0,"brak danych",VLOOKUP($C573,$A$10:$J$89,6,FALSE)*$F573)))))</x:f>
      </x:c>
      <x:c r="M573" s="25" t="str">
        <x:f>IF($A573="","",IF($F573="","",IF($F573=0,0,IF(COUNTIFS($A$10:$A$89,$C573)&lt;&gt;1,"brak danych",IF(COUNTIFS($A$10:$A$89,$C573,$G$10:$G$89,"&lt;&gt;")=0,"brak danych",VLOOKUP($C573,$A$10:$J$89,7,FALSE)*$F573)))))</x:f>
      </x:c>
      <x:c r="N573" s="25" t="str">
        <x:f>IF($A573="","",IF($F573="","",IF($F573=0,0,IF(COUNTIFS($A$10:$A$89,$C573)&lt;&gt;1,"brak danych",IF(COUNTIFS($A$10:$A$89,$C573,$H$10:$H$89,"&lt;&gt;")=0,"brak danych",VLOOKUP($C573,$A$10:$J$89,8,FALSE)*$F573)))))</x:f>
      </x:c>
      <x:c r="O573" s="25" t="str">
        <x:f>IF($A573="","",IF($F573="","",IF($F573=0,0,IF(COUNTIFS($A$10:$A$89,$C573)&lt;&gt;1,"brak danych",IF(COUNTIFS($A$10:$A$89,$C573,$I$10:$I$89,"&lt;&gt;")=0,"brak danych",VLOOKUP($C573,$A$10:$J$89,9,FALSE)*$F573)))))</x:f>
      </x:c>
      <x:c r="P573" s="25" t="str">
        <x:f>IF($A573="","",IF($F573="","",IF($F573=0,0,IF(COUNTIFS($A$10:$A$89,$C573)&lt;&gt;1,"brak danych",IF(COUNTIFS($A$10:$A$89,$C573,$J$10:$J$89,"&lt;&gt;")=0,"brak danych",VLOOKUP($C573,$A$10:$J$89,10,FALSE)*$F573)))))</x:f>
      </x:c>
      <x:c r="Q573" s="18"/>
    </x:row>
    <x:row r="574" ht="25" customHeight="1">
      <x:c r="A574" s="6"/>
      <x:c r="B574" s="30"/>
      <x:c r="C574" s="5"/>
      <x:c r="D574" s="5"/>
      <x:c r="E574" s="32"/>
      <x:c r="F574" s="32"/>
      <x:c r="G574" s="24" t="str">
        <x:f>IF($A574="","",IF(AND($C574="",$E574=""),"",IF($E574="","brak danych",IF($E574=0,0,IF(COUNTIFS($A$10:$A$89,$C574)&lt;&gt;1,"brak danych",IF(COUNTIFS($A$10:$A$89,$C574,$F$10:$F$89,"&lt;&gt;")=0,"brak danych",VLOOKUP($C574,$A$10:$J$89,6,FALSE)*$E574))))))</x:f>
      </x:c>
      <x:c r="H574" s="25" t="str">
        <x:f>IF($A574="","",IF(AND($C574="",$E574=""),"",IF($E574="","brak danych",IF($E574=0,0,IF(COUNTIFS($A$10:$A$89,$C574)&lt;&gt;1,"brak danych",IF(COUNTIFS($A$10:$A$89,$C574,$G$10:$G$89,"&lt;&gt;")=0,"brak danych",VLOOKUP($C574,$A$10:$J$89,7,FALSE)*$E574))))))</x:f>
      </x:c>
      <x:c r="I574" s="25" t="str">
        <x:f>IF($A574="","",IF(AND($C574="",$E574=""),"",IF($E574="","brak danych",IF($E574=0,0,IF(COUNTIFS($A$10:$A$89,$C574)&lt;&gt;1,"brak danych",IF(COUNTIFS($A$10:$A$89,$C574,$H$10:$H$89,"&lt;&gt;")=0,"brak danych",VLOOKUP($C574,$A$10:$J$89,8,FALSE)*$E574))))))</x:f>
      </x:c>
      <x:c r="J574" s="25" t="str">
        <x:f>IF($A574="","",IF(AND($C574="",$E574=""),"",IF($E574="","brak danych",IF($E574=0,0,IF(COUNTIFS($A$10:$A$89,$C574)&lt;&gt;1,"brak danych",IF(COUNTIFS($A$10:$A$89,$C574,$I$10:$I$89,"&lt;&gt;")=0,"brak danych",VLOOKUP($C574,$A$10:$J$89,9,FALSE)*$E574))))))</x:f>
      </x:c>
      <x:c r="K574" s="25" t="str">
        <x:f>IF($A574="","",IF(AND($C574="",$E574=""),"",IF($E574="","brak danych",IF($E574=0,0,IF(COUNTIFS($A$10:$A$89,$C574)&lt;&gt;1,"brak danych",IF(COUNTIFS($A$10:$A$89,$C574,$J$10:$J$89,"&lt;&gt;")=0,"brak danych",VLOOKUP($C574,$A$10:$J$89,10,FALSE)*$E574))))))</x:f>
      </x:c>
      <x:c r="L574" s="24" t="str">
        <x:f>IF($A574="","",IF($F574="","",IF($F574=0,0,IF(COUNTIFS($A$10:$A$89,$C574)&lt;&gt;1,"brak danych",IF(COUNTIFS($A$10:$A$89,$C574,$F$10:$F$89,"&lt;&gt;")=0,"brak danych",VLOOKUP($C574,$A$10:$J$89,6,FALSE)*$F574)))))</x:f>
      </x:c>
      <x:c r="M574" s="25" t="str">
        <x:f>IF($A574="","",IF($F574="","",IF($F574=0,0,IF(COUNTIFS($A$10:$A$89,$C574)&lt;&gt;1,"brak danych",IF(COUNTIFS($A$10:$A$89,$C574,$G$10:$G$89,"&lt;&gt;")=0,"brak danych",VLOOKUP($C574,$A$10:$J$89,7,FALSE)*$F574)))))</x:f>
      </x:c>
      <x:c r="N574" s="25" t="str">
        <x:f>IF($A574="","",IF($F574="","",IF($F574=0,0,IF(COUNTIFS($A$10:$A$89,$C574)&lt;&gt;1,"brak danych",IF(COUNTIFS($A$10:$A$89,$C574,$H$10:$H$89,"&lt;&gt;")=0,"brak danych",VLOOKUP($C574,$A$10:$J$89,8,FALSE)*$F574)))))</x:f>
      </x:c>
      <x:c r="O574" s="25" t="str">
        <x:f>IF($A574="","",IF($F574="","",IF($F574=0,0,IF(COUNTIFS($A$10:$A$89,$C574)&lt;&gt;1,"brak danych",IF(COUNTIFS($A$10:$A$89,$C574,$I$10:$I$89,"&lt;&gt;")=0,"brak danych",VLOOKUP($C574,$A$10:$J$89,9,FALSE)*$F574)))))</x:f>
      </x:c>
      <x:c r="P574" s="25" t="str">
        <x:f>IF($A574="","",IF($F574="","",IF($F574=0,0,IF(COUNTIFS($A$10:$A$89,$C574)&lt;&gt;1,"brak danych",IF(COUNTIFS($A$10:$A$89,$C574,$J$10:$J$89,"&lt;&gt;")=0,"brak danych",VLOOKUP($C574,$A$10:$J$89,10,FALSE)*$F574)))))</x:f>
      </x:c>
      <x:c r="Q574" s="18"/>
    </x:row>
    <x:row r="575" ht="25" customHeight="1">
      <x:c r="A575" s="6"/>
      <x:c r="B575" s="30"/>
      <x:c r="C575" s="5"/>
      <x:c r="D575" s="5"/>
      <x:c r="E575" s="32"/>
      <x:c r="F575" s="32"/>
      <x:c r="G575" s="24" t="str">
        <x:f>IF($A575="","",IF(AND($C575="",$E575=""),"",IF($E575="","brak danych",IF($E575=0,0,IF(COUNTIFS($A$10:$A$89,$C575)&lt;&gt;1,"brak danych",IF(COUNTIFS($A$10:$A$89,$C575,$F$10:$F$89,"&lt;&gt;")=0,"brak danych",VLOOKUP($C575,$A$10:$J$89,6,FALSE)*$E575))))))</x:f>
      </x:c>
      <x:c r="H575" s="25" t="str">
        <x:f>IF($A575="","",IF(AND($C575="",$E575=""),"",IF($E575="","brak danych",IF($E575=0,0,IF(COUNTIFS($A$10:$A$89,$C575)&lt;&gt;1,"brak danych",IF(COUNTIFS($A$10:$A$89,$C575,$G$10:$G$89,"&lt;&gt;")=0,"brak danych",VLOOKUP($C575,$A$10:$J$89,7,FALSE)*$E575))))))</x:f>
      </x:c>
      <x:c r="I575" s="25" t="str">
        <x:f>IF($A575="","",IF(AND($C575="",$E575=""),"",IF($E575="","brak danych",IF($E575=0,0,IF(COUNTIFS($A$10:$A$89,$C575)&lt;&gt;1,"brak danych",IF(COUNTIFS($A$10:$A$89,$C575,$H$10:$H$89,"&lt;&gt;")=0,"brak danych",VLOOKUP($C575,$A$10:$J$89,8,FALSE)*$E575))))))</x:f>
      </x:c>
      <x:c r="J575" s="25" t="str">
        <x:f>IF($A575="","",IF(AND($C575="",$E575=""),"",IF($E575="","brak danych",IF($E575=0,0,IF(COUNTIFS($A$10:$A$89,$C575)&lt;&gt;1,"brak danych",IF(COUNTIFS($A$10:$A$89,$C575,$I$10:$I$89,"&lt;&gt;")=0,"brak danych",VLOOKUP($C575,$A$10:$J$89,9,FALSE)*$E575))))))</x:f>
      </x:c>
      <x:c r="K575" s="25" t="str">
        <x:f>IF($A575="","",IF(AND($C575="",$E575=""),"",IF($E575="","brak danych",IF($E575=0,0,IF(COUNTIFS($A$10:$A$89,$C575)&lt;&gt;1,"brak danych",IF(COUNTIFS($A$10:$A$89,$C575,$J$10:$J$89,"&lt;&gt;")=0,"brak danych",VLOOKUP($C575,$A$10:$J$89,10,FALSE)*$E575))))))</x:f>
      </x:c>
      <x:c r="L575" s="24" t="str">
        <x:f>IF($A575="","",IF($F575="","",IF($F575=0,0,IF(COUNTIFS($A$10:$A$89,$C575)&lt;&gt;1,"brak danych",IF(COUNTIFS($A$10:$A$89,$C575,$F$10:$F$89,"&lt;&gt;")=0,"brak danych",VLOOKUP($C575,$A$10:$J$89,6,FALSE)*$F575)))))</x:f>
      </x:c>
      <x:c r="M575" s="25" t="str">
        <x:f>IF($A575="","",IF($F575="","",IF($F575=0,0,IF(COUNTIFS($A$10:$A$89,$C575)&lt;&gt;1,"brak danych",IF(COUNTIFS($A$10:$A$89,$C575,$G$10:$G$89,"&lt;&gt;")=0,"brak danych",VLOOKUP($C575,$A$10:$J$89,7,FALSE)*$F575)))))</x:f>
      </x:c>
      <x:c r="N575" s="25" t="str">
        <x:f>IF($A575="","",IF($F575="","",IF($F575=0,0,IF(COUNTIFS($A$10:$A$89,$C575)&lt;&gt;1,"brak danych",IF(COUNTIFS($A$10:$A$89,$C575,$H$10:$H$89,"&lt;&gt;")=0,"brak danych",VLOOKUP($C575,$A$10:$J$89,8,FALSE)*$F575)))))</x:f>
      </x:c>
      <x:c r="O575" s="25" t="str">
        <x:f>IF($A575="","",IF($F575="","",IF($F575=0,0,IF(COUNTIFS($A$10:$A$89,$C575)&lt;&gt;1,"brak danych",IF(COUNTIFS($A$10:$A$89,$C575,$I$10:$I$89,"&lt;&gt;")=0,"brak danych",VLOOKUP($C575,$A$10:$J$89,9,FALSE)*$F575)))))</x:f>
      </x:c>
      <x:c r="P575" s="25" t="str">
        <x:f>IF($A575="","",IF($F575="","",IF($F575=0,0,IF(COUNTIFS($A$10:$A$89,$C575)&lt;&gt;1,"brak danych",IF(COUNTIFS($A$10:$A$89,$C575,$J$10:$J$89,"&lt;&gt;")=0,"brak danych",VLOOKUP($C575,$A$10:$J$89,10,FALSE)*$F575)))))</x:f>
      </x:c>
      <x:c r="Q575" s="18"/>
    </x:row>
    <x:row r="576" ht="25" customHeight="1">
      <x:c r="A576" s="6"/>
      <x:c r="B576" s="30"/>
      <x:c r="C576" s="5"/>
      <x:c r="D576" s="5"/>
      <x:c r="E576" s="32"/>
      <x:c r="F576" s="32"/>
      <x:c r="G576" s="24" t="str">
        <x:f>IF($A576="","",IF(AND($C576="",$E576=""),"",IF($E576="","brak danych",IF($E576=0,0,IF(COUNTIFS($A$10:$A$89,$C576)&lt;&gt;1,"brak danych",IF(COUNTIFS($A$10:$A$89,$C576,$F$10:$F$89,"&lt;&gt;")=0,"brak danych",VLOOKUP($C576,$A$10:$J$89,6,FALSE)*$E576))))))</x:f>
      </x:c>
      <x:c r="H576" s="25" t="str">
        <x:f>IF($A576="","",IF(AND($C576="",$E576=""),"",IF($E576="","brak danych",IF($E576=0,0,IF(COUNTIFS($A$10:$A$89,$C576)&lt;&gt;1,"brak danych",IF(COUNTIFS($A$10:$A$89,$C576,$G$10:$G$89,"&lt;&gt;")=0,"brak danych",VLOOKUP($C576,$A$10:$J$89,7,FALSE)*$E576))))))</x:f>
      </x:c>
      <x:c r="I576" s="25" t="str">
        <x:f>IF($A576="","",IF(AND($C576="",$E576=""),"",IF($E576="","brak danych",IF($E576=0,0,IF(COUNTIFS($A$10:$A$89,$C576)&lt;&gt;1,"brak danych",IF(COUNTIFS($A$10:$A$89,$C576,$H$10:$H$89,"&lt;&gt;")=0,"brak danych",VLOOKUP($C576,$A$10:$J$89,8,FALSE)*$E576))))))</x:f>
      </x:c>
      <x:c r="J576" s="25" t="str">
        <x:f>IF($A576="","",IF(AND($C576="",$E576=""),"",IF($E576="","brak danych",IF($E576=0,0,IF(COUNTIFS($A$10:$A$89,$C576)&lt;&gt;1,"brak danych",IF(COUNTIFS($A$10:$A$89,$C576,$I$10:$I$89,"&lt;&gt;")=0,"brak danych",VLOOKUP($C576,$A$10:$J$89,9,FALSE)*$E576))))))</x:f>
      </x:c>
      <x:c r="K576" s="25" t="str">
        <x:f>IF($A576="","",IF(AND($C576="",$E576=""),"",IF($E576="","brak danych",IF($E576=0,0,IF(COUNTIFS($A$10:$A$89,$C576)&lt;&gt;1,"brak danych",IF(COUNTIFS($A$10:$A$89,$C576,$J$10:$J$89,"&lt;&gt;")=0,"brak danych",VLOOKUP($C576,$A$10:$J$89,10,FALSE)*$E576))))))</x:f>
      </x:c>
      <x:c r="L576" s="24" t="str">
        <x:f>IF($A576="","",IF($F576="","",IF($F576=0,0,IF(COUNTIFS($A$10:$A$89,$C576)&lt;&gt;1,"brak danych",IF(COUNTIFS($A$10:$A$89,$C576,$F$10:$F$89,"&lt;&gt;")=0,"brak danych",VLOOKUP($C576,$A$10:$J$89,6,FALSE)*$F576)))))</x:f>
      </x:c>
      <x:c r="M576" s="25" t="str">
        <x:f>IF($A576="","",IF($F576="","",IF($F576=0,0,IF(COUNTIFS($A$10:$A$89,$C576)&lt;&gt;1,"brak danych",IF(COUNTIFS($A$10:$A$89,$C576,$G$10:$G$89,"&lt;&gt;")=0,"brak danych",VLOOKUP($C576,$A$10:$J$89,7,FALSE)*$F576)))))</x:f>
      </x:c>
      <x:c r="N576" s="25" t="str">
        <x:f>IF($A576="","",IF($F576="","",IF($F576=0,0,IF(COUNTIFS($A$10:$A$89,$C576)&lt;&gt;1,"brak danych",IF(COUNTIFS($A$10:$A$89,$C576,$H$10:$H$89,"&lt;&gt;")=0,"brak danych",VLOOKUP($C576,$A$10:$J$89,8,FALSE)*$F576)))))</x:f>
      </x:c>
      <x:c r="O576" s="25" t="str">
        <x:f>IF($A576="","",IF($F576="","",IF($F576=0,0,IF(COUNTIFS($A$10:$A$89,$C576)&lt;&gt;1,"brak danych",IF(COUNTIFS($A$10:$A$89,$C576,$I$10:$I$89,"&lt;&gt;")=0,"brak danych",VLOOKUP($C576,$A$10:$J$89,9,FALSE)*$F576)))))</x:f>
      </x:c>
      <x:c r="P576" s="25" t="str">
        <x:f>IF($A576="","",IF($F576="","",IF($F576=0,0,IF(COUNTIFS($A$10:$A$89,$C576)&lt;&gt;1,"brak danych",IF(COUNTIFS($A$10:$A$89,$C576,$J$10:$J$89,"&lt;&gt;")=0,"brak danych",VLOOKUP($C576,$A$10:$J$89,10,FALSE)*$F576)))))</x:f>
      </x:c>
      <x:c r="Q576" s="18"/>
    </x:row>
    <x:row r="577" ht="25" customHeight="1">
      <x:c r="A577" s="6"/>
      <x:c r="B577" s="30"/>
      <x:c r="C577" s="5"/>
      <x:c r="D577" s="5"/>
      <x:c r="E577" s="32"/>
      <x:c r="F577" s="32"/>
      <x:c r="G577" s="24" t="str">
        <x:f>IF($A577="","",IF(AND($C577="",$E577=""),"",IF($E577="","brak danych",IF($E577=0,0,IF(COUNTIFS($A$10:$A$89,$C577)&lt;&gt;1,"brak danych",IF(COUNTIFS($A$10:$A$89,$C577,$F$10:$F$89,"&lt;&gt;")=0,"brak danych",VLOOKUP($C577,$A$10:$J$89,6,FALSE)*$E577))))))</x:f>
      </x:c>
      <x:c r="H577" s="25" t="str">
        <x:f>IF($A577="","",IF(AND($C577="",$E577=""),"",IF($E577="","brak danych",IF($E577=0,0,IF(COUNTIFS($A$10:$A$89,$C577)&lt;&gt;1,"brak danych",IF(COUNTIFS($A$10:$A$89,$C577,$G$10:$G$89,"&lt;&gt;")=0,"brak danych",VLOOKUP($C577,$A$10:$J$89,7,FALSE)*$E577))))))</x:f>
      </x:c>
      <x:c r="I577" s="25" t="str">
        <x:f>IF($A577="","",IF(AND($C577="",$E577=""),"",IF($E577="","brak danych",IF($E577=0,0,IF(COUNTIFS($A$10:$A$89,$C577)&lt;&gt;1,"brak danych",IF(COUNTIFS($A$10:$A$89,$C577,$H$10:$H$89,"&lt;&gt;")=0,"brak danych",VLOOKUP($C577,$A$10:$J$89,8,FALSE)*$E577))))))</x:f>
      </x:c>
      <x:c r="J577" s="25" t="str">
        <x:f>IF($A577="","",IF(AND($C577="",$E577=""),"",IF($E577="","brak danych",IF($E577=0,0,IF(COUNTIFS($A$10:$A$89,$C577)&lt;&gt;1,"brak danych",IF(COUNTIFS($A$10:$A$89,$C577,$I$10:$I$89,"&lt;&gt;")=0,"brak danych",VLOOKUP($C577,$A$10:$J$89,9,FALSE)*$E577))))))</x:f>
      </x:c>
      <x:c r="K577" s="25" t="str">
        <x:f>IF($A577="","",IF(AND($C577="",$E577=""),"",IF($E577="","brak danych",IF($E577=0,0,IF(COUNTIFS($A$10:$A$89,$C577)&lt;&gt;1,"brak danych",IF(COUNTIFS($A$10:$A$89,$C577,$J$10:$J$89,"&lt;&gt;")=0,"brak danych",VLOOKUP($C577,$A$10:$J$89,10,FALSE)*$E577))))))</x:f>
      </x:c>
      <x:c r="L577" s="24" t="str">
        <x:f>IF($A577="","",IF($F577="","",IF($F577=0,0,IF(COUNTIFS($A$10:$A$89,$C577)&lt;&gt;1,"brak danych",IF(COUNTIFS($A$10:$A$89,$C577,$F$10:$F$89,"&lt;&gt;")=0,"brak danych",VLOOKUP($C577,$A$10:$J$89,6,FALSE)*$F577)))))</x:f>
      </x:c>
      <x:c r="M577" s="25" t="str">
        <x:f>IF($A577="","",IF($F577="","",IF($F577=0,0,IF(COUNTIFS($A$10:$A$89,$C577)&lt;&gt;1,"brak danych",IF(COUNTIFS($A$10:$A$89,$C577,$G$10:$G$89,"&lt;&gt;")=0,"brak danych",VLOOKUP($C577,$A$10:$J$89,7,FALSE)*$F577)))))</x:f>
      </x:c>
      <x:c r="N577" s="25" t="str">
        <x:f>IF($A577="","",IF($F577="","",IF($F577=0,0,IF(COUNTIFS($A$10:$A$89,$C577)&lt;&gt;1,"brak danych",IF(COUNTIFS($A$10:$A$89,$C577,$H$10:$H$89,"&lt;&gt;")=0,"brak danych",VLOOKUP($C577,$A$10:$J$89,8,FALSE)*$F577)))))</x:f>
      </x:c>
      <x:c r="O577" s="25" t="str">
        <x:f>IF($A577="","",IF($F577="","",IF($F577=0,0,IF(COUNTIFS($A$10:$A$89,$C577)&lt;&gt;1,"brak danych",IF(COUNTIFS($A$10:$A$89,$C577,$I$10:$I$89,"&lt;&gt;")=0,"brak danych",VLOOKUP($C577,$A$10:$J$89,9,FALSE)*$F577)))))</x:f>
      </x:c>
      <x:c r="P577" s="25" t="str">
        <x:f>IF($A577="","",IF($F577="","",IF($F577=0,0,IF(COUNTIFS($A$10:$A$89,$C577)&lt;&gt;1,"brak danych",IF(COUNTIFS($A$10:$A$89,$C577,$J$10:$J$89,"&lt;&gt;")=0,"brak danych",VLOOKUP($C577,$A$10:$J$89,10,FALSE)*$F577)))))</x:f>
      </x:c>
      <x:c r="Q577" s="18"/>
    </x:row>
    <x:row r="578" ht="25" customHeight="1">
      <x:c r="A578" s="6"/>
      <x:c r="B578" s="30"/>
      <x:c r="C578" s="5"/>
      <x:c r="D578" s="5"/>
      <x:c r="E578" s="32"/>
      <x:c r="F578" s="32"/>
      <x:c r="G578" s="24" t="str">
        <x:f>IF($A578="","",IF(AND($C578="",$E578=""),"",IF($E578="","brak danych",IF($E578=0,0,IF(COUNTIFS($A$10:$A$89,$C578)&lt;&gt;1,"brak danych",IF(COUNTIFS($A$10:$A$89,$C578,$F$10:$F$89,"&lt;&gt;")=0,"brak danych",VLOOKUP($C578,$A$10:$J$89,6,FALSE)*$E578))))))</x:f>
      </x:c>
      <x:c r="H578" s="25" t="str">
        <x:f>IF($A578="","",IF(AND($C578="",$E578=""),"",IF($E578="","brak danych",IF($E578=0,0,IF(COUNTIFS($A$10:$A$89,$C578)&lt;&gt;1,"brak danych",IF(COUNTIFS($A$10:$A$89,$C578,$G$10:$G$89,"&lt;&gt;")=0,"brak danych",VLOOKUP($C578,$A$10:$J$89,7,FALSE)*$E578))))))</x:f>
      </x:c>
      <x:c r="I578" s="25" t="str">
        <x:f>IF($A578="","",IF(AND($C578="",$E578=""),"",IF($E578="","brak danych",IF($E578=0,0,IF(COUNTIFS($A$10:$A$89,$C578)&lt;&gt;1,"brak danych",IF(COUNTIFS($A$10:$A$89,$C578,$H$10:$H$89,"&lt;&gt;")=0,"brak danych",VLOOKUP($C578,$A$10:$J$89,8,FALSE)*$E578))))))</x:f>
      </x:c>
      <x:c r="J578" s="25" t="str">
        <x:f>IF($A578="","",IF(AND($C578="",$E578=""),"",IF($E578="","brak danych",IF($E578=0,0,IF(COUNTIFS($A$10:$A$89,$C578)&lt;&gt;1,"brak danych",IF(COUNTIFS($A$10:$A$89,$C578,$I$10:$I$89,"&lt;&gt;")=0,"brak danych",VLOOKUP($C578,$A$10:$J$89,9,FALSE)*$E578))))))</x:f>
      </x:c>
      <x:c r="K578" s="25" t="str">
        <x:f>IF($A578="","",IF(AND($C578="",$E578=""),"",IF($E578="","brak danych",IF($E578=0,0,IF(COUNTIFS($A$10:$A$89,$C578)&lt;&gt;1,"brak danych",IF(COUNTIFS($A$10:$A$89,$C578,$J$10:$J$89,"&lt;&gt;")=0,"brak danych",VLOOKUP($C578,$A$10:$J$89,10,FALSE)*$E578))))))</x:f>
      </x:c>
      <x:c r="L578" s="24" t="str">
        <x:f>IF($A578="","",IF($F578="","",IF($F578=0,0,IF(COUNTIFS($A$10:$A$89,$C578)&lt;&gt;1,"brak danych",IF(COUNTIFS($A$10:$A$89,$C578,$F$10:$F$89,"&lt;&gt;")=0,"brak danych",VLOOKUP($C578,$A$10:$J$89,6,FALSE)*$F578)))))</x:f>
      </x:c>
      <x:c r="M578" s="25" t="str">
        <x:f>IF($A578="","",IF($F578="","",IF($F578=0,0,IF(COUNTIFS($A$10:$A$89,$C578)&lt;&gt;1,"brak danych",IF(COUNTIFS($A$10:$A$89,$C578,$G$10:$G$89,"&lt;&gt;")=0,"brak danych",VLOOKUP($C578,$A$10:$J$89,7,FALSE)*$F578)))))</x:f>
      </x:c>
      <x:c r="N578" s="25" t="str">
        <x:f>IF($A578="","",IF($F578="","",IF($F578=0,0,IF(COUNTIFS($A$10:$A$89,$C578)&lt;&gt;1,"brak danych",IF(COUNTIFS($A$10:$A$89,$C578,$H$10:$H$89,"&lt;&gt;")=0,"brak danych",VLOOKUP($C578,$A$10:$J$89,8,FALSE)*$F578)))))</x:f>
      </x:c>
      <x:c r="O578" s="25" t="str">
        <x:f>IF($A578="","",IF($F578="","",IF($F578=0,0,IF(COUNTIFS($A$10:$A$89,$C578)&lt;&gt;1,"brak danych",IF(COUNTIFS($A$10:$A$89,$C578,$I$10:$I$89,"&lt;&gt;")=0,"brak danych",VLOOKUP($C578,$A$10:$J$89,9,FALSE)*$F578)))))</x:f>
      </x:c>
      <x:c r="P578" s="25" t="str">
        <x:f>IF($A578="","",IF($F578="","",IF($F578=0,0,IF(COUNTIFS($A$10:$A$89,$C578)&lt;&gt;1,"brak danych",IF(COUNTIFS($A$10:$A$89,$C578,$J$10:$J$89,"&lt;&gt;")=0,"brak danych",VLOOKUP($C578,$A$10:$J$89,10,FALSE)*$F578)))))</x:f>
      </x:c>
      <x:c r="Q578" s="18"/>
    </x:row>
    <x:row r="579" ht="25" customHeight="1">
      <x:c r="A579" s="6"/>
      <x:c r="B579" s="30"/>
      <x:c r="C579" s="5"/>
      <x:c r="D579" s="5"/>
      <x:c r="E579" s="32"/>
      <x:c r="F579" s="32"/>
      <x:c r="G579" s="24" t="str">
        <x:f>IF($A579="","",IF(AND($C579="",$E579=""),"",IF($E579="","brak danych",IF($E579=0,0,IF(COUNTIFS($A$10:$A$89,$C579)&lt;&gt;1,"brak danych",IF(COUNTIFS($A$10:$A$89,$C579,$F$10:$F$89,"&lt;&gt;")=0,"brak danych",VLOOKUP($C579,$A$10:$J$89,6,FALSE)*$E579))))))</x:f>
      </x:c>
      <x:c r="H579" s="25" t="str">
        <x:f>IF($A579="","",IF(AND($C579="",$E579=""),"",IF($E579="","brak danych",IF($E579=0,0,IF(COUNTIFS($A$10:$A$89,$C579)&lt;&gt;1,"brak danych",IF(COUNTIFS($A$10:$A$89,$C579,$G$10:$G$89,"&lt;&gt;")=0,"brak danych",VLOOKUP($C579,$A$10:$J$89,7,FALSE)*$E579))))))</x:f>
      </x:c>
      <x:c r="I579" s="25" t="str">
        <x:f>IF($A579="","",IF(AND($C579="",$E579=""),"",IF($E579="","brak danych",IF($E579=0,0,IF(COUNTIFS($A$10:$A$89,$C579)&lt;&gt;1,"brak danych",IF(COUNTIFS($A$10:$A$89,$C579,$H$10:$H$89,"&lt;&gt;")=0,"brak danych",VLOOKUP($C579,$A$10:$J$89,8,FALSE)*$E579))))))</x:f>
      </x:c>
      <x:c r="J579" s="25" t="str">
        <x:f>IF($A579="","",IF(AND($C579="",$E579=""),"",IF($E579="","brak danych",IF($E579=0,0,IF(COUNTIFS($A$10:$A$89,$C579)&lt;&gt;1,"brak danych",IF(COUNTIFS($A$10:$A$89,$C579,$I$10:$I$89,"&lt;&gt;")=0,"brak danych",VLOOKUP($C579,$A$10:$J$89,9,FALSE)*$E579))))))</x:f>
      </x:c>
      <x:c r="K579" s="25" t="str">
        <x:f>IF($A579="","",IF(AND($C579="",$E579=""),"",IF($E579="","brak danych",IF($E579=0,0,IF(COUNTIFS($A$10:$A$89,$C579)&lt;&gt;1,"brak danych",IF(COUNTIFS($A$10:$A$89,$C579,$J$10:$J$89,"&lt;&gt;")=0,"brak danych",VLOOKUP($C579,$A$10:$J$89,10,FALSE)*$E579))))))</x:f>
      </x:c>
      <x:c r="L579" s="24" t="str">
        <x:f>IF($A579="","",IF($F579="","",IF($F579=0,0,IF(COUNTIFS($A$10:$A$89,$C579)&lt;&gt;1,"brak danych",IF(COUNTIFS($A$10:$A$89,$C579,$F$10:$F$89,"&lt;&gt;")=0,"brak danych",VLOOKUP($C579,$A$10:$J$89,6,FALSE)*$F579)))))</x:f>
      </x:c>
      <x:c r="M579" s="25" t="str">
        <x:f>IF($A579="","",IF($F579="","",IF($F579=0,0,IF(COUNTIFS($A$10:$A$89,$C579)&lt;&gt;1,"brak danych",IF(COUNTIFS($A$10:$A$89,$C579,$G$10:$G$89,"&lt;&gt;")=0,"brak danych",VLOOKUP($C579,$A$10:$J$89,7,FALSE)*$F579)))))</x:f>
      </x:c>
      <x:c r="N579" s="25" t="str">
        <x:f>IF($A579="","",IF($F579="","",IF($F579=0,0,IF(COUNTIFS($A$10:$A$89,$C579)&lt;&gt;1,"brak danych",IF(COUNTIFS($A$10:$A$89,$C579,$H$10:$H$89,"&lt;&gt;")=0,"brak danych",VLOOKUP($C579,$A$10:$J$89,8,FALSE)*$F579)))))</x:f>
      </x:c>
      <x:c r="O579" s="25" t="str">
        <x:f>IF($A579="","",IF($F579="","",IF($F579=0,0,IF(COUNTIFS($A$10:$A$89,$C579)&lt;&gt;1,"brak danych",IF(COUNTIFS($A$10:$A$89,$C579,$I$10:$I$89,"&lt;&gt;")=0,"brak danych",VLOOKUP($C579,$A$10:$J$89,9,FALSE)*$F579)))))</x:f>
      </x:c>
      <x:c r="P579" s="25" t="str">
        <x:f>IF($A579="","",IF($F579="","",IF($F579=0,0,IF(COUNTIFS($A$10:$A$89,$C579)&lt;&gt;1,"brak danych",IF(COUNTIFS($A$10:$A$89,$C579,$J$10:$J$89,"&lt;&gt;")=0,"brak danych",VLOOKUP($C579,$A$10:$J$89,10,FALSE)*$F579)))))</x:f>
      </x:c>
      <x:c r="Q579" s="18"/>
    </x:row>
    <x:row r="580" ht="25" customHeight="1">
      <x:c r="A580" s="6"/>
      <x:c r="B580" s="30"/>
      <x:c r="C580" s="5"/>
      <x:c r="D580" s="5"/>
      <x:c r="E580" s="32"/>
      <x:c r="F580" s="32"/>
      <x:c r="G580" s="24" t="str">
        <x:f>IF($A580="","",IF(AND($C580="",$E580=""),"",IF($E580="","brak danych",IF($E580=0,0,IF(COUNTIFS($A$10:$A$89,$C580)&lt;&gt;1,"brak danych",IF(COUNTIFS($A$10:$A$89,$C580,$F$10:$F$89,"&lt;&gt;")=0,"brak danych",VLOOKUP($C580,$A$10:$J$89,6,FALSE)*$E580))))))</x:f>
      </x:c>
      <x:c r="H580" s="25" t="str">
        <x:f>IF($A580="","",IF(AND($C580="",$E580=""),"",IF($E580="","brak danych",IF($E580=0,0,IF(COUNTIFS($A$10:$A$89,$C580)&lt;&gt;1,"brak danych",IF(COUNTIFS($A$10:$A$89,$C580,$G$10:$G$89,"&lt;&gt;")=0,"brak danych",VLOOKUP($C580,$A$10:$J$89,7,FALSE)*$E580))))))</x:f>
      </x:c>
      <x:c r="I580" s="25" t="str">
        <x:f>IF($A580="","",IF(AND($C580="",$E580=""),"",IF($E580="","brak danych",IF($E580=0,0,IF(COUNTIFS($A$10:$A$89,$C580)&lt;&gt;1,"brak danych",IF(COUNTIFS($A$10:$A$89,$C580,$H$10:$H$89,"&lt;&gt;")=0,"brak danych",VLOOKUP($C580,$A$10:$J$89,8,FALSE)*$E580))))))</x:f>
      </x:c>
      <x:c r="J580" s="25" t="str">
        <x:f>IF($A580="","",IF(AND($C580="",$E580=""),"",IF($E580="","brak danych",IF($E580=0,0,IF(COUNTIFS($A$10:$A$89,$C580)&lt;&gt;1,"brak danych",IF(COUNTIFS($A$10:$A$89,$C580,$I$10:$I$89,"&lt;&gt;")=0,"brak danych",VLOOKUP($C580,$A$10:$J$89,9,FALSE)*$E580))))))</x:f>
      </x:c>
      <x:c r="K580" s="25" t="str">
        <x:f>IF($A580="","",IF(AND($C580="",$E580=""),"",IF($E580="","brak danych",IF($E580=0,0,IF(COUNTIFS($A$10:$A$89,$C580)&lt;&gt;1,"brak danych",IF(COUNTIFS($A$10:$A$89,$C580,$J$10:$J$89,"&lt;&gt;")=0,"brak danych",VLOOKUP($C580,$A$10:$J$89,10,FALSE)*$E580))))))</x:f>
      </x:c>
      <x:c r="L580" s="24" t="str">
        <x:f>IF($A580="","",IF($F580="","",IF($F580=0,0,IF(COUNTIFS($A$10:$A$89,$C580)&lt;&gt;1,"brak danych",IF(COUNTIFS($A$10:$A$89,$C580,$F$10:$F$89,"&lt;&gt;")=0,"brak danych",VLOOKUP($C580,$A$10:$J$89,6,FALSE)*$F580)))))</x:f>
      </x:c>
      <x:c r="M580" s="25" t="str">
        <x:f>IF($A580="","",IF($F580="","",IF($F580=0,0,IF(COUNTIFS($A$10:$A$89,$C580)&lt;&gt;1,"brak danych",IF(COUNTIFS($A$10:$A$89,$C580,$G$10:$G$89,"&lt;&gt;")=0,"brak danych",VLOOKUP($C580,$A$10:$J$89,7,FALSE)*$F580)))))</x:f>
      </x:c>
      <x:c r="N580" s="25" t="str">
        <x:f>IF($A580="","",IF($F580="","",IF($F580=0,0,IF(COUNTIFS($A$10:$A$89,$C580)&lt;&gt;1,"brak danych",IF(COUNTIFS($A$10:$A$89,$C580,$H$10:$H$89,"&lt;&gt;")=0,"brak danych",VLOOKUP($C580,$A$10:$J$89,8,FALSE)*$F580)))))</x:f>
      </x:c>
      <x:c r="O580" s="25" t="str">
        <x:f>IF($A580="","",IF($F580="","",IF($F580=0,0,IF(COUNTIFS($A$10:$A$89,$C580)&lt;&gt;1,"brak danych",IF(COUNTIFS($A$10:$A$89,$C580,$I$10:$I$89,"&lt;&gt;")=0,"brak danych",VLOOKUP($C580,$A$10:$J$89,9,FALSE)*$F580)))))</x:f>
      </x:c>
      <x:c r="P580" s="25" t="str">
        <x:f>IF($A580="","",IF($F580="","",IF($F580=0,0,IF(COUNTIFS($A$10:$A$89,$C580)&lt;&gt;1,"brak danych",IF(COUNTIFS($A$10:$A$89,$C580,$J$10:$J$89,"&lt;&gt;")=0,"brak danych",VLOOKUP($C580,$A$10:$J$89,10,FALSE)*$F580)))))</x:f>
      </x:c>
      <x:c r="Q580" s="18"/>
    </x:row>
    <x:row r="581" ht="25" customHeight="1">
      <x:c r="A581" s="6"/>
      <x:c r="B581" s="30"/>
      <x:c r="C581" s="5"/>
      <x:c r="D581" s="5"/>
      <x:c r="E581" s="32"/>
      <x:c r="F581" s="32"/>
      <x:c r="G581" s="24" t="str">
        <x:f>IF($A581="","",IF(AND($C581="",$E581=""),"",IF($E581="","brak danych",IF($E581=0,0,IF(COUNTIFS($A$10:$A$89,$C581)&lt;&gt;1,"brak danych",IF(COUNTIFS($A$10:$A$89,$C581,$F$10:$F$89,"&lt;&gt;")=0,"brak danych",VLOOKUP($C581,$A$10:$J$89,6,FALSE)*$E581))))))</x:f>
      </x:c>
      <x:c r="H581" s="25" t="str">
        <x:f>IF($A581="","",IF(AND($C581="",$E581=""),"",IF($E581="","brak danych",IF($E581=0,0,IF(COUNTIFS($A$10:$A$89,$C581)&lt;&gt;1,"brak danych",IF(COUNTIFS($A$10:$A$89,$C581,$G$10:$G$89,"&lt;&gt;")=0,"brak danych",VLOOKUP($C581,$A$10:$J$89,7,FALSE)*$E581))))))</x:f>
      </x:c>
      <x:c r="I581" s="25" t="str">
        <x:f>IF($A581="","",IF(AND($C581="",$E581=""),"",IF($E581="","brak danych",IF($E581=0,0,IF(COUNTIFS($A$10:$A$89,$C581)&lt;&gt;1,"brak danych",IF(COUNTIFS($A$10:$A$89,$C581,$H$10:$H$89,"&lt;&gt;")=0,"brak danych",VLOOKUP($C581,$A$10:$J$89,8,FALSE)*$E581))))))</x:f>
      </x:c>
      <x:c r="J581" s="25" t="str">
        <x:f>IF($A581="","",IF(AND($C581="",$E581=""),"",IF($E581="","brak danych",IF($E581=0,0,IF(COUNTIFS($A$10:$A$89,$C581)&lt;&gt;1,"brak danych",IF(COUNTIFS($A$10:$A$89,$C581,$I$10:$I$89,"&lt;&gt;")=0,"brak danych",VLOOKUP($C581,$A$10:$J$89,9,FALSE)*$E581))))))</x:f>
      </x:c>
      <x:c r="K581" s="25" t="str">
        <x:f>IF($A581="","",IF(AND($C581="",$E581=""),"",IF($E581="","brak danych",IF($E581=0,0,IF(COUNTIFS($A$10:$A$89,$C581)&lt;&gt;1,"brak danych",IF(COUNTIFS($A$10:$A$89,$C581,$J$10:$J$89,"&lt;&gt;")=0,"brak danych",VLOOKUP($C581,$A$10:$J$89,10,FALSE)*$E581))))))</x:f>
      </x:c>
      <x:c r="L581" s="24" t="str">
        <x:f>IF($A581="","",IF($F581="","",IF($F581=0,0,IF(COUNTIFS($A$10:$A$89,$C581)&lt;&gt;1,"brak danych",IF(COUNTIFS($A$10:$A$89,$C581,$F$10:$F$89,"&lt;&gt;")=0,"brak danych",VLOOKUP($C581,$A$10:$J$89,6,FALSE)*$F581)))))</x:f>
      </x:c>
      <x:c r="M581" s="25" t="str">
        <x:f>IF($A581="","",IF($F581="","",IF($F581=0,0,IF(COUNTIFS($A$10:$A$89,$C581)&lt;&gt;1,"brak danych",IF(COUNTIFS($A$10:$A$89,$C581,$G$10:$G$89,"&lt;&gt;")=0,"brak danych",VLOOKUP($C581,$A$10:$J$89,7,FALSE)*$F581)))))</x:f>
      </x:c>
      <x:c r="N581" s="25" t="str">
        <x:f>IF($A581="","",IF($F581="","",IF($F581=0,0,IF(COUNTIFS($A$10:$A$89,$C581)&lt;&gt;1,"brak danych",IF(COUNTIFS($A$10:$A$89,$C581,$H$10:$H$89,"&lt;&gt;")=0,"brak danych",VLOOKUP($C581,$A$10:$J$89,8,FALSE)*$F581)))))</x:f>
      </x:c>
      <x:c r="O581" s="25" t="str">
        <x:f>IF($A581="","",IF($F581="","",IF($F581=0,0,IF(COUNTIFS($A$10:$A$89,$C581)&lt;&gt;1,"brak danych",IF(COUNTIFS($A$10:$A$89,$C581,$I$10:$I$89,"&lt;&gt;")=0,"brak danych",VLOOKUP($C581,$A$10:$J$89,9,FALSE)*$F581)))))</x:f>
      </x:c>
      <x:c r="P581" s="25" t="str">
        <x:f>IF($A581="","",IF($F581="","",IF($F581=0,0,IF(COUNTIFS($A$10:$A$89,$C581)&lt;&gt;1,"brak danych",IF(COUNTIFS($A$10:$A$89,$C581,$J$10:$J$89,"&lt;&gt;")=0,"brak danych",VLOOKUP($C581,$A$10:$J$89,10,FALSE)*$F581)))))</x:f>
      </x:c>
      <x:c r="Q581" s="18"/>
    </x:row>
    <x:row r="582" ht="25" customHeight="1">
      <x:c r="A582" s="6"/>
      <x:c r="B582" s="30"/>
      <x:c r="C582" s="5"/>
      <x:c r="D582" s="5"/>
      <x:c r="E582" s="32"/>
      <x:c r="F582" s="32"/>
      <x:c r="G582" s="24" t="str">
        <x:f>IF($A582="","",IF(AND($C582="",$E582=""),"",IF($E582="","brak danych",IF($E582=0,0,IF(COUNTIFS($A$10:$A$89,$C582)&lt;&gt;1,"brak danych",IF(COUNTIFS($A$10:$A$89,$C582,$F$10:$F$89,"&lt;&gt;")=0,"brak danych",VLOOKUP($C582,$A$10:$J$89,6,FALSE)*$E582))))))</x:f>
      </x:c>
      <x:c r="H582" s="25" t="str">
        <x:f>IF($A582="","",IF(AND($C582="",$E582=""),"",IF($E582="","brak danych",IF($E582=0,0,IF(COUNTIFS($A$10:$A$89,$C582)&lt;&gt;1,"brak danych",IF(COUNTIFS($A$10:$A$89,$C582,$G$10:$G$89,"&lt;&gt;")=0,"brak danych",VLOOKUP($C582,$A$10:$J$89,7,FALSE)*$E582))))))</x:f>
      </x:c>
      <x:c r="I582" s="25" t="str">
        <x:f>IF($A582="","",IF(AND($C582="",$E582=""),"",IF($E582="","brak danych",IF($E582=0,0,IF(COUNTIFS($A$10:$A$89,$C582)&lt;&gt;1,"brak danych",IF(COUNTIFS($A$10:$A$89,$C582,$H$10:$H$89,"&lt;&gt;")=0,"brak danych",VLOOKUP($C582,$A$10:$J$89,8,FALSE)*$E582))))))</x:f>
      </x:c>
      <x:c r="J582" s="25" t="str">
        <x:f>IF($A582="","",IF(AND($C582="",$E582=""),"",IF($E582="","brak danych",IF($E582=0,0,IF(COUNTIFS($A$10:$A$89,$C582)&lt;&gt;1,"brak danych",IF(COUNTIFS($A$10:$A$89,$C582,$I$10:$I$89,"&lt;&gt;")=0,"brak danych",VLOOKUP($C582,$A$10:$J$89,9,FALSE)*$E582))))))</x:f>
      </x:c>
      <x:c r="K582" s="25" t="str">
        <x:f>IF($A582="","",IF(AND($C582="",$E582=""),"",IF($E582="","brak danych",IF($E582=0,0,IF(COUNTIFS($A$10:$A$89,$C582)&lt;&gt;1,"brak danych",IF(COUNTIFS($A$10:$A$89,$C582,$J$10:$J$89,"&lt;&gt;")=0,"brak danych",VLOOKUP($C582,$A$10:$J$89,10,FALSE)*$E582))))))</x:f>
      </x:c>
      <x:c r="L582" s="24" t="str">
        <x:f>IF($A582="","",IF($F582="","",IF($F582=0,0,IF(COUNTIFS($A$10:$A$89,$C582)&lt;&gt;1,"brak danych",IF(COUNTIFS($A$10:$A$89,$C582,$F$10:$F$89,"&lt;&gt;")=0,"brak danych",VLOOKUP($C582,$A$10:$J$89,6,FALSE)*$F582)))))</x:f>
      </x:c>
      <x:c r="M582" s="25" t="str">
        <x:f>IF($A582="","",IF($F582="","",IF($F582=0,0,IF(COUNTIFS($A$10:$A$89,$C582)&lt;&gt;1,"brak danych",IF(COUNTIFS($A$10:$A$89,$C582,$G$10:$G$89,"&lt;&gt;")=0,"brak danych",VLOOKUP($C582,$A$10:$J$89,7,FALSE)*$F582)))))</x:f>
      </x:c>
      <x:c r="N582" s="25" t="str">
        <x:f>IF($A582="","",IF($F582="","",IF($F582=0,0,IF(COUNTIFS($A$10:$A$89,$C582)&lt;&gt;1,"brak danych",IF(COUNTIFS($A$10:$A$89,$C582,$H$10:$H$89,"&lt;&gt;")=0,"brak danych",VLOOKUP($C582,$A$10:$J$89,8,FALSE)*$F582)))))</x:f>
      </x:c>
      <x:c r="O582" s="25" t="str">
        <x:f>IF($A582="","",IF($F582="","",IF($F582=0,0,IF(COUNTIFS($A$10:$A$89,$C582)&lt;&gt;1,"brak danych",IF(COUNTIFS($A$10:$A$89,$C582,$I$10:$I$89,"&lt;&gt;")=0,"brak danych",VLOOKUP($C582,$A$10:$J$89,9,FALSE)*$F582)))))</x:f>
      </x:c>
      <x:c r="P582" s="25" t="str">
        <x:f>IF($A582="","",IF($F582="","",IF($F582=0,0,IF(COUNTIFS($A$10:$A$89,$C582)&lt;&gt;1,"brak danych",IF(COUNTIFS($A$10:$A$89,$C582,$J$10:$J$89,"&lt;&gt;")=0,"brak danych",VLOOKUP($C582,$A$10:$J$89,10,FALSE)*$F582)))))</x:f>
      </x:c>
      <x:c r="Q582" s="18"/>
    </x:row>
    <x:row r="583" ht="25" customHeight="1">
      <x:c r="A583" s="6"/>
      <x:c r="B583" s="30"/>
      <x:c r="C583" s="5"/>
      <x:c r="D583" s="5"/>
      <x:c r="E583" s="32"/>
      <x:c r="F583" s="32"/>
      <x:c r="G583" s="24" t="str">
        <x:f>IF($A583="","",IF(AND($C583="",$E583=""),"",IF($E583="","brak danych",IF($E583=0,0,IF(COUNTIFS($A$10:$A$89,$C583)&lt;&gt;1,"brak danych",IF(COUNTIFS($A$10:$A$89,$C583,$F$10:$F$89,"&lt;&gt;")=0,"brak danych",VLOOKUP($C583,$A$10:$J$89,6,FALSE)*$E583))))))</x:f>
      </x:c>
      <x:c r="H583" s="25" t="str">
        <x:f>IF($A583="","",IF(AND($C583="",$E583=""),"",IF($E583="","brak danych",IF($E583=0,0,IF(COUNTIFS($A$10:$A$89,$C583)&lt;&gt;1,"brak danych",IF(COUNTIFS($A$10:$A$89,$C583,$G$10:$G$89,"&lt;&gt;")=0,"brak danych",VLOOKUP($C583,$A$10:$J$89,7,FALSE)*$E583))))))</x:f>
      </x:c>
      <x:c r="I583" s="25" t="str">
        <x:f>IF($A583="","",IF(AND($C583="",$E583=""),"",IF($E583="","brak danych",IF($E583=0,0,IF(COUNTIFS($A$10:$A$89,$C583)&lt;&gt;1,"brak danych",IF(COUNTIFS($A$10:$A$89,$C583,$H$10:$H$89,"&lt;&gt;")=0,"brak danych",VLOOKUP($C583,$A$10:$J$89,8,FALSE)*$E583))))))</x:f>
      </x:c>
      <x:c r="J583" s="25" t="str">
        <x:f>IF($A583="","",IF(AND($C583="",$E583=""),"",IF($E583="","brak danych",IF($E583=0,0,IF(COUNTIFS($A$10:$A$89,$C583)&lt;&gt;1,"brak danych",IF(COUNTIFS($A$10:$A$89,$C583,$I$10:$I$89,"&lt;&gt;")=0,"brak danych",VLOOKUP($C583,$A$10:$J$89,9,FALSE)*$E583))))))</x:f>
      </x:c>
      <x:c r="K583" s="25" t="str">
        <x:f>IF($A583="","",IF(AND($C583="",$E583=""),"",IF($E583="","brak danych",IF($E583=0,0,IF(COUNTIFS($A$10:$A$89,$C583)&lt;&gt;1,"brak danych",IF(COUNTIFS($A$10:$A$89,$C583,$J$10:$J$89,"&lt;&gt;")=0,"brak danych",VLOOKUP($C583,$A$10:$J$89,10,FALSE)*$E583))))))</x:f>
      </x:c>
      <x:c r="L583" s="24" t="str">
        <x:f>IF($A583="","",IF($F583="","",IF($F583=0,0,IF(COUNTIFS($A$10:$A$89,$C583)&lt;&gt;1,"brak danych",IF(COUNTIFS($A$10:$A$89,$C583,$F$10:$F$89,"&lt;&gt;")=0,"brak danych",VLOOKUP($C583,$A$10:$J$89,6,FALSE)*$F583)))))</x:f>
      </x:c>
      <x:c r="M583" s="25" t="str">
        <x:f>IF($A583="","",IF($F583="","",IF($F583=0,0,IF(COUNTIFS($A$10:$A$89,$C583)&lt;&gt;1,"brak danych",IF(COUNTIFS($A$10:$A$89,$C583,$G$10:$G$89,"&lt;&gt;")=0,"brak danych",VLOOKUP($C583,$A$10:$J$89,7,FALSE)*$F583)))))</x:f>
      </x:c>
      <x:c r="N583" s="25" t="str">
        <x:f>IF($A583="","",IF($F583="","",IF($F583=0,0,IF(COUNTIFS($A$10:$A$89,$C583)&lt;&gt;1,"brak danych",IF(COUNTIFS($A$10:$A$89,$C583,$H$10:$H$89,"&lt;&gt;")=0,"brak danych",VLOOKUP($C583,$A$10:$J$89,8,FALSE)*$F583)))))</x:f>
      </x:c>
      <x:c r="O583" s="25" t="str">
        <x:f>IF($A583="","",IF($F583="","",IF($F583=0,0,IF(COUNTIFS($A$10:$A$89,$C583)&lt;&gt;1,"brak danych",IF(COUNTIFS($A$10:$A$89,$C583,$I$10:$I$89,"&lt;&gt;")=0,"brak danych",VLOOKUP($C583,$A$10:$J$89,9,FALSE)*$F583)))))</x:f>
      </x:c>
      <x:c r="P583" s="25" t="str">
        <x:f>IF($A583="","",IF($F583="","",IF($F583=0,0,IF(COUNTIFS($A$10:$A$89,$C583)&lt;&gt;1,"brak danych",IF(COUNTIFS($A$10:$A$89,$C583,$J$10:$J$89,"&lt;&gt;")=0,"brak danych",VLOOKUP($C583,$A$10:$J$89,10,FALSE)*$F583)))))</x:f>
      </x:c>
      <x:c r="Q583" s="18"/>
    </x:row>
    <x:row r="584" ht="25" customHeight="1">
      <x:c r="A584" s="6"/>
      <x:c r="B584" s="30"/>
      <x:c r="C584" s="5"/>
      <x:c r="D584" s="5"/>
      <x:c r="E584" s="32"/>
      <x:c r="F584" s="32"/>
      <x:c r="G584" s="24" t="str">
        <x:f>IF($A584="","",IF(AND($C584="",$E584=""),"",IF($E584="","brak danych",IF($E584=0,0,IF(COUNTIFS($A$10:$A$89,$C584)&lt;&gt;1,"brak danych",IF(COUNTIFS($A$10:$A$89,$C584,$F$10:$F$89,"&lt;&gt;")=0,"brak danych",VLOOKUP($C584,$A$10:$J$89,6,FALSE)*$E584))))))</x:f>
      </x:c>
      <x:c r="H584" s="25" t="str">
        <x:f>IF($A584="","",IF(AND($C584="",$E584=""),"",IF($E584="","brak danych",IF($E584=0,0,IF(COUNTIFS($A$10:$A$89,$C584)&lt;&gt;1,"brak danych",IF(COUNTIFS($A$10:$A$89,$C584,$G$10:$G$89,"&lt;&gt;")=0,"brak danych",VLOOKUP($C584,$A$10:$J$89,7,FALSE)*$E584))))))</x:f>
      </x:c>
      <x:c r="I584" s="25" t="str">
        <x:f>IF($A584="","",IF(AND($C584="",$E584=""),"",IF($E584="","brak danych",IF($E584=0,0,IF(COUNTIFS($A$10:$A$89,$C584)&lt;&gt;1,"brak danych",IF(COUNTIFS($A$10:$A$89,$C584,$H$10:$H$89,"&lt;&gt;")=0,"brak danych",VLOOKUP($C584,$A$10:$J$89,8,FALSE)*$E584))))))</x:f>
      </x:c>
      <x:c r="J584" s="25" t="str">
        <x:f>IF($A584="","",IF(AND($C584="",$E584=""),"",IF($E584="","brak danych",IF($E584=0,0,IF(COUNTIFS($A$10:$A$89,$C584)&lt;&gt;1,"brak danych",IF(COUNTIFS($A$10:$A$89,$C584,$I$10:$I$89,"&lt;&gt;")=0,"brak danych",VLOOKUP($C584,$A$10:$J$89,9,FALSE)*$E584))))))</x:f>
      </x:c>
      <x:c r="K584" s="25" t="str">
        <x:f>IF($A584="","",IF(AND($C584="",$E584=""),"",IF($E584="","brak danych",IF($E584=0,0,IF(COUNTIFS($A$10:$A$89,$C584)&lt;&gt;1,"brak danych",IF(COUNTIFS($A$10:$A$89,$C584,$J$10:$J$89,"&lt;&gt;")=0,"brak danych",VLOOKUP($C584,$A$10:$J$89,10,FALSE)*$E584))))))</x:f>
      </x:c>
      <x:c r="L584" s="24" t="str">
        <x:f>IF($A584="","",IF($F584="","",IF($F584=0,0,IF(COUNTIFS($A$10:$A$89,$C584)&lt;&gt;1,"brak danych",IF(COUNTIFS($A$10:$A$89,$C584,$F$10:$F$89,"&lt;&gt;")=0,"brak danych",VLOOKUP($C584,$A$10:$J$89,6,FALSE)*$F584)))))</x:f>
      </x:c>
      <x:c r="M584" s="25" t="str">
        <x:f>IF($A584="","",IF($F584="","",IF($F584=0,0,IF(COUNTIFS($A$10:$A$89,$C584)&lt;&gt;1,"brak danych",IF(COUNTIFS($A$10:$A$89,$C584,$G$10:$G$89,"&lt;&gt;")=0,"brak danych",VLOOKUP($C584,$A$10:$J$89,7,FALSE)*$F584)))))</x:f>
      </x:c>
      <x:c r="N584" s="25" t="str">
        <x:f>IF($A584="","",IF($F584="","",IF($F584=0,0,IF(COUNTIFS($A$10:$A$89,$C584)&lt;&gt;1,"brak danych",IF(COUNTIFS($A$10:$A$89,$C584,$H$10:$H$89,"&lt;&gt;")=0,"brak danych",VLOOKUP($C584,$A$10:$J$89,8,FALSE)*$F584)))))</x:f>
      </x:c>
      <x:c r="O584" s="25" t="str">
        <x:f>IF($A584="","",IF($F584="","",IF($F584=0,0,IF(COUNTIFS($A$10:$A$89,$C584)&lt;&gt;1,"brak danych",IF(COUNTIFS($A$10:$A$89,$C584,$I$10:$I$89,"&lt;&gt;")=0,"brak danych",VLOOKUP($C584,$A$10:$J$89,9,FALSE)*$F584)))))</x:f>
      </x:c>
      <x:c r="P584" s="25" t="str">
        <x:f>IF($A584="","",IF($F584="","",IF($F584=0,0,IF(COUNTIFS($A$10:$A$89,$C584)&lt;&gt;1,"brak danych",IF(COUNTIFS($A$10:$A$89,$C584,$J$10:$J$89,"&lt;&gt;")=0,"brak danych",VLOOKUP($C584,$A$10:$J$89,10,FALSE)*$F584)))))</x:f>
      </x:c>
      <x:c r="Q584" s="18"/>
    </x:row>
    <x:row r="585" ht="25" customHeight="1">
      <x:c r="A585" s="6"/>
      <x:c r="B585" s="30"/>
      <x:c r="C585" s="5"/>
      <x:c r="D585" s="5"/>
      <x:c r="E585" s="32"/>
      <x:c r="F585" s="32"/>
      <x:c r="G585" s="24" t="str">
        <x:f>IF($A585="","",IF(AND($C585="",$E585=""),"",IF($E585="","brak danych",IF($E585=0,0,IF(COUNTIFS($A$10:$A$89,$C585)&lt;&gt;1,"brak danych",IF(COUNTIFS($A$10:$A$89,$C585,$F$10:$F$89,"&lt;&gt;")=0,"brak danych",VLOOKUP($C585,$A$10:$J$89,6,FALSE)*$E585))))))</x:f>
      </x:c>
      <x:c r="H585" s="25" t="str">
        <x:f>IF($A585="","",IF(AND($C585="",$E585=""),"",IF($E585="","brak danych",IF($E585=0,0,IF(COUNTIFS($A$10:$A$89,$C585)&lt;&gt;1,"brak danych",IF(COUNTIFS($A$10:$A$89,$C585,$G$10:$G$89,"&lt;&gt;")=0,"brak danych",VLOOKUP($C585,$A$10:$J$89,7,FALSE)*$E585))))))</x:f>
      </x:c>
      <x:c r="I585" s="25" t="str">
        <x:f>IF($A585="","",IF(AND($C585="",$E585=""),"",IF($E585="","brak danych",IF($E585=0,0,IF(COUNTIFS($A$10:$A$89,$C585)&lt;&gt;1,"brak danych",IF(COUNTIFS($A$10:$A$89,$C585,$H$10:$H$89,"&lt;&gt;")=0,"brak danych",VLOOKUP($C585,$A$10:$J$89,8,FALSE)*$E585))))))</x:f>
      </x:c>
      <x:c r="J585" s="25" t="str">
        <x:f>IF($A585="","",IF(AND($C585="",$E585=""),"",IF($E585="","brak danych",IF($E585=0,0,IF(COUNTIFS($A$10:$A$89,$C585)&lt;&gt;1,"brak danych",IF(COUNTIFS($A$10:$A$89,$C585,$I$10:$I$89,"&lt;&gt;")=0,"brak danych",VLOOKUP($C585,$A$10:$J$89,9,FALSE)*$E585))))))</x:f>
      </x:c>
      <x:c r="K585" s="25" t="str">
        <x:f>IF($A585="","",IF(AND($C585="",$E585=""),"",IF($E585="","brak danych",IF($E585=0,0,IF(COUNTIFS($A$10:$A$89,$C585)&lt;&gt;1,"brak danych",IF(COUNTIFS($A$10:$A$89,$C585,$J$10:$J$89,"&lt;&gt;")=0,"brak danych",VLOOKUP($C585,$A$10:$J$89,10,FALSE)*$E585))))))</x:f>
      </x:c>
      <x:c r="L585" s="24" t="str">
        <x:f>IF($A585="","",IF($F585="","",IF($F585=0,0,IF(COUNTIFS($A$10:$A$89,$C585)&lt;&gt;1,"brak danych",IF(COUNTIFS($A$10:$A$89,$C585,$F$10:$F$89,"&lt;&gt;")=0,"brak danych",VLOOKUP($C585,$A$10:$J$89,6,FALSE)*$F585)))))</x:f>
      </x:c>
      <x:c r="M585" s="25" t="str">
        <x:f>IF($A585="","",IF($F585="","",IF($F585=0,0,IF(COUNTIFS($A$10:$A$89,$C585)&lt;&gt;1,"brak danych",IF(COUNTIFS($A$10:$A$89,$C585,$G$10:$G$89,"&lt;&gt;")=0,"brak danych",VLOOKUP($C585,$A$10:$J$89,7,FALSE)*$F585)))))</x:f>
      </x:c>
      <x:c r="N585" s="25" t="str">
        <x:f>IF($A585="","",IF($F585="","",IF($F585=0,0,IF(COUNTIFS($A$10:$A$89,$C585)&lt;&gt;1,"brak danych",IF(COUNTIFS($A$10:$A$89,$C585,$H$10:$H$89,"&lt;&gt;")=0,"brak danych",VLOOKUP($C585,$A$10:$J$89,8,FALSE)*$F585)))))</x:f>
      </x:c>
      <x:c r="O585" s="25" t="str">
        <x:f>IF($A585="","",IF($F585="","",IF($F585=0,0,IF(COUNTIFS($A$10:$A$89,$C585)&lt;&gt;1,"brak danych",IF(COUNTIFS($A$10:$A$89,$C585,$I$10:$I$89,"&lt;&gt;")=0,"brak danych",VLOOKUP($C585,$A$10:$J$89,9,FALSE)*$F585)))))</x:f>
      </x:c>
      <x:c r="P585" s="25" t="str">
        <x:f>IF($A585="","",IF($F585="","",IF($F585=0,0,IF(COUNTIFS($A$10:$A$89,$C585)&lt;&gt;1,"brak danych",IF(COUNTIFS($A$10:$A$89,$C585,$J$10:$J$89,"&lt;&gt;")=0,"brak danych",VLOOKUP($C585,$A$10:$J$89,10,FALSE)*$F585)))))</x:f>
      </x:c>
      <x:c r="Q585" s="18"/>
    </x:row>
    <x:row r="586" ht="25" customHeight="1">
      <x:c r="A586" s="6"/>
      <x:c r="B586" s="30"/>
      <x:c r="C586" s="5"/>
      <x:c r="D586" s="5"/>
      <x:c r="E586" s="32"/>
      <x:c r="F586" s="32"/>
      <x:c r="G586" s="24" t="str">
        <x:f>IF($A586="","",IF(AND($C586="",$E586=""),"",IF($E586="","brak danych",IF($E586=0,0,IF(COUNTIFS($A$10:$A$89,$C586)&lt;&gt;1,"brak danych",IF(COUNTIFS($A$10:$A$89,$C586,$F$10:$F$89,"&lt;&gt;")=0,"brak danych",VLOOKUP($C586,$A$10:$J$89,6,FALSE)*$E586))))))</x:f>
      </x:c>
      <x:c r="H586" s="25" t="str">
        <x:f>IF($A586="","",IF(AND($C586="",$E586=""),"",IF($E586="","brak danych",IF($E586=0,0,IF(COUNTIFS($A$10:$A$89,$C586)&lt;&gt;1,"brak danych",IF(COUNTIFS($A$10:$A$89,$C586,$G$10:$G$89,"&lt;&gt;")=0,"brak danych",VLOOKUP($C586,$A$10:$J$89,7,FALSE)*$E586))))))</x:f>
      </x:c>
      <x:c r="I586" s="25" t="str">
        <x:f>IF($A586="","",IF(AND($C586="",$E586=""),"",IF($E586="","brak danych",IF($E586=0,0,IF(COUNTIFS($A$10:$A$89,$C586)&lt;&gt;1,"brak danych",IF(COUNTIFS($A$10:$A$89,$C586,$H$10:$H$89,"&lt;&gt;")=0,"brak danych",VLOOKUP($C586,$A$10:$J$89,8,FALSE)*$E586))))))</x:f>
      </x:c>
      <x:c r="J586" s="25" t="str">
        <x:f>IF($A586="","",IF(AND($C586="",$E586=""),"",IF($E586="","brak danych",IF($E586=0,0,IF(COUNTIFS($A$10:$A$89,$C586)&lt;&gt;1,"brak danych",IF(COUNTIFS($A$10:$A$89,$C586,$I$10:$I$89,"&lt;&gt;")=0,"brak danych",VLOOKUP($C586,$A$10:$J$89,9,FALSE)*$E586))))))</x:f>
      </x:c>
      <x:c r="K586" s="25" t="str">
        <x:f>IF($A586="","",IF(AND($C586="",$E586=""),"",IF($E586="","brak danych",IF($E586=0,0,IF(COUNTIFS($A$10:$A$89,$C586)&lt;&gt;1,"brak danych",IF(COUNTIFS($A$10:$A$89,$C586,$J$10:$J$89,"&lt;&gt;")=0,"brak danych",VLOOKUP($C586,$A$10:$J$89,10,FALSE)*$E586))))))</x:f>
      </x:c>
      <x:c r="L586" s="24" t="str">
        <x:f>IF($A586="","",IF($F586="","",IF($F586=0,0,IF(COUNTIFS($A$10:$A$89,$C586)&lt;&gt;1,"brak danych",IF(COUNTIFS($A$10:$A$89,$C586,$F$10:$F$89,"&lt;&gt;")=0,"brak danych",VLOOKUP($C586,$A$10:$J$89,6,FALSE)*$F586)))))</x:f>
      </x:c>
      <x:c r="M586" s="25" t="str">
        <x:f>IF($A586="","",IF($F586="","",IF($F586=0,0,IF(COUNTIFS($A$10:$A$89,$C586)&lt;&gt;1,"brak danych",IF(COUNTIFS($A$10:$A$89,$C586,$G$10:$G$89,"&lt;&gt;")=0,"brak danych",VLOOKUP($C586,$A$10:$J$89,7,FALSE)*$F586)))))</x:f>
      </x:c>
      <x:c r="N586" s="25" t="str">
        <x:f>IF($A586="","",IF($F586="","",IF($F586=0,0,IF(COUNTIFS($A$10:$A$89,$C586)&lt;&gt;1,"brak danych",IF(COUNTIFS($A$10:$A$89,$C586,$H$10:$H$89,"&lt;&gt;")=0,"brak danych",VLOOKUP($C586,$A$10:$J$89,8,FALSE)*$F586)))))</x:f>
      </x:c>
      <x:c r="O586" s="25" t="str">
        <x:f>IF($A586="","",IF($F586="","",IF($F586=0,0,IF(COUNTIFS($A$10:$A$89,$C586)&lt;&gt;1,"brak danych",IF(COUNTIFS($A$10:$A$89,$C586,$I$10:$I$89,"&lt;&gt;")=0,"brak danych",VLOOKUP($C586,$A$10:$J$89,9,FALSE)*$F586)))))</x:f>
      </x:c>
      <x:c r="P586" s="25" t="str">
        <x:f>IF($A586="","",IF($F586="","",IF($F586=0,0,IF(COUNTIFS($A$10:$A$89,$C586)&lt;&gt;1,"brak danych",IF(COUNTIFS($A$10:$A$89,$C586,$J$10:$J$89,"&lt;&gt;")=0,"brak danych",VLOOKUP($C586,$A$10:$J$89,10,FALSE)*$F586)))))</x:f>
      </x:c>
      <x:c r="Q586" s="18"/>
    </x:row>
    <x:row r="587" ht="25" customHeight="1">
      <x:c r="A587" s="6"/>
      <x:c r="B587" s="30"/>
      <x:c r="C587" s="5"/>
      <x:c r="D587" s="5"/>
      <x:c r="E587" s="32"/>
      <x:c r="F587" s="32"/>
      <x:c r="G587" s="24" t="str">
        <x:f>IF($A587="","",IF(AND($C587="",$E587=""),"",IF($E587="","brak danych",IF($E587=0,0,IF(COUNTIFS($A$10:$A$89,$C587)&lt;&gt;1,"brak danych",IF(COUNTIFS($A$10:$A$89,$C587,$F$10:$F$89,"&lt;&gt;")=0,"brak danych",VLOOKUP($C587,$A$10:$J$89,6,FALSE)*$E587))))))</x:f>
      </x:c>
      <x:c r="H587" s="25" t="str">
        <x:f>IF($A587="","",IF(AND($C587="",$E587=""),"",IF($E587="","brak danych",IF($E587=0,0,IF(COUNTIFS($A$10:$A$89,$C587)&lt;&gt;1,"brak danych",IF(COUNTIFS($A$10:$A$89,$C587,$G$10:$G$89,"&lt;&gt;")=0,"brak danych",VLOOKUP($C587,$A$10:$J$89,7,FALSE)*$E587))))))</x:f>
      </x:c>
      <x:c r="I587" s="25" t="str">
        <x:f>IF($A587="","",IF(AND($C587="",$E587=""),"",IF($E587="","brak danych",IF($E587=0,0,IF(COUNTIFS($A$10:$A$89,$C587)&lt;&gt;1,"brak danych",IF(COUNTIFS($A$10:$A$89,$C587,$H$10:$H$89,"&lt;&gt;")=0,"brak danych",VLOOKUP($C587,$A$10:$J$89,8,FALSE)*$E587))))))</x:f>
      </x:c>
      <x:c r="J587" s="25" t="str">
        <x:f>IF($A587="","",IF(AND($C587="",$E587=""),"",IF($E587="","brak danych",IF($E587=0,0,IF(COUNTIFS($A$10:$A$89,$C587)&lt;&gt;1,"brak danych",IF(COUNTIFS($A$10:$A$89,$C587,$I$10:$I$89,"&lt;&gt;")=0,"brak danych",VLOOKUP($C587,$A$10:$J$89,9,FALSE)*$E587))))))</x:f>
      </x:c>
      <x:c r="K587" s="25" t="str">
        <x:f>IF($A587="","",IF(AND($C587="",$E587=""),"",IF($E587="","brak danych",IF($E587=0,0,IF(COUNTIFS($A$10:$A$89,$C587)&lt;&gt;1,"brak danych",IF(COUNTIFS($A$10:$A$89,$C587,$J$10:$J$89,"&lt;&gt;")=0,"brak danych",VLOOKUP($C587,$A$10:$J$89,10,FALSE)*$E587))))))</x:f>
      </x:c>
      <x:c r="L587" s="24" t="str">
        <x:f>IF($A587="","",IF($F587="","",IF($F587=0,0,IF(COUNTIFS($A$10:$A$89,$C587)&lt;&gt;1,"brak danych",IF(COUNTIFS($A$10:$A$89,$C587,$F$10:$F$89,"&lt;&gt;")=0,"brak danych",VLOOKUP($C587,$A$10:$J$89,6,FALSE)*$F587)))))</x:f>
      </x:c>
      <x:c r="M587" s="25" t="str">
        <x:f>IF($A587="","",IF($F587="","",IF($F587=0,0,IF(COUNTIFS($A$10:$A$89,$C587)&lt;&gt;1,"brak danych",IF(COUNTIFS($A$10:$A$89,$C587,$G$10:$G$89,"&lt;&gt;")=0,"brak danych",VLOOKUP($C587,$A$10:$J$89,7,FALSE)*$F587)))))</x:f>
      </x:c>
      <x:c r="N587" s="25" t="str">
        <x:f>IF($A587="","",IF($F587="","",IF($F587=0,0,IF(COUNTIFS($A$10:$A$89,$C587)&lt;&gt;1,"brak danych",IF(COUNTIFS($A$10:$A$89,$C587,$H$10:$H$89,"&lt;&gt;")=0,"brak danych",VLOOKUP($C587,$A$10:$J$89,8,FALSE)*$F587)))))</x:f>
      </x:c>
      <x:c r="O587" s="25" t="str">
        <x:f>IF($A587="","",IF($F587="","",IF($F587=0,0,IF(COUNTIFS($A$10:$A$89,$C587)&lt;&gt;1,"brak danych",IF(COUNTIFS($A$10:$A$89,$C587,$I$10:$I$89,"&lt;&gt;")=0,"brak danych",VLOOKUP($C587,$A$10:$J$89,9,FALSE)*$F587)))))</x:f>
      </x:c>
      <x:c r="P587" s="25" t="str">
        <x:f>IF($A587="","",IF($F587="","",IF($F587=0,0,IF(COUNTIFS($A$10:$A$89,$C587)&lt;&gt;1,"brak danych",IF(COUNTIFS($A$10:$A$89,$C587,$J$10:$J$89,"&lt;&gt;")=0,"brak danych",VLOOKUP($C587,$A$10:$J$89,10,FALSE)*$F587)))))</x:f>
      </x:c>
      <x:c r="Q587" s="18"/>
    </x:row>
    <x:row r="588" ht="25" customHeight="1">
      <x:c r="A588" s="6"/>
      <x:c r="B588" s="30"/>
      <x:c r="C588" s="5"/>
      <x:c r="D588" s="5"/>
      <x:c r="E588" s="32"/>
      <x:c r="F588" s="32"/>
      <x:c r="G588" s="24" t="str">
        <x:f>IF($A588="","",IF(AND($C588="",$E588=""),"",IF($E588="","brak danych",IF($E588=0,0,IF(COUNTIFS($A$10:$A$89,$C588)&lt;&gt;1,"brak danych",IF(COUNTIFS($A$10:$A$89,$C588,$F$10:$F$89,"&lt;&gt;")=0,"brak danych",VLOOKUP($C588,$A$10:$J$89,6,FALSE)*$E588))))))</x:f>
      </x:c>
      <x:c r="H588" s="25" t="str">
        <x:f>IF($A588="","",IF(AND($C588="",$E588=""),"",IF($E588="","brak danych",IF($E588=0,0,IF(COUNTIFS($A$10:$A$89,$C588)&lt;&gt;1,"brak danych",IF(COUNTIFS($A$10:$A$89,$C588,$G$10:$G$89,"&lt;&gt;")=0,"brak danych",VLOOKUP($C588,$A$10:$J$89,7,FALSE)*$E588))))))</x:f>
      </x:c>
      <x:c r="I588" s="25" t="str">
        <x:f>IF($A588="","",IF(AND($C588="",$E588=""),"",IF($E588="","brak danych",IF($E588=0,0,IF(COUNTIFS($A$10:$A$89,$C588)&lt;&gt;1,"brak danych",IF(COUNTIFS($A$10:$A$89,$C588,$H$10:$H$89,"&lt;&gt;")=0,"brak danych",VLOOKUP($C588,$A$10:$J$89,8,FALSE)*$E588))))))</x:f>
      </x:c>
      <x:c r="J588" s="25" t="str">
        <x:f>IF($A588="","",IF(AND($C588="",$E588=""),"",IF($E588="","brak danych",IF($E588=0,0,IF(COUNTIFS($A$10:$A$89,$C588)&lt;&gt;1,"brak danych",IF(COUNTIFS($A$10:$A$89,$C588,$I$10:$I$89,"&lt;&gt;")=0,"brak danych",VLOOKUP($C588,$A$10:$J$89,9,FALSE)*$E588))))))</x:f>
      </x:c>
      <x:c r="K588" s="25" t="str">
        <x:f>IF($A588="","",IF(AND($C588="",$E588=""),"",IF($E588="","brak danych",IF($E588=0,0,IF(COUNTIFS($A$10:$A$89,$C588)&lt;&gt;1,"brak danych",IF(COUNTIFS($A$10:$A$89,$C588,$J$10:$J$89,"&lt;&gt;")=0,"brak danych",VLOOKUP($C588,$A$10:$J$89,10,FALSE)*$E588))))))</x:f>
      </x:c>
      <x:c r="L588" s="24" t="str">
        <x:f>IF($A588="","",IF($F588="","",IF($F588=0,0,IF(COUNTIFS($A$10:$A$89,$C588)&lt;&gt;1,"brak danych",IF(COUNTIFS($A$10:$A$89,$C588,$F$10:$F$89,"&lt;&gt;")=0,"brak danych",VLOOKUP($C588,$A$10:$J$89,6,FALSE)*$F588)))))</x:f>
      </x:c>
      <x:c r="M588" s="25" t="str">
        <x:f>IF($A588="","",IF($F588="","",IF($F588=0,0,IF(COUNTIFS($A$10:$A$89,$C588)&lt;&gt;1,"brak danych",IF(COUNTIFS($A$10:$A$89,$C588,$G$10:$G$89,"&lt;&gt;")=0,"brak danych",VLOOKUP($C588,$A$10:$J$89,7,FALSE)*$F588)))))</x:f>
      </x:c>
      <x:c r="N588" s="25" t="str">
        <x:f>IF($A588="","",IF($F588="","",IF($F588=0,0,IF(COUNTIFS($A$10:$A$89,$C588)&lt;&gt;1,"brak danych",IF(COUNTIFS($A$10:$A$89,$C588,$H$10:$H$89,"&lt;&gt;")=0,"brak danych",VLOOKUP($C588,$A$10:$J$89,8,FALSE)*$F588)))))</x:f>
      </x:c>
      <x:c r="O588" s="25" t="str">
        <x:f>IF($A588="","",IF($F588="","",IF($F588=0,0,IF(COUNTIFS($A$10:$A$89,$C588)&lt;&gt;1,"brak danych",IF(COUNTIFS($A$10:$A$89,$C588,$I$10:$I$89,"&lt;&gt;")=0,"brak danych",VLOOKUP($C588,$A$10:$J$89,9,FALSE)*$F588)))))</x:f>
      </x:c>
      <x:c r="P588" s="25" t="str">
        <x:f>IF($A588="","",IF($F588="","",IF($F588=0,0,IF(COUNTIFS($A$10:$A$89,$C588)&lt;&gt;1,"brak danych",IF(COUNTIFS($A$10:$A$89,$C588,$J$10:$J$89,"&lt;&gt;")=0,"brak danych",VLOOKUP($C588,$A$10:$J$89,10,FALSE)*$F588)))))</x:f>
      </x:c>
      <x:c r="Q588" s="18"/>
    </x:row>
    <x:row r="589" ht="25" customHeight="1">
      <x:c r="A589" s="6"/>
      <x:c r="B589" s="30"/>
      <x:c r="C589" s="5"/>
      <x:c r="D589" s="5"/>
      <x:c r="E589" s="32"/>
      <x:c r="F589" s="32"/>
      <x:c r="G589" s="24" t="str">
        <x:f>IF($A589="","",IF(AND($C589="",$E589=""),"",IF($E589="","brak danych",IF($E589=0,0,IF(COUNTIFS($A$10:$A$89,$C589)&lt;&gt;1,"brak danych",IF(COUNTIFS($A$10:$A$89,$C589,$F$10:$F$89,"&lt;&gt;")=0,"brak danych",VLOOKUP($C589,$A$10:$J$89,6,FALSE)*$E589))))))</x:f>
      </x:c>
      <x:c r="H589" s="25" t="str">
        <x:f>IF($A589="","",IF(AND($C589="",$E589=""),"",IF($E589="","brak danych",IF($E589=0,0,IF(COUNTIFS($A$10:$A$89,$C589)&lt;&gt;1,"brak danych",IF(COUNTIFS($A$10:$A$89,$C589,$G$10:$G$89,"&lt;&gt;")=0,"brak danych",VLOOKUP($C589,$A$10:$J$89,7,FALSE)*$E589))))))</x:f>
      </x:c>
      <x:c r="I589" s="25" t="str">
        <x:f>IF($A589="","",IF(AND($C589="",$E589=""),"",IF($E589="","brak danych",IF($E589=0,0,IF(COUNTIFS($A$10:$A$89,$C589)&lt;&gt;1,"brak danych",IF(COUNTIFS($A$10:$A$89,$C589,$H$10:$H$89,"&lt;&gt;")=0,"brak danych",VLOOKUP($C589,$A$10:$J$89,8,FALSE)*$E589))))))</x:f>
      </x:c>
      <x:c r="J589" s="25" t="str">
        <x:f>IF($A589="","",IF(AND($C589="",$E589=""),"",IF($E589="","brak danych",IF($E589=0,0,IF(COUNTIFS($A$10:$A$89,$C589)&lt;&gt;1,"brak danych",IF(COUNTIFS($A$10:$A$89,$C589,$I$10:$I$89,"&lt;&gt;")=0,"brak danych",VLOOKUP($C589,$A$10:$J$89,9,FALSE)*$E589))))))</x:f>
      </x:c>
      <x:c r="K589" s="25" t="str">
        <x:f>IF($A589="","",IF(AND($C589="",$E589=""),"",IF($E589="","brak danych",IF($E589=0,0,IF(COUNTIFS($A$10:$A$89,$C589)&lt;&gt;1,"brak danych",IF(COUNTIFS($A$10:$A$89,$C589,$J$10:$J$89,"&lt;&gt;")=0,"brak danych",VLOOKUP($C589,$A$10:$J$89,10,FALSE)*$E589))))))</x:f>
      </x:c>
      <x:c r="L589" s="24" t="str">
        <x:f>IF($A589="","",IF($F589="","",IF($F589=0,0,IF(COUNTIFS($A$10:$A$89,$C589)&lt;&gt;1,"brak danych",IF(COUNTIFS($A$10:$A$89,$C589,$F$10:$F$89,"&lt;&gt;")=0,"brak danych",VLOOKUP($C589,$A$10:$J$89,6,FALSE)*$F589)))))</x:f>
      </x:c>
      <x:c r="M589" s="25" t="str">
        <x:f>IF($A589="","",IF($F589="","",IF($F589=0,0,IF(COUNTIFS($A$10:$A$89,$C589)&lt;&gt;1,"brak danych",IF(COUNTIFS($A$10:$A$89,$C589,$G$10:$G$89,"&lt;&gt;")=0,"brak danych",VLOOKUP($C589,$A$10:$J$89,7,FALSE)*$F589)))))</x:f>
      </x:c>
      <x:c r="N589" s="25" t="str">
        <x:f>IF($A589="","",IF($F589="","",IF($F589=0,0,IF(COUNTIFS($A$10:$A$89,$C589)&lt;&gt;1,"brak danych",IF(COUNTIFS($A$10:$A$89,$C589,$H$10:$H$89,"&lt;&gt;")=0,"brak danych",VLOOKUP($C589,$A$10:$J$89,8,FALSE)*$F589)))))</x:f>
      </x:c>
      <x:c r="O589" s="25" t="str">
        <x:f>IF($A589="","",IF($F589="","",IF($F589=0,0,IF(COUNTIFS($A$10:$A$89,$C589)&lt;&gt;1,"brak danych",IF(COUNTIFS($A$10:$A$89,$C589,$I$10:$I$89,"&lt;&gt;")=0,"brak danych",VLOOKUP($C589,$A$10:$J$89,9,FALSE)*$F589)))))</x:f>
      </x:c>
      <x:c r="P589" s="25" t="str">
        <x:f>IF($A589="","",IF($F589="","",IF($F589=0,0,IF(COUNTIFS($A$10:$A$89,$C589)&lt;&gt;1,"brak danych",IF(COUNTIFS($A$10:$A$89,$C589,$J$10:$J$89,"&lt;&gt;")=0,"brak danych",VLOOKUP($C589,$A$10:$J$89,10,FALSE)*$F589)))))</x:f>
      </x:c>
      <x:c r="Q589" s="18"/>
    </x:row>
    <x:row r="590" ht="25" customHeight="1">
      <x:c r="A590" s="6"/>
      <x:c r="B590" s="30"/>
      <x:c r="C590" s="5"/>
      <x:c r="D590" s="5"/>
      <x:c r="E590" s="32"/>
      <x:c r="F590" s="32"/>
      <x:c r="G590" s="24" t="str">
        <x:f>IF($A590="","",IF(AND($C590="",$E590=""),"",IF($E590="","brak danych",IF($E590=0,0,IF(COUNTIFS($A$10:$A$89,$C590)&lt;&gt;1,"brak danych",IF(COUNTIFS($A$10:$A$89,$C590,$F$10:$F$89,"&lt;&gt;")=0,"brak danych",VLOOKUP($C590,$A$10:$J$89,6,FALSE)*$E590))))))</x:f>
      </x:c>
      <x:c r="H590" s="25" t="str">
        <x:f>IF($A590="","",IF(AND($C590="",$E590=""),"",IF($E590="","brak danych",IF($E590=0,0,IF(COUNTIFS($A$10:$A$89,$C590)&lt;&gt;1,"brak danych",IF(COUNTIFS($A$10:$A$89,$C590,$G$10:$G$89,"&lt;&gt;")=0,"brak danych",VLOOKUP($C590,$A$10:$J$89,7,FALSE)*$E590))))))</x:f>
      </x:c>
      <x:c r="I590" s="25" t="str">
        <x:f>IF($A590="","",IF(AND($C590="",$E590=""),"",IF($E590="","brak danych",IF($E590=0,0,IF(COUNTIFS($A$10:$A$89,$C590)&lt;&gt;1,"brak danych",IF(COUNTIFS($A$10:$A$89,$C590,$H$10:$H$89,"&lt;&gt;")=0,"brak danych",VLOOKUP($C590,$A$10:$J$89,8,FALSE)*$E590))))))</x:f>
      </x:c>
      <x:c r="J590" s="25" t="str">
        <x:f>IF($A590="","",IF(AND($C590="",$E590=""),"",IF($E590="","brak danych",IF($E590=0,0,IF(COUNTIFS($A$10:$A$89,$C590)&lt;&gt;1,"brak danych",IF(COUNTIFS($A$10:$A$89,$C590,$I$10:$I$89,"&lt;&gt;")=0,"brak danych",VLOOKUP($C590,$A$10:$J$89,9,FALSE)*$E590))))))</x:f>
      </x:c>
      <x:c r="K590" s="25" t="str">
        <x:f>IF($A590="","",IF(AND($C590="",$E590=""),"",IF($E590="","brak danych",IF($E590=0,0,IF(COUNTIFS($A$10:$A$89,$C590)&lt;&gt;1,"brak danych",IF(COUNTIFS($A$10:$A$89,$C590,$J$10:$J$89,"&lt;&gt;")=0,"brak danych",VLOOKUP($C590,$A$10:$J$89,10,FALSE)*$E590))))))</x:f>
      </x:c>
      <x:c r="L590" s="24" t="str">
        <x:f>IF($A590="","",IF($F590="","",IF($F590=0,0,IF(COUNTIFS($A$10:$A$89,$C590)&lt;&gt;1,"brak danych",IF(COUNTIFS($A$10:$A$89,$C590,$F$10:$F$89,"&lt;&gt;")=0,"brak danych",VLOOKUP($C590,$A$10:$J$89,6,FALSE)*$F590)))))</x:f>
      </x:c>
      <x:c r="M590" s="25" t="str">
        <x:f>IF($A590="","",IF($F590="","",IF($F590=0,0,IF(COUNTIFS($A$10:$A$89,$C590)&lt;&gt;1,"brak danych",IF(COUNTIFS($A$10:$A$89,$C590,$G$10:$G$89,"&lt;&gt;")=0,"brak danych",VLOOKUP($C590,$A$10:$J$89,7,FALSE)*$F590)))))</x:f>
      </x:c>
      <x:c r="N590" s="25" t="str">
        <x:f>IF($A590="","",IF($F590="","",IF($F590=0,0,IF(COUNTIFS($A$10:$A$89,$C590)&lt;&gt;1,"brak danych",IF(COUNTIFS($A$10:$A$89,$C590,$H$10:$H$89,"&lt;&gt;")=0,"brak danych",VLOOKUP($C590,$A$10:$J$89,8,FALSE)*$F590)))))</x:f>
      </x:c>
      <x:c r="O590" s="25" t="str">
        <x:f>IF($A590="","",IF($F590="","",IF($F590=0,0,IF(COUNTIFS($A$10:$A$89,$C590)&lt;&gt;1,"brak danych",IF(COUNTIFS($A$10:$A$89,$C590,$I$10:$I$89,"&lt;&gt;")=0,"brak danych",VLOOKUP($C590,$A$10:$J$89,9,FALSE)*$F590)))))</x:f>
      </x:c>
      <x:c r="P590" s="25" t="str">
        <x:f>IF($A590="","",IF($F590="","",IF($F590=0,0,IF(COUNTIFS($A$10:$A$89,$C590)&lt;&gt;1,"brak danych",IF(COUNTIFS($A$10:$A$89,$C590,$J$10:$J$89,"&lt;&gt;")=0,"brak danych",VLOOKUP($C590,$A$10:$J$89,10,FALSE)*$F590)))))</x:f>
      </x:c>
      <x:c r="Q590" s="18"/>
    </x:row>
    <x:row r="591" ht="25" customHeight="1">
      <x:c r="A591" s="6"/>
      <x:c r="B591" s="30"/>
      <x:c r="C591" s="5"/>
      <x:c r="D591" s="5"/>
      <x:c r="E591" s="32"/>
      <x:c r="F591" s="32"/>
      <x:c r="G591" s="24" t="str">
        <x:f>IF($A591="","",IF(AND($C591="",$E591=""),"",IF($E591="","brak danych",IF($E591=0,0,IF(COUNTIFS($A$10:$A$89,$C591)&lt;&gt;1,"brak danych",IF(COUNTIFS($A$10:$A$89,$C591,$F$10:$F$89,"&lt;&gt;")=0,"brak danych",VLOOKUP($C591,$A$10:$J$89,6,FALSE)*$E591))))))</x:f>
      </x:c>
      <x:c r="H591" s="25" t="str">
        <x:f>IF($A591="","",IF(AND($C591="",$E591=""),"",IF($E591="","brak danych",IF($E591=0,0,IF(COUNTIFS($A$10:$A$89,$C591)&lt;&gt;1,"brak danych",IF(COUNTIFS($A$10:$A$89,$C591,$G$10:$G$89,"&lt;&gt;")=0,"brak danych",VLOOKUP($C591,$A$10:$J$89,7,FALSE)*$E591))))))</x:f>
      </x:c>
      <x:c r="I591" s="25" t="str">
        <x:f>IF($A591="","",IF(AND($C591="",$E591=""),"",IF($E591="","brak danych",IF($E591=0,0,IF(COUNTIFS($A$10:$A$89,$C591)&lt;&gt;1,"brak danych",IF(COUNTIFS($A$10:$A$89,$C591,$H$10:$H$89,"&lt;&gt;")=0,"brak danych",VLOOKUP($C591,$A$10:$J$89,8,FALSE)*$E591))))))</x:f>
      </x:c>
      <x:c r="J591" s="25" t="str">
        <x:f>IF($A591="","",IF(AND($C591="",$E591=""),"",IF($E591="","brak danych",IF($E591=0,0,IF(COUNTIFS($A$10:$A$89,$C591)&lt;&gt;1,"brak danych",IF(COUNTIFS($A$10:$A$89,$C591,$I$10:$I$89,"&lt;&gt;")=0,"brak danych",VLOOKUP($C591,$A$10:$J$89,9,FALSE)*$E591))))))</x:f>
      </x:c>
      <x:c r="K591" s="25" t="str">
        <x:f>IF($A591="","",IF(AND($C591="",$E591=""),"",IF($E591="","brak danych",IF($E591=0,0,IF(COUNTIFS($A$10:$A$89,$C591)&lt;&gt;1,"brak danych",IF(COUNTIFS($A$10:$A$89,$C591,$J$10:$J$89,"&lt;&gt;")=0,"brak danych",VLOOKUP($C591,$A$10:$J$89,10,FALSE)*$E591))))))</x:f>
      </x:c>
      <x:c r="L591" s="24" t="str">
        <x:f>IF($A591="","",IF($F591="","",IF($F591=0,0,IF(COUNTIFS($A$10:$A$89,$C591)&lt;&gt;1,"brak danych",IF(COUNTIFS($A$10:$A$89,$C591,$F$10:$F$89,"&lt;&gt;")=0,"brak danych",VLOOKUP($C591,$A$10:$J$89,6,FALSE)*$F591)))))</x:f>
      </x:c>
      <x:c r="M591" s="25" t="str">
        <x:f>IF($A591="","",IF($F591="","",IF($F591=0,0,IF(COUNTIFS($A$10:$A$89,$C591)&lt;&gt;1,"brak danych",IF(COUNTIFS($A$10:$A$89,$C591,$G$10:$G$89,"&lt;&gt;")=0,"brak danych",VLOOKUP($C591,$A$10:$J$89,7,FALSE)*$F591)))))</x:f>
      </x:c>
      <x:c r="N591" s="25" t="str">
        <x:f>IF($A591="","",IF($F591="","",IF($F591=0,0,IF(COUNTIFS($A$10:$A$89,$C591)&lt;&gt;1,"brak danych",IF(COUNTIFS($A$10:$A$89,$C591,$H$10:$H$89,"&lt;&gt;")=0,"brak danych",VLOOKUP($C591,$A$10:$J$89,8,FALSE)*$F591)))))</x:f>
      </x:c>
      <x:c r="O591" s="25" t="str">
        <x:f>IF($A591="","",IF($F591="","",IF($F591=0,0,IF(COUNTIFS($A$10:$A$89,$C591)&lt;&gt;1,"brak danych",IF(COUNTIFS($A$10:$A$89,$C591,$I$10:$I$89,"&lt;&gt;")=0,"brak danych",VLOOKUP($C591,$A$10:$J$89,9,FALSE)*$F591)))))</x:f>
      </x:c>
      <x:c r="P591" s="25" t="str">
        <x:f>IF($A591="","",IF($F591="","",IF($F591=0,0,IF(COUNTIFS($A$10:$A$89,$C591)&lt;&gt;1,"brak danych",IF(COUNTIFS($A$10:$A$89,$C591,$J$10:$J$89,"&lt;&gt;")=0,"brak danych",VLOOKUP($C591,$A$10:$J$89,10,FALSE)*$F591)))))</x:f>
      </x:c>
      <x:c r="Q591" s="18"/>
    </x:row>
    <x:row r="592" ht="25" customHeight="1">
      <x:c r="A592" s="6"/>
      <x:c r="B592" s="30"/>
      <x:c r="C592" s="5"/>
      <x:c r="D592" s="5"/>
      <x:c r="E592" s="32"/>
      <x:c r="F592" s="32"/>
      <x:c r="G592" s="24" t="str">
        <x:f>IF($A592="","",IF(AND($C592="",$E592=""),"",IF($E592="","brak danych",IF($E592=0,0,IF(COUNTIFS($A$10:$A$89,$C592)&lt;&gt;1,"brak danych",IF(COUNTIFS($A$10:$A$89,$C592,$F$10:$F$89,"&lt;&gt;")=0,"brak danych",VLOOKUP($C592,$A$10:$J$89,6,FALSE)*$E592))))))</x:f>
      </x:c>
      <x:c r="H592" s="25" t="str">
        <x:f>IF($A592="","",IF(AND($C592="",$E592=""),"",IF($E592="","brak danych",IF($E592=0,0,IF(COUNTIFS($A$10:$A$89,$C592)&lt;&gt;1,"brak danych",IF(COUNTIFS($A$10:$A$89,$C592,$G$10:$G$89,"&lt;&gt;")=0,"brak danych",VLOOKUP($C592,$A$10:$J$89,7,FALSE)*$E592))))))</x:f>
      </x:c>
      <x:c r="I592" s="25" t="str">
        <x:f>IF($A592="","",IF(AND($C592="",$E592=""),"",IF($E592="","brak danych",IF($E592=0,0,IF(COUNTIFS($A$10:$A$89,$C592)&lt;&gt;1,"brak danych",IF(COUNTIFS($A$10:$A$89,$C592,$H$10:$H$89,"&lt;&gt;")=0,"brak danych",VLOOKUP($C592,$A$10:$J$89,8,FALSE)*$E592))))))</x:f>
      </x:c>
      <x:c r="J592" s="25" t="str">
        <x:f>IF($A592="","",IF(AND($C592="",$E592=""),"",IF($E592="","brak danych",IF($E592=0,0,IF(COUNTIFS($A$10:$A$89,$C592)&lt;&gt;1,"brak danych",IF(COUNTIFS($A$10:$A$89,$C592,$I$10:$I$89,"&lt;&gt;")=0,"brak danych",VLOOKUP($C592,$A$10:$J$89,9,FALSE)*$E592))))))</x:f>
      </x:c>
      <x:c r="K592" s="25" t="str">
        <x:f>IF($A592="","",IF(AND($C592="",$E592=""),"",IF($E592="","brak danych",IF($E592=0,0,IF(COUNTIFS($A$10:$A$89,$C592)&lt;&gt;1,"brak danych",IF(COUNTIFS($A$10:$A$89,$C592,$J$10:$J$89,"&lt;&gt;")=0,"brak danych",VLOOKUP($C592,$A$10:$J$89,10,FALSE)*$E592))))))</x:f>
      </x:c>
      <x:c r="L592" s="24" t="str">
        <x:f>IF($A592="","",IF($F592="","",IF($F592=0,0,IF(COUNTIFS($A$10:$A$89,$C592)&lt;&gt;1,"brak danych",IF(COUNTIFS($A$10:$A$89,$C592,$F$10:$F$89,"&lt;&gt;")=0,"brak danych",VLOOKUP($C592,$A$10:$J$89,6,FALSE)*$F592)))))</x:f>
      </x:c>
      <x:c r="M592" s="25" t="str">
        <x:f>IF($A592="","",IF($F592="","",IF($F592=0,0,IF(COUNTIFS($A$10:$A$89,$C592)&lt;&gt;1,"brak danych",IF(COUNTIFS($A$10:$A$89,$C592,$G$10:$G$89,"&lt;&gt;")=0,"brak danych",VLOOKUP($C592,$A$10:$J$89,7,FALSE)*$F592)))))</x:f>
      </x:c>
      <x:c r="N592" s="25" t="str">
        <x:f>IF($A592="","",IF($F592="","",IF($F592=0,0,IF(COUNTIFS($A$10:$A$89,$C592)&lt;&gt;1,"brak danych",IF(COUNTIFS($A$10:$A$89,$C592,$H$10:$H$89,"&lt;&gt;")=0,"brak danych",VLOOKUP($C592,$A$10:$J$89,8,FALSE)*$F592)))))</x:f>
      </x:c>
      <x:c r="O592" s="25" t="str">
        <x:f>IF($A592="","",IF($F592="","",IF($F592=0,0,IF(COUNTIFS($A$10:$A$89,$C592)&lt;&gt;1,"brak danych",IF(COUNTIFS($A$10:$A$89,$C592,$I$10:$I$89,"&lt;&gt;")=0,"brak danych",VLOOKUP($C592,$A$10:$J$89,9,FALSE)*$F592)))))</x:f>
      </x:c>
      <x:c r="P592" s="25" t="str">
        <x:f>IF($A592="","",IF($F592="","",IF($F592=0,0,IF(COUNTIFS($A$10:$A$89,$C592)&lt;&gt;1,"brak danych",IF(COUNTIFS($A$10:$A$89,$C592,$J$10:$J$89,"&lt;&gt;")=0,"brak danych",VLOOKUP($C592,$A$10:$J$89,10,FALSE)*$F592)))))</x:f>
      </x:c>
      <x:c r="Q592" s="18"/>
    </x:row>
    <x:row r="593" ht="25" customHeight="1">
      <x:c r="A593" s="6"/>
      <x:c r="B593" s="30"/>
      <x:c r="C593" s="5"/>
      <x:c r="D593" s="5"/>
      <x:c r="E593" s="32"/>
      <x:c r="F593" s="32"/>
      <x:c r="G593" s="24" t="str">
        <x:f>IF($A593="","",IF(AND($C593="",$E593=""),"",IF($E593="","brak danych",IF($E593=0,0,IF(COUNTIFS($A$10:$A$89,$C593)&lt;&gt;1,"brak danych",IF(COUNTIFS($A$10:$A$89,$C593,$F$10:$F$89,"&lt;&gt;")=0,"brak danych",VLOOKUP($C593,$A$10:$J$89,6,FALSE)*$E593))))))</x:f>
      </x:c>
      <x:c r="H593" s="25" t="str">
        <x:f>IF($A593="","",IF(AND($C593="",$E593=""),"",IF($E593="","brak danych",IF($E593=0,0,IF(COUNTIFS($A$10:$A$89,$C593)&lt;&gt;1,"brak danych",IF(COUNTIFS($A$10:$A$89,$C593,$G$10:$G$89,"&lt;&gt;")=0,"brak danych",VLOOKUP($C593,$A$10:$J$89,7,FALSE)*$E593))))))</x:f>
      </x:c>
      <x:c r="I593" s="25" t="str">
        <x:f>IF($A593="","",IF(AND($C593="",$E593=""),"",IF($E593="","brak danych",IF($E593=0,0,IF(COUNTIFS($A$10:$A$89,$C593)&lt;&gt;1,"brak danych",IF(COUNTIFS($A$10:$A$89,$C593,$H$10:$H$89,"&lt;&gt;")=0,"brak danych",VLOOKUP($C593,$A$10:$J$89,8,FALSE)*$E593))))))</x:f>
      </x:c>
      <x:c r="J593" s="25" t="str">
        <x:f>IF($A593="","",IF(AND($C593="",$E593=""),"",IF($E593="","brak danych",IF($E593=0,0,IF(COUNTIFS($A$10:$A$89,$C593)&lt;&gt;1,"brak danych",IF(COUNTIFS($A$10:$A$89,$C593,$I$10:$I$89,"&lt;&gt;")=0,"brak danych",VLOOKUP($C593,$A$10:$J$89,9,FALSE)*$E593))))))</x:f>
      </x:c>
      <x:c r="K593" s="25" t="str">
        <x:f>IF($A593="","",IF(AND($C593="",$E593=""),"",IF($E593="","brak danych",IF($E593=0,0,IF(COUNTIFS($A$10:$A$89,$C593)&lt;&gt;1,"brak danych",IF(COUNTIFS($A$10:$A$89,$C593,$J$10:$J$89,"&lt;&gt;")=0,"brak danych",VLOOKUP($C593,$A$10:$J$89,10,FALSE)*$E593))))))</x:f>
      </x:c>
      <x:c r="L593" s="24" t="str">
        <x:f>IF($A593="","",IF($F593="","",IF($F593=0,0,IF(COUNTIFS($A$10:$A$89,$C593)&lt;&gt;1,"brak danych",IF(COUNTIFS($A$10:$A$89,$C593,$F$10:$F$89,"&lt;&gt;")=0,"brak danych",VLOOKUP($C593,$A$10:$J$89,6,FALSE)*$F593)))))</x:f>
      </x:c>
      <x:c r="M593" s="25" t="str">
        <x:f>IF($A593="","",IF($F593="","",IF($F593=0,0,IF(COUNTIFS($A$10:$A$89,$C593)&lt;&gt;1,"brak danych",IF(COUNTIFS($A$10:$A$89,$C593,$G$10:$G$89,"&lt;&gt;")=0,"brak danych",VLOOKUP($C593,$A$10:$J$89,7,FALSE)*$F593)))))</x:f>
      </x:c>
      <x:c r="N593" s="25" t="str">
        <x:f>IF($A593="","",IF($F593="","",IF($F593=0,0,IF(COUNTIFS($A$10:$A$89,$C593)&lt;&gt;1,"brak danych",IF(COUNTIFS($A$10:$A$89,$C593,$H$10:$H$89,"&lt;&gt;")=0,"brak danych",VLOOKUP($C593,$A$10:$J$89,8,FALSE)*$F593)))))</x:f>
      </x:c>
      <x:c r="O593" s="25" t="str">
        <x:f>IF($A593="","",IF($F593="","",IF($F593=0,0,IF(COUNTIFS($A$10:$A$89,$C593)&lt;&gt;1,"brak danych",IF(COUNTIFS($A$10:$A$89,$C593,$I$10:$I$89,"&lt;&gt;")=0,"brak danych",VLOOKUP($C593,$A$10:$J$89,9,FALSE)*$F593)))))</x:f>
      </x:c>
      <x:c r="P593" s="25" t="str">
        <x:f>IF($A593="","",IF($F593="","",IF($F593=0,0,IF(COUNTIFS($A$10:$A$89,$C593)&lt;&gt;1,"brak danych",IF(COUNTIFS($A$10:$A$89,$C593,$J$10:$J$89,"&lt;&gt;")=0,"brak danych",VLOOKUP($C593,$A$10:$J$89,10,FALSE)*$F593)))))</x:f>
      </x:c>
      <x:c r="Q593" s="18"/>
    </x:row>
    <x:row r="594" ht="25" customHeight="1">
      <x:c r="A594" s="6"/>
      <x:c r="B594" s="30"/>
      <x:c r="C594" s="5"/>
      <x:c r="D594" s="5"/>
      <x:c r="E594" s="32"/>
      <x:c r="F594" s="32"/>
      <x:c r="G594" s="24" t="str">
        <x:f>IF($A594="","",IF(AND($C594="",$E594=""),"",IF($E594="","brak danych",IF($E594=0,0,IF(COUNTIFS($A$10:$A$89,$C594)&lt;&gt;1,"brak danych",IF(COUNTIFS($A$10:$A$89,$C594,$F$10:$F$89,"&lt;&gt;")=0,"brak danych",VLOOKUP($C594,$A$10:$J$89,6,FALSE)*$E594))))))</x:f>
      </x:c>
      <x:c r="H594" s="25" t="str">
        <x:f>IF($A594="","",IF(AND($C594="",$E594=""),"",IF($E594="","brak danych",IF($E594=0,0,IF(COUNTIFS($A$10:$A$89,$C594)&lt;&gt;1,"brak danych",IF(COUNTIFS($A$10:$A$89,$C594,$G$10:$G$89,"&lt;&gt;")=0,"brak danych",VLOOKUP($C594,$A$10:$J$89,7,FALSE)*$E594))))))</x:f>
      </x:c>
      <x:c r="I594" s="25" t="str">
        <x:f>IF($A594="","",IF(AND($C594="",$E594=""),"",IF($E594="","brak danych",IF($E594=0,0,IF(COUNTIFS($A$10:$A$89,$C594)&lt;&gt;1,"brak danych",IF(COUNTIFS($A$10:$A$89,$C594,$H$10:$H$89,"&lt;&gt;")=0,"brak danych",VLOOKUP($C594,$A$10:$J$89,8,FALSE)*$E594))))))</x:f>
      </x:c>
      <x:c r="J594" s="25" t="str">
        <x:f>IF($A594="","",IF(AND($C594="",$E594=""),"",IF($E594="","brak danych",IF($E594=0,0,IF(COUNTIFS($A$10:$A$89,$C594)&lt;&gt;1,"brak danych",IF(COUNTIFS($A$10:$A$89,$C594,$I$10:$I$89,"&lt;&gt;")=0,"brak danych",VLOOKUP($C594,$A$10:$J$89,9,FALSE)*$E594))))))</x:f>
      </x:c>
      <x:c r="K594" s="25" t="str">
        <x:f>IF($A594="","",IF(AND($C594="",$E594=""),"",IF($E594="","brak danych",IF($E594=0,0,IF(COUNTIFS($A$10:$A$89,$C594)&lt;&gt;1,"brak danych",IF(COUNTIFS($A$10:$A$89,$C594,$J$10:$J$89,"&lt;&gt;")=0,"brak danych",VLOOKUP($C594,$A$10:$J$89,10,FALSE)*$E594))))))</x:f>
      </x:c>
      <x:c r="L594" s="24" t="str">
        <x:f>IF($A594="","",IF($F594="","",IF($F594=0,0,IF(COUNTIFS($A$10:$A$89,$C594)&lt;&gt;1,"brak danych",IF(COUNTIFS($A$10:$A$89,$C594,$F$10:$F$89,"&lt;&gt;")=0,"brak danych",VLOOKUP($C594,$A$10:$J$89,6,FALSE)*$F594)))))</x:f>
      </x:c>
      <x:c r="M594" s="25" t="str">
        <x:f>IF($A594="","",IF($F594="","",IF($F594=0,0,IF(COUNTIFS($A$10:$A$89,$C594)&lt;&gt;1,"brak danych",IF(COUNTIFS($A$10:$A$89,$C594,$G$10:$G$89,"&lt;&gt;")=0,"brak danych",VLOOKUP($C594,$A$10:$J$89,7,FALSE)*$F594)))))</x:f>
      </x:c>
      <x:c r="N594" s="25" t="str">
        <x:f>IF($A594="","",IF($F594="","",IF($F594=0,0,IF(COUNTIFS($A$10:$A$89,$C594)&lt;&gt;1,"brak danych",IF(COUNTIFS($A$10:$A$89,$C594,$H$10:$H$89,"&lt;&gt;")=0,"brak danych",VLOOKUP($C594,$A$10:$J$89,8,FALSE)*$F594)))))</x:f>
      </x:c>
      <x:c r="O594" s="25" t="str">
        <x:f>IF($A594="","",IF($F594="","",IF($F594=0,0,IF(COUNTIFS($A$10:$A$89,$C594)&lt;&gt;1,"brak danych",IF(COUNTIFS($A$10:$A$89,$C594,$I$10:$I$89,"&lt;&gt;")=0,"brak danych",VLOOKUP($C594,$A$10:$J$89,9,FALSE)*$F594)))))</x:f>
      </x:c>
      <x:c r="P594" s="25" t="str">
        <x:f>IF($A594="","",IF($F594="","",IF($F594=0,0,IF(COUNTIFS($A$10:$A$89,$C594)&lt;&gt;1,"brak danych",IF(COUNTIFS($A$10:$A$89,$C594,$J$10:$J$89,"&lt;&gt;")=0,"brak danych",VLOOKUP($C594,$A$10:$J$89,10,FALSE)*$F594)))))</x:f>
      </x:c>
      <x:c r="Q594" s="18"/>
    </x:row>
    <x:row r="595" ht="25" customHeight="1">
      <x:c r="A595" s="6"/>
      <x:c r="B595" s="30"/>
      <x:c r="C595" s="5"/>
      <x:c r="D595" s="5"/>
      <x:c r="E595" s="32"/>
      <x:c r="F595" s="32"/>
      <x:c r="G595" s="24" t="str">
        <x:f>IF($A595="","",IF(AND($C595="",$E595=""),"",IF($E595="","brak danych",IF($E595=0,0,IF(COUNTIFS($A$10:$A$89,$C595)&lt;&gt;1,"brak danych",IF(COUNTIFS($A$10:$A$89,$C595,$F$10:$F$89,"&lt;&gt;")=0,"brak danych",VLOOKUP($C595,$A$10:$J$89,6,FALSE)*$E595))))))</x:f>
      </x:c>
      <x:c r="H595" s="25" t="str">
        <x:f>IF($A595="","",IF(AND($C595="",$E595=""),"",IF($E595="","brak danych",IF($E595=0,0,IF(COUNTIFS($A$10:$A$89,$C595)&lt;&gt;1,"brak danych",IF(COUNTIFS($A$10:$A$89,$C595,$G$10:$G$89,"&lt;&gt;")=0,"brak danych",VLOOKUP($C595,$A$10:$J$89,7,FALSE)*$E595))))))</x:f>
      </x:c>
      <x:c r="I595" s="25" t="str">
        <x:f>IF($A595="","",IF(AND($C595="",$E595=""),"",IF($E595="","brak danych",IF($E595=0,0,IF(COUNTIFS($A$10:$A$89,$C595)&lt;&gt;1,"brak danych",IF(COUNTIFS($A$10:$A$89,$C595,$H$10:$H$89,"&lt;&gt;")=0,"brak danych",VLOOKUP($C595,$A$10:$J$89,8,FALSE)*$E595))))))</x:f>
      </x:c>
      <x:c r="J595" s="25" t="str">
        <x:f>IF($A595="","",IF(AND($C595="",$E595=""),"",IF($E595="","brak danych",IF($E595=0,0,IF(COUNTIFS($A$10:$A$89,$C595)&lt;&gt;1,"brak danych",IF(COUNTIFS($A$10:$A$89,$C595,$I$10:$I$89,"&lt;&gt;")=0,"brak danych",VLOOKUP($C595,$A$10:$J$89,9,FALSE)*$E595))))))</x:f>
      </x:c>
      <x:c r="K595" s="25" t="str">
        <x:f>IF($A595="","",IF(AND($C595="",$E595=""),"",IF($E595="","brak danych",IF($E595=0,0,IF(COUNTIFS($A$10:$A$89,$C595)&lt;&gt;1,"brak danych",IF(COUNTIFS($A$10:$A$89,$C595,$J$10:$J$89,"&lt;&gt;")=0,"brak danych",VLOOKUP($C595,$A$10:$J$89,10,FALSE)*$E595))))))</x:f>
      </x:c>
      <x:c r="L595" s="24" t="str">
        <x:f>IF($A595="","",IF($F595="","",IF($F595=0,0,IF(COUNTIFS($A$10:$A$89,$C595)&lt;&gt;1,"brak danych",IF(COUNTIFS($A$10:$A$89,$C595,$F$10:$F$89,"&lt;&gt;")=0,"brak danych",VLOOKUP($C595,$A$10:$J$89,6,FALSE)*$F595)))))</x:f>
      </x:c>
      <x:c r="M595" s="25" t="str">
        <x:f>IF($A595="","",IF($F595="","",IF($F595=0,0,IF(COUNTIFS($A$10:$A$89,$C595)&lt;&gt;1,"brak danych",IF(COUNTIFS($A$10:$A$89,$C595,$G$10:$G$89,"&lt;&gt;")=0,"brak danych",VLOOKUP($C595,$A$10:$J$89,7,FALSE)*$F595)))))</x:f>
      </x:c>
      <x:c r="N595" s="25" t="str">
        <x:f>IF($A595="","",IF($F595="","",IF($F595=0,0,IF(COUNTIFS($A$10:$A$89,$C595)&lt;&gt;1,"brak danych",IF(COUNTIFS($A$10:$A$89,$C595,$H$10:$H$89,"&lt;&gt;")=0,"brak danych",VLOOKUP($C595,$A$10:$J$89,8,FALSE)*$F595)))))</x:f>
      </x:c>
      <x:c r="O595" s="25" t="str">
        <x:f>IF($A595="","",IF($F595="","",IF($F595=0,0,IF(COUNTIFS($A$10:$A$89,$C595)&lt;&gt;1,"brak danych",IF(COUNTIFS($A$10:$A$89,$C595,$I$10:$I$89,"&lt;&gt;")=0,"brak danych",VLOOKUP($C595,$A$10:$J$89,9,FALSE)*$F595)))))</x:f>
      </x:c>
      <x:c r="P595" s="25" t="str">
        <x:f>IF($A595="","",IF($F595="","",IF($F595=0,0,IF(COUNTIFS($A$10:$A$89,$C595)&lt;&gt;1,"brak danych",IF(COUNTIFS($A$10:$A$89,$C595,$J$10:$J$89,"&lt;&gt;")=0,"brak danych",VLOOKUP($C595,$A$10:$J$89,10,FALSE)*$F595)))))</x:f>
      </x:c>
      <x:c r="Q595" s="18"/>
    </x:row>
    <x:row r="596" ht="25" customHeight="1">
      <x:c r="A596" s="6"/>
      <x:c r="B596" s="30"/>
      <x:c r="C596" s="5"/>
      <x:c r="D596" s="5"/>
      <x:c r="E596" s="32"/>
      <x:c r="F596" s="32"/>
      <x:c r="G596" s="24" t="str">
        <x:f>IF($A596="","",IF(AND($C596="",$E596=""),"",IF($E596="","brak danych",IF($E596=0,0,IF(COUNTIFS($A$10:$A$89,$C596)&lt;&gt;1,"brak danych",IF(COUNTIFS($A$10:$A$89,$C596,$F$10:$F$89,"&lt;&gt;")=0,"brak danych",VLOOKUP($C596,$A$10:$J$89,6,FALSE)*$E596))))))</x:f>
      </x:c>
      <x:c r="H596" s="25" t="str">
        <x:f>IF($A596="","",IF(AND($C596="",$E596=""),"",IF($E596="","brak danych",IF($E596=0,0,IF(COUNTIFS($A$10:$A$89,$C596)&lt;&gt;1,"brak danych",IF(COUNTIFS($A$10:$A$89,$C596,$G$10:$G$89,"&lt;&gt;")=0,"brak danych",VLOOKUP($C596,$A$10:$J$89,7,FALSE)*$E596))))))</x:f>
      </x:c>
      <x:c r="I596" s="25" t="str">
        <x:f>IF($A596="","",IF(AND($C596="",$E596=""),"",IF($E596="","brak danych",IF($E596=0,0,IF(COUNTIFS($A$10:$A$89,$C596)&lt;&gt;1,"brak danych",IF(COUNTIFS($A$10:$A$89,$C596,$H$10:$H$89,"&lt;&gt;")=0,"brak danych",VLOOKUP($C596,$A$10:$J$89,8,FALSE)*$E596))))))</x:f>
      </x:c>
      <x:c r="J596" s="25" t="str">
        <x:f>IF($A596="","",IF(AND($C596="",$E596=""),"",IF($E596="","brak danych",IF($E596=0,0,IF(COUNTIFS($A$10:$A$89,$C596)&lt;&gt;1,"brak danych",IF(COUNTIFS($A$10:$A$89,$C596,$I$10:$I$89,"&lt;&gt;")=0,"brak danych",VLOOKUP($C596,$A$10:$J$89,9,FALSE)*$E596))))))</x:f>
      </x:c>
      <x:c r="K596" s="25" t="str">
        <x:f>IF($A596="","",IF(AND($C596="",$E596=""),"",IF($E596="","brak danych",IF($E596=0,0,IF(COUNTIFS($A$10:$A$89,$C596)&lt;&gt;1,"brak danych",IF(COUNTIFS($A$10:$A$89,$C596,$J$10:$J$89,"&lt;&gt;")=0,"brak danych",VLOOKUP($C596,$A$10:$J$89,10,FALSE)*$E596))))))</x:f>
      </x:c>
      <x:c r="L596" s="24" t="str">
        <x:f>IF($A596="","",IF($F596="","",IF($F596=0,0,IF(COUNTIFS($A$10:$A$89,$C596)&lt;&gt;1,"brak danych",IF(COUNTIFS($A$10:$A$89,$C596,$F$10:$F$89,"&lt;&gt;")=0,"brak danych",VLOOKUP($C596,$A$10:$J$89,6,FALSE)*$F596)))))</x:f>
      </x:c>
      <x:c r="M596" s="25" t="str">
        <x:f>IF($A596="","",IF($F596="","",IF($F596=0,0,IF(COUNTIFS($A$10:$A$89,$C596)&lt;&gt;1,"brak danych",IF(COUNTIFS($A$10:$A$89,$C596,$G$10:$G$89,"&lt;&gt;")=0,"brak danych",VLOOKUP($C596,$A$10:$J$89,7,FALSE)*$F596)))))</x:f>
      </x:c>
      <x:c r="N596" s="25" t="str">
        <x:f>IF($A596="","",IF($F596="","",IF($F596=0,0,IF(COUNTIFS($A$10:$A$89,$C596)&lt;&gt;1,"brak danych",IF(COUNTIFS($A$10:$A$89,$C596,$H$10:$H$89,"&lt;&gt;")=0,"brak danych",VLOOKUP($C596,$A$10:$J$89,8,FALSE)*$F596)))))</x:f>
      </x:c>
      <x:c r="O596" s="25" t="str">
        <x:f>IF($A596="","",IF($F596="","",IF($F596=0,0,IF(COUNTIFS($A$10:$A$89,$C596)&lt;&gt;1,"brak danych",IF(COUNTIFS($A$10:$A$89,$C596,$I$10:$I$89,"&lt;&gt;")=0,"brak danych",VLOOKUP($C596,$A$10:$J$89,9,FALSE)*$F596)))))</x:f>
      </x:c>
      <x:c r="P596" s="25" t="str">
        <x:f>IF($A596="","",IF($F596="","",IF($F596=0,0,IF(COUNTIFS($A$10:$A$89,$C596)&lt;&gt;1,"brak danych",IF(COUNTIFS($A$10:$A$89,$C596,$J$10:$J$89,"&lt;&gt;")=0,"brak danych",VLOOKUP($C596,$A$10:$J$89,10,FALSE)*$F596)))))</x:f>
      </x:c>
      <x:c r="Q596" s="18"/>
    </x:row>
    <x:row r="597" ht="25" customHeight="1">
      <x:c r="A597" s="6"/>
      <x:c r="B597" s="30"/>
      <x:c r="C597" s="5"/>
      <x:c r="D597" s="5"/>
      <x:c r="E597" s="32"/>
      <x:c r="F597" s="32"/>
      <x:c r="G597" s="24" t="str">
        <x:f>IF($A597="","",IF(AND($C597="",$E597=""),"",IF($E597="","brak danych",IF($E597=0,0,IF(COUNTIFS($A$10:$A$89,$C597)&lt;&gt;1,"brak danych",IF(COUNTIFS($A$10:$A$89,$C597,$F$10:$F$89,"&lt;&gt;")=0,"brak danych",VLOOKUP($C597,$A$10:$J$89,6,FALSE)*$E597))))))</x:f>
      </x:c>
      <x:c r="H597" s="25" t="str">
        <x:f>IF($A597="","",IF(AND($C597="",$E597=""),"",IF($E597="","brak danych",IF($E597=0,0,IF(COUNTIFS($A$10:$A$89,$C597)&lt;&gt;1,"brak danych",IF(COUNTIFS($A$10:$A$89,$C597,$G$10:$G$89,"&lt;&gt;")=0,"brak danych",VLOOKUP($C597,$A$10:$J$89,7,FALSE)*$E597))))))</x:f>
      </x:c>
      <x:c r="I597" s="25" t="str">
        <x:f>IF($A597="","",IF(AND($C597="",$E597=""),"",IF($E597="","brak danych",IF($E597=0,0,IF(COUNTIFS($A$10:$A$89,$C597)&lt;&gt;1,"brak danych",IF(COUNTIFS($A$10:$A$89,$C597,$H$10:$H$89,"&lt;&gt;")=0,"brak danych",VLOOKUP($C597,$A$10:$J$89,8,FALSE)*$E597))))))</x:f>
      </x:c>
      <x:c r="J597" s="25" t="str">
        <x:f>IF($A597="","",IF(AND($C597="",$E597=""),"",IF($E597="","brak danych",IF($E597=0,0,IF(COUNTIFS($A$10:$A$89,$C597)&lt;&gt;1,"brak danych",IF(COUNTIFS($A$10:$A$89,$C597,$I$10:$I$89,"&lt;&gt;")=0,"brak danych",VLOOKUP($C597,$A$10:$J$89,9,FALSE)*$E597))))))</x:f>
      </x:c>
      <x:c r="K597" s="25" t="str">
        <x:f>IF($A597="","",IF(AND($C597="",$E597=""),"",IF($E597="","brak danych",IF($E597=0,0,IF(COUNTIFS($A$10:$A$89,$C597)&lt;&gt;1,"brak danych",IF(COUNTIFS($A$10:$A$89,$C597,$J$10:$J$89,"&lt;&gt;")=0,"brak danych",VLOOKUP($C597,$A$10:$J$89,10,FALSE)*$E597))))))</x:f>
      </x:c>
      <x:c r="L597" s="24" t="str">
        <x:f>IF($A597="","",IF($F597="","",IF($F597=0,0,IF(COUNTIFS($A$10:$A$89,$C597)&lt;&gt;1,"brak danych",IF(COUNTIFS($A$10:$A$89,$C597,$F$10:$F$89,"&lt;&gt;")=0,"brak danych",VLOOKUP($C597,$A$10:$J$89,6,FALSE)*$F597)))))</x:f>
      </x:c>
      <x:c r="M597" s="25" t="str">
        <x:f>IF($A597="","",IF($F597="","",IF($F597=0,0,IF(COUNTIFS($A$10:$A$89,$C597)&lt;&gt;1,"brak danych",IF(COUNTIFS($A$10:$A$89,$C597,$G$10:$G$89,"&lt;&gt;")=0,"brak danych",VLOOKUP($C597,$A$10:$J$89,7,FALSE)*$F597)))))</x:f>
      </x:c>
      <x:c r="N597" s="25" t="str">
        <x:f>IF($A597="","",IF($F597="","",IF($F597=0,0,IF(COUNTIFS($A$10:$A$89,$C597)&lt;&gt;1,"brak danych",IF(COUNTIFS($A$10:$A$89,$C597,$H$10:$H$89,"&lt;&gt;")=0,"brak danych",VLOOKUP($C597,$A$10:$J$89,8,FALSE)*$F597)))))</x:f>
      </x:c>
      <x:c r="O597" s="25" t="str">
        <x:f>IF($A597="","",IF($F597="","",IF($F597=0,0,IF(COUNTIFS($A$10:$A$89,$C597)&lt;&gt;1,"brak danych",IF(COUNTIFS($A$10:$A$89,$C597,$I$10:$I$89,"&lt;&gt;")=0,"brak danych",VLOOKUP($C597,$A$10:$J$89,9,FALSE)*$F597)))))</x:f>
      </x:c>
      <x:c r="P597" s="25" t="str">
        <x:f>IF($A597="","",IF($F597="","",IF($F597=0,0,IF(COUNTIFS($A$10:$A$89,$C597)&lt;&gt;1,"brak danych",IF(COUNTIFS($A$10:$A$89,$C597,$J$10:$J$89,"&lt;&gt;")=0,"brak danych",VLOOKUP($C597,$A$10:$J$89,10,FALSE)*$F597)))))</x:f>
      </x:c>
      <x:c r="Q597" s="18"/>
    </x:row>
    <x:row r="598" ht="25" customHeight="1">
      <x:c r="A598" s="6"/>
      <x:c r="B598" s="30"/>
      <x:c r="C598" s="5"/>
      <x:c r="D598" s="5"/>
      <x:c r="E598" s="32"/>
      <x:c r="F598" s="32"/>
      <x:c r="G598" s="24" t="str">
        <x:f>IF($A598="","",IF(AND($C598="",$E598=""),"",IF($E598="","brak danych",IF($E598=0,0,IF(COUNTIFS($A$10:$A$89,$C598)&lt;&gt;1,"brak danych",IF(COUNTIFS($A$10:$A$89,$C598,$F$10:$F$89,"&lt;&gt;")=0,"brak danych",VLOOKUP($C598,$A$10:$J$89,6,FALSE)*$E598))))))</x:f>
      </x:c>
      <x:c r="H598" s="25" t="str">
        <x:f>IF($A598="","",IF(AND($C598="",$E598=""),"",IF($E598="","brak danych",IF($E598=0,0,IF(COUNTIFS($A$10:$A$89,$C598)&lt;&gt;1,"brak danych",IF(COUNTIFS($A$10:$A$89,$C598,$G$10:$G$89,"&lt;&gt;")=0,"brak danych",VLOOKUP($C598,$A$10:$J$89,7,FALSE)*$E598))))))</x:f>
      </x:c>
      <x:c r="I598" s="25" t="str">
        <x:f>IF($A598="","",IF(AND($C598="",$E598=""),"",IF($E598="","brak danych",IF($E598=0,0,IF(COUNTIFS($A$10:$A$89,$C598)&lt;&gt;1,"brak danych",IF(COUNTIFS($A$10:$A$89,$C598,$H$10:$H$89,"&lt;&gt;")=0,"brak danych",VLOOKUP($C598,$A$10:$J$89,8,FALSE)*$E598))))))</x:f>
      </x:c>
      <x:c r="J598" s="25" t="str">
        <x:f>IF($A598="","",IF(AND($C598="",$E598=""),"",IF($E598="","brak danych",IF($E598=0,0,IF(COUNTIFS($A$10:$A$89,$C598)&lt;&gt;1,"brak danych",IF(COUNTIFS($A$10:$A$89,$C598,$I$10:$I$89,"&lt;&gt;")=0,"brak danych",VLOOKUP($C598,$A$10:$J$89,9,FALSE)*$E598))))))</x:f>
      </x:c>
      <x:c r="K598" s="25" t="str">
        <x:f>IF($A598="","",IF(AND($C598="",$E598=""),"",IF($E598="","brak danych",IF($E598=0,0,IF(COUNTIFS($A$10:$A$89,$C598)&lt;&gt;1,"brak danych",IF(COUNTIFS($A$10:$A$89,$C598,$J$10:$J$89,"&lt;&gt;")=0,"brak danych",VLOOKUP($C598,$A$10:$J$89,10,FALSE)*$E598))))))</x:f>
      </x:c>
      <x:c r="L598" s="24" t="str">
        <x:f>IF($A598="","",IF($F598="","",IF($F598=0,0,IF(COUNTIFS($A$10:$A$89,$C598)&lt;&gt;1,"brak danych",IF(COUNTIFS($A$10:$A$89,$C598,$F$10:$F$89,"&lt;&gt;")=0,"brak danych",VLOOKUP($C598,$A$10:$J$89,6,FALSE)*$F598)))))</x:f>
      </x:c>
      <x:c r="M598" s="25" t="str">
        <x:f>IF($A598="","",IF($F598="","",IF($F598=0,0,IF(COUNTIFS($A$10:$A$89,$C598)&lt;&gt;1,"brak danych",IF(COUNTIFS($A$10:$A$89,$C598,$G$10:$G$89,"&lt;&gt;")=0,"brak danych",VLOOKUP($C598,$A$10:$J$89,7,FALSE)*$F598)))))</x:f>
      </x:c>
      <x:c r="N598" s="25" t="str">
        <x:f>IF($A598="","",IF($F598="","",IF($F598=0,0,IF(COUNTIFS($A$10:$A$89,$C598)&lt;&gt;1,"brak danych",IF(COUNTIFS($A$10:$A$89,$C598,$H$10:$H$89,"&lt;&gt;")=0,"brak danych",VLOOKUP($C598,$A$10:$J$89,8,FALSE)*$F598)))))</x:f>
      </x:c>
      <x:c r="O598" s="25" t="str">
        <x:f>IF($A598="","",IF($F598="","",IF($F598=0,0,IF(COUNTIFS($A$10:$A$89,$C598)&lt;&gt;1,"brak danych",IF(COUNTIFS($A$10:$A$89,$C598,$I$10:$I$89,"&lt;&gt;")=0,"brak danych",VLOOKUP($C598,$A$10:$J$89,9,FALSE)*$F598)))))</x:f>
      </x:c>
      <x:c r="P598" s="25" t="str">
        <x:f>IF($A598="","",IF($F598="","",IF($F598=0,0,IF(COUNTIFS($A$10:$A$89,$C598)&lt;&gt;1,"brak danych",IF(COUNTIFS($A$10:$A$89,$C598,$J$10:$J$89,"&lt;&gt;")=0,"brak danych",VLOOKUP($C598,$A$10:$J$89,10,FALSE)*$F598)))))</x:f>
      </x:c>
      <x:c r="Q598" s="18"/>
    </x:row>
    <x:row r="599" ht="25" customHeight="1">
      <x:c r="A599" s="6"/>
      <x:c r="B599" s="30"/>
      <x:c r="C599" s="5"/>
      <x:c r="D599" s="5"/>
      <x:c r="E599" s="32"/>
      <x:c r="F599" s="32"/>
      <x:c r="G599" s="24" t="str">
        <x:f>IF($A599="","",IF(AND($C599="",$E599=""),"",IF($E599="","brak danych",IF($E599=0,0,IF(COUNTIFS($A$10:$A$89,$C599)&lt;&gt;1,"brak danych",IF(COUNTIFS($A$10:$A$89,$C599,$F$10:$F$89,"&lt;&gt;")=0,"brak danych",VLOOKUP($C599,$A$10:$J$89,6,FALSE)*$E599))))))</x:f>
      </x:c>
      <x:c r="H599" s="25" t="str">
        <x:f>IF($A599="","",IF(AND($C599="",$E599=""),"",IF($E599="","brak danych",IF($E599=0,0,IF(COUNTIFS($A$10:$A$89,$C599)&lt;&gt;1,"brak danych",IF(COUNTIFS($A$10:$A$89,$C599,$G$10:$G$89,"&lt;&gt;")=0,"brak danych",VLOOKUP($C599,$A$10:$J$89,7,FALSE)*$E599))))))</x:f>
      </x:c>
      <x:c r="I599" s="25" t="str">
        <x:f>IF($A599="","",IF(AND($C599="",$E599=""),"",IF($E599="","brak danych",IF($E599=0,0,IF(COUNTIFS($A$10:$A$89,$C599)&lt;&gt;1,"brak danych",IF(COUNTIFS($A$10:$A$89,$C599,$H$10:$H$89,"&lt;&gt;")=0,"brak danych",VLOOKUP($C599,$A$10:$J$89,8,FALSE)*$E599))))))</x:f>
      </x:c>
      <x:c r="J599" s="25" t="str">
        <x:f>IF($A599="","",IF(AND($C599="",$E599=""),"",IF($E599="","brak danych",IF($E599=0,0,IF(COUNTIFS($A$10:$A$89,$C599)&lt;&gt;1,"brak danych",IF(COUNTIFS($A$10:$A$89,$C599,$I$10:$I$89,"&lt;&gt;")=0,"brak danych",VLOOKUP($C599,$A$10:$J$89,9,FALSE)*$E599))))))</x:f>
      </x:c>
      <x:c r="K599" s="25" t="str">
        <x:f>IF($A599="","",IF(AND($C599="",$E599=""),"",IF($E599="","brak danych",IF($E599=0,0,IF(COUNTIFS($A$10:$A$89,$C599)&lt;&gt;1,"brak danych",IF(COUNTIFS($A$10:$A$89,$C599,$J$10:$J$89,"&lt;&gt;")=0,"brak danych",VLOOKUP($C599,$A$10:$J$89,10,FALSE)*$E599))))))</x:f>
      </x:c>
      <x:c r="L599" s="24" t="str">
        <x:f>IF($A599="","",IF($F599="","",IF($F599=0,0,IF(COUNTIFS($A$10:$A$89,$C599)&lt;&gt;1,"brak danych",IF(COUNTIFS($A$10:$A$89,$C599,$F$10:$F$89,"&lt;&gt;")=0,"brak danych",VLOOKUP($C599,$A$10:$J$89,6,FALSE)*$F599)))))</x:f>
      </x:c>
      <x:c r="M599" s="25" t="str">
        <x:f>IF($A599="","",IF($F599="","",IF($F599=0,0,IF(COUNTIFS($A$10:$A$89,$C599)&lt;&gt;1,"brak danych",IF(COUNTIFS($A$10:$A$89,$C599,$G$10:$G$89,"&lt;&gt;")=0,"brak danych",VLOOKUP($C599,$A$10:$J$89,7,FALSE)*$F599)))))</x:f>
      </x:c>
      <x:c r="N599" s="25" t="str">
        <x:f>IF($A599="","",IF($F599="","",IF($F599=0,0,IF(COUNTIFS($A$10:$A$89,$C599)&lt;&gt;1,"brak danych",IF(COUNTIFS($A$10:$A$89,$C599,$H$10:$H$89,"&lt;&gt;")=0,"brak danych",VLOOKUP($C599,$A$10:$J$89,8,FALSE)*$F599)))))</x:f>
      </x:c>
      <x:c r="O599" s="25" t="str">
        <x:f>IF($A599="","",IF($F599="","",IF($F599=0,0,IF(COUNTIFS($A$10:$A$89,$C599)&lt;&gt;1,"brak danych",IF(COUNTIFS($A$10:$A$89,$C599,$I$10:$I$89,"&lt;&gt;")=0,"brak danych",VLOOKUP($C599,$A$10:$J$89,9,FALSE)*$F599)))))</x:f>
      </x:c>
      <x:c r="P599" s="25" t="str">
        <x:f>IF($A599="","",IF($F599="","",IF($F599=0,0,IF(COUNTIFS($A$10:$A$89,$C599)&lt;&gt;1,"brak danych",IF(COUNTIFS($A$10:$A$89,$C599,$J$10:$J$89,"&lt;&gt;")=0,"brak danych",VLOOKUP($C599,$A$10:$J$89,10,FALSE)*$F599)))))</x:f>
      </x:c>
      <x:c r="Q599" s="18"/>
    </x:row>
    <x:row r="600" ht="25" customHeight="1">
      <x:c r="A600" s="6"/>
      <x:c r="B600" s="30"/>
      <x:c r="C600" s="5"/>
      <x:c r="D600" s="5"/>
      <x:c r="E600" s="32"/>
      <x:c r="F600" s="32"/>
      <x:c r="G600" s="24" t="str">
        <x:f>IF($A600="","",IF(AND($C600="",$E600=""),"",IF($E600="","brak danych",IF($E600=0,0,IF(COUNTIFS($A$10:$A$89,$C600)&lt;&gt;1,"brak danych",IF(COUNTIFS($A$10:$A$89,$C600,$F$10:$F$89,"&lt;&gt;")=0,"brak danych",VLOOKUP($C600,$A$10:$J$89,6,FALSE)*$E600))))))</x:f>
      </x:c>
      <x:c r="H600" s="25" t="str">
        <x:f>IF($A600="","",IF(AND($C600="",$E600=""),"",IF($E600="","brak danych",IF($E600=0,0,IF(COUNTIFS($A$10:$A$89,$C600)&lt;&gt;1,"brak danych",IF(COUNTIFS($A$10:$A$89,$C600,$G$10:$G$89,"&lt;&gt;")=0,"brak danych",VLOOKUP($C600,$A$10:$J$89,7,FALSE)*$E600))))))</x:f>
      </x:c>
      <x:c r="I600" s="25" t="str">
        <x:f>IF($A600="","",IF(AND($C600="",$E600=""),"",IF($E600="","brak danych",IF($E600=0,0,IF(COUNTIFS($A$10:$A$89,$C600)&lt;&gt;1,"brak danych",IF(COUNTIFS($A$10:$A$89,$C600,$H$10:$H$89,"&lt;&gt;")=0,"brak danych",VLOOKUP($C600,$A$10:$J$89,8,FALSE)*$E600))))))</x:f>
      </x:c>
      <x:c r="J600" s="25" t="str">
        <x:f>IF($A600="","",IF(AND($C600="",$E600=""),"",IF($E600="","brak danych",IF($E600=0,0,IF(COUNTIFS($A$10:$A$89,$C600)&lt;&gt;1,"brak danych",IF(COUNTIFS($A$10:$A$89,$C600,$I$10:$I$89,"&lt;&gt;")=0,"brak danych",VLOOKUP($C600,$A$10:$J$89,9,FALSE)*$E600))))))</x:f>
      </x:c>
      <x:c r="K600" s="25" t="str">
        <x:f>IF($A600="","",IF(AND($C600="",$E600=""),"",IF($E600="","brak danych",IF($E600=0,0,IF(COUNTIFS($A$10:$A$89,$C600)&lt;&gt;1,"brak danych",IF(COUNTIFS($A$10:$A$89,$C600,$J$10:$J$89,"&lt;&gt;")=0,"brak danych",VLOOKUP($C600,$A$10:$J$89,10,FALSE)*$E600))))))</x:f>
      </x:c>
      <x:c r="L600" s="24" t="str">
        <x:f>IF($A600="","",IF($F600="","",IF($F600=0,0,IF(COUNTIFS($A$10:$A$89,$C600)&lt;&gt;1,"brak danych",IF(COUNTIFS($A$10:$A$89,$C600,$F$10:$F$89,"&lt;&gt;")=0,"brak danych",VLOOKUP($C600,$A$10:$J$89,6,FALSE)*$F600)))))</x:f>
      </x:c>
      <x:c r="M600" s="25" t="str">
        <x:f>IF($A600="","",IF($F600="","",IF($F600=0,0,IF(COUNTIFS($A$10:$A$89,$C600)&lt;&gt;1,"brak danych",IF(COUNTIFS($A$10:$A$89,$C600,$G$10:$G$89,"&lt;&gt;")=0,"brak danych",VLOOKUP($C600,$A$10:$J$89,7,FALSE)*$F600)))))</x:f>
      </x:c>
      <x:c r="N600" s="25" t="str">
        <x:f>IF($A600="","",IF($F600="","",IF($F600=0,0,IF(COUNTIFS($A$10:$A$89,$C600)&lt;&gt;1,"brak danych",IF(COUNTIFS($A$10:$A$89,$C600,$H$10:$H$89,"&lt;&gt;")=0,"brak danych",VLOOKUP($C600,$A$10:$J$89,8,FALSE)*$F600)))))</x:f>
      </x:c>
      <x:c r="O600" s="25" t="str">
        <x:f>IF($A600="","",IF($F600="","",IF($F600=0,0,IF(COUNTIFS($A$10:$A$89,$C600)&lt;&gt;1,"brak danych",IF(COUNTIFS($A$10:$A$89,$C600,$I$10:$I$89,"&lt;&gt;")=0,"brak danych",VLOOKUP($C600,$A$10:$J$89,9,FALSE)*$F600)))))</x:f>
      </x:c>
      <x:c r="P600" s="25" t="str">
        <x:f>IF($A600="","",IF($F600="","",IF($F600=0,0,IF(COUNTIFS($A$10:$A$89,$C600)&lt;&gt;1,"brak danych",IF(COUNTIFS($A$10:$A$89,$C600,$J$10:$J$89,"&lt;&gt;")=0,"brak danych",VLOOKUP($C600,$A$10:$J$89,10,FALSE)*$F600)))))</x:f>
      </x:c>
      <x:c r="Q600" s="18"/>
    </x:row>
    <x:row r="601" ht="25" customHeight="1">
      <x:c r="A601" s="6"/>
      <x:c r="B601" s="30"/>
      <x:c r="C601" s="5"/>
      <x:c r="D601" s="5"/>
      <x:c r="E601" s="32"/>
      <x:c r="F601" s="32"/>
      <x:c r="G601" s="24" t="str">
        <x:f>IF($A601="","",IF(AND($C601="",$E601=""),"",IF($E601="","brak danych",IF($E601=0,0,IF(COUNTIFS($A$10:$A$89,$C601)&lt;&gt;1,"brak danych",IF(COUNTIFS($A$10:$A$89,$C601,$F$10:$F$89,"&lt;&gt;")=0,"brak danych",VLOOKUP($C601,$A$10:$J$89,6,FALSE)*$E601))))))</x:f>
      </x:c>
      <x:c r="H601" s="25" t="str">
        <x:f>IF($A601="","",IF(AND($C601="",$E601=""),"",IF($E601="","brak danych",IF($E601=0,0,IF(COUNTIFS($A$10:$A$89,$C601)&lt;&gt;1,"brak danych",IF(COUNTIFS($A$10:$A$89,$C601,$G$10:$G$89,"&lt;&gt;")=0,"brak danych",VLOOKUP($C601,$A$10:$J$89,7,FALSE)*$E601))))))</x:f>
      </x:c>
      <x:c r="I601" s="25" t="str">
        <x:f>IF($A601="","",IF(AND($C601="",$E601=""),"",IF($E601="","brak danych",IF($E601=0,0,IF(COUNTIFS($A$10:$A$89,$C601)&lt;&gt;1,"brak danych",IF(COUNTIFS($A$10:$A$89,$C601,$H$10:$H$89,"&lt;&gt;")=0,"brak danych",VLOOKUP($C601,$A$10:$J$89,8,FALSE)*$E601))))))</x:f>
      </x:c>
      <x:c r="J601" s="25" t="str">
        <x:f>IF($A601="","",IF(AND($C601="",$E601=""),"",IF($E601="","brak danych",IF($E601=0,0,IF(COUNTIFS($A$10:$A$89,$C601)&lt;&gt;1,"brak danych",IF(COUNTIFS($A$10:$A$89,$C601,$I$10:$I$89,"&lt;&gt;")=0,"brak danych",VLOOKUP($C601,$A$10:$J$89,9,FALSE)*$E601))))))</x:f>
      </x:c>
      <x:c r="K601" s="25" t="str">
        <x:f>IF($A601="","",IF(AND($C601="",$E601=""),"",IF($E601="","brak danych",IF($E601=0,0,IF(COUNTIFS($A$10:$A$89,$C601)&lt;&gt;1,"brak danych",IF(COUNTIFS($A$10:$A$89,$C601,$J$10:$J$89,"&lt;&gt;")=0,"brak danych",VLOOKUP($C601,$A$10:$J$89,10,FALSE)*$E601))))))</x:f>
      </x:c>
      <x:c r="L601" s="24" t="str">
        <x:f>IF($A601="","",IF($F601="","",IF($F601=0,0,IF(COUNTIFS($A$10:$A$89,$C601)&lt;&gt;1,"brak danych",IF(COUNTIFS($A$10:$A$89,$C601,$F$10:$F$89,"&lt;&gt;")=0,"brak danych",VLOOKUP($C601,$A$10:$J$89,6,FALSE)*$F601)))))</x:f>
      </x:c>
      <x:c r="M601" s="25" t="str">
        <x:f>IF($A601="","",IF($F601="","",IF($F601=0,0,IF(COUNTIFS($A$10:$A$89,$C601)&lt;&gt;1,"brak danych",IF(COUNTIFS($A$10:$A$89,$C601,$G$10:$G$89,"&lt;&gt;")=0,"brak danych",VLOOKUP($C601,$A$10:$J$89,7,FALSE)*$F601)))))</x:f>
      </x:c>
      <x:c r="N601" s="25" t="str">
        <x:f>IF($A601="","",IF($F601="","",IF($F601=0,0,IF(COUNTIFS($A$10:$A$89,$C601)&lt;&gt;1,"brak danych",IF(COUNTIFS($A$10:$A$89,$C601,$H$10:$H$89,"&lt;&gt;")=0,"brak danych",VLOOKUP($C601,$A$10:$J$89,8,FALSE)*$F601)))))</x:f>
      </x:c>
      <x:c r="O601" s="25" t="str">
        <x:f>IF($A601="","",IF($F601="","",IF($F601=0,0,IF(COUNTIFS($A$10:$A$89,$C601)&lt;&gt;1,"brak danych",IF(COUNTIFS($A$10:$A$89,$C601,$I$10:$I$89,"&lt;&gt;")=0,"brak danych",VLOOKUP($C601,$A$10:$J$89,9,FALSE)*$F601)))))</x:f>
      </x:c>
      <x:c r="P601" s="25" t="str">
        <x:f>IF($A601="","",IF($F601="","",IF($F601=0,0,IF(COUNTIFS($A$10:$A$89,$C601)&lt;&gt;1,"brak danych",IF(COUNTIFS($A$10:$A$89,$C601,$J$10:$J$89,"&lt;&gt;")=0,"brak danych",VLOOKUP($C601,$A$10:$J$89,10,FALSE)*$F601)))))</x:f>
      </x:c>
      <x:c r="Q601" s="18"/>
    </x:row>
    <x:row r="602" ht="25" customHeight="1">
      <x:c r="A602" s="6"/>
      <x:c r="B602" s="30"/>
      <x:c r="C602" s="5"/>
      <x:c r="D602" s="5"/>
      <x:c r="E602" s="32"/>
      <x:c r="F602" s="32"/>
      <x:c r="G602" s="24" t="str">
        <x:f>IF($A602="","",IF(AND($C602="",$E602=""),"",IF($E602="","brak danych",IF($E602=0,0,IF(COUNTIFS($A$10:$A$89,$C602)&lt;&gt;1,"brak danych",IF(COUNTIFS($A$10:$A$89,$C602,$F$10:$F$89,"&lt;&gt;")=0,"brak danych",VLOOKUP($C602,$A$10:$J$89,6,FALSE)*$E602))))))</x:f>
      </x:c>
      <x:c r="H602" s="25" t="str">
        <x:f>IF($A602="","",IF(AND($C602="",$E602=""),"",IF($E602="","brak danych",IF($E602=0,0,IF(COUNTIFS($A$10:$A$89,$C602)&lt;&gt;1,"brak danych",IF(COUNTIFS($A$10:$A$89,$C602,$G$10:$G$89,"&lt;&gt;")=0,"brak danych",VLOOKUP($C602,$A$10:$J$89,7,FALSE)*$E602))))))</x:f>
      </x:c>
      <x:c r="I602" s="25" t="str">
        <x:f>IF($A602="","",IF(AND($C602="",$E602=""),"",IF($E602="","brak danych",IF($E602=0,0,IF(COUNTIFS($A$10:$A$89,$C602)&lt;&gt;1,"brak danych",IF(COUNTIFS($A$10:$A$89,$C602,$H$10:$H$89,"&lt;&gt;")=0,"brak danych",VLOOKUP($C602,$A$10:$J$89,8,FALSE)*$E602))))))</x:f>
      </x:c>
      <x:c r="J602" s="25" t="str">
        <x:f>IF($A602="","",IF(AND($C602="",$E602=""),"",IF($E602="","brak danych",IF($E602=0,0,IF(COUNTIFS($A$10:$A$89,$C602)&lt;&gt;1,"brak danych",IF(COUNTIFS($A$10:$A$89,$C602,$I$10:$I$89,"&lt;&gt;")=0,"brak danych",VLOOKUP($C602,$A$10:$J$89,9,FALSE)*$E602))))))</x:f>
      </x:c>
      <x:c r="K602" s="25" t="str">
        <x:f>IF($A602="","",IF(AND($C602="",$E602=""),"",IF($E602="","brak danych",IF($E602=0,0,IF(COUNTIFS($A$10:$A$89,$C602)&lt;&gt;1,"brak danych",IF(COUNTIFS($A$10:$A$89,$C602,$J$10:$J$89,"&lt;&gt;")=0,"brak danych",VLOOKUP($C602,$A$10:$J$89,10,FALSE)*$E602))))))</x:f>
      </x:c>
      <x:c r="L602" s="24" t="str">
        <x:f>IF($A602="","",IF($F602="","",IF($F602=0,0,IF(COUNTIFS($A$10:$A$89,$C602)&lt;&gt;1,"brak danych",IF(COUNTIFS($A$10:$A$89,$C602,$F$10:$F$89,"&lt;&gt;")=0,"brak danych",VLOOKUP($C602,$A$10:$J$89,6,FALSE)*$F602)))))</x:f>
      </x:c>
      <x:c r="M602" s="25" t="str">
        <x:f>IF($A602="","",IF($F602="","",IF($F602=0,0,IF(COUNTIFS($A$10:$A$89,$C602)&lt;&gt;1,"brak danych",IF(COUNTIFS($A$10:$A$89,$C602,$G$10:$G$89,"&lt;&gt;")=0,"brak danych",VLOOKUP($C602,$A$10:$J$89,7,FALSE)*$F602)))))</x:f>
      </x:c>
      <x:c r="N602" s="25" t="str">
        <x:f>IF($A602="","",IF($F602="","",IF($F602=0,0,IF(COUNTIFS($A$10:$A$89,$C602)&lt;&gt;1,"brak danych",IF(COUNTIFS($A$10:$A$89,$C602,$H$10:$H$89,"&lt;&gt;")=0,"brak danych",VLOOKUP($C602,$A$10:$J$89,8,FALSE)*$F602)))))</x:f>
      </x:c>
      <x:c r="O602" s="25" t="str">
        <x:f>IF($A602="","",IF($F602="","",IF($F602=0,0,IF(COUNTIFS($A$10:$A$89,$C602)&lt;&gt;1,"brak danych",IF(COUNTIFS($A$10:$A$89,$C602,$I$10:$I$89,"&lt;&gt;")=0,"brak danych",VLOOKUP($C602,$A$10:$J$89,9,FALSE)*$F602)))))</x:f>
      </x:c>
      <x:c r="P602" s="25" t="str">
        <x:f>IF($A602="","",IF($F602="","",IF($F602=0,0,IF(COUNTIFS($A$10:$A$89,$C602)&lt;&gt;1,"brak danych",IF(COUNTIFS($A$10:$A$89,$C602,$J$10:$J$89,"&lt;&gt;")=0,"brak danych",VLOOKUP($C602,$A$10:$J$89,10,FALSE)*$F602)))))</x:f>
      </x:c>
      <x:c r="Q602" s="18"/>
    </x:row>
    <x:row r="603" ht="25" customHeight="1">
      <x:c r="A603" s="6"/>
      <x:c r="B603" s="30"/>
      <x:c r="C603" s="5"/>
      <x:c r="D603" s="5"/>
      <x:c r="E603" s="32"/>
      <x:c r="F603" s="32"/>
      <x:c r="G603" s="24" t="str">
        <x:f>IF($A603="","",IF(AND($C603="",$E603=""),"",IF($E603="","brak danych",IF($E603=0,0,IF(COUNTIFS($A$10:$A$89,$C603)&lt;&gt;1,"brak danych",IF(COUNTIFS($A$10:$A$89,$C603,$F$10:$F$89,"&lt;&gt;")=0,"brak danych",VLOOKUP($C603,$A$10:$J$89,6,FALSE)*$E603))))))</x:f>
      </x:c>
      <x:c r="H603" s="25" t="str">
        <x:f>IF($A603="","",IF(AND($C603="",$E603=""),"",IF($E603="","brak danych",IF($E603=0,0,IF(COUNTIFS($A$10:$A$89,$C603)&lt;&gt;1,"brak danych",IF(COUNTIFS($A$10:$A$89,$C603,$G$10:$G$89,"&lt;&gt;")=0,"brak danych",VLOOKUP($C603,$A$10:$J$89,7,FALSE)*$E603))))))</x:f>
      </x:c>
      <x:c r="I603" s="25" t="str">
        <x:f>IF($A603="","",IF(AND($C603="",$E603=""),"",IF($E603="","brak danych",IF($E603=0,0,IF(COUNTIFS($A$10:$A$89,$C603)&lt;&gt;1,"brak danych",IF(COUNTIFS($A$10:$A$89,$C603,$H$10:$H$89,"&lt;&gt;")=0,"brak danych",VLOOKUP($C603,$A$10:$J$89,8,FALSE)*$E603))))))</x:f>
      </x:c>
      <x:c r="J603" s="25" t="str">
        <x:f>IF($A603="","",IF(AND($C603="",$E603=""),"",IF($E603="","brak danych",IF($E603=0,0,IF(COUNTIFS($A$10:$A$89,$C603)&lt;&gt;1,"brak danych",IF(COUNTIFS($A$10:$A$89,$C603,$I$10:$I$89,"&lt;&gt;")=0,"brak danych",VLOOKUP($C603,$A$10:$J$89,9,FALSE)*$E603))))))</x:f>
      </x:c>
      <x:c r="K603" s="25" t="str">
        <x:f>IF($A603="","",IF(AND($C603="",$E603=""),"",IF($E603="","brak danych",IF($E603=0,0,IF(COUNTIFS($A$10:$A$89,$C603)&lt;&gt;1,"brak danych",IF(COUNTIFS($A$10:$A$89,$C603,$J$10:$J$89,"&lt;&gt;")=0,"brak danych",VLOOKUP($C603,$A$10:$J$89,10,FALSE)*$E603))))))</x:f>
      </x:c>
      <x:c r="L603" s="24" t="str">
        <x:f>IF($A603="","",IF($F603="","",IF($F603=0,0,IF(COUNTIFS($A$10:$A$89,$C603)&lt;&gt;1,"brak danych",IF(COUNTIFS($A$10:$A$89,$C603,$F$10:$F$89,"&lt;&gt;")=0,"brak danych",VLOOKUP($C603,$A$10:$J$89,6,FALSE)*$F603)))))</x:f>
      </x:c>
      <x:c r="M603" s="25" t="str">
        <x:f>IF($A603="","",IF($F603="","",IF($F603=0,0,IF(COUNTIFS($A$10:$A$89,$C603)&lt;&gt;1,"brak danych",IF(COUNTIFS($A$10:$A$89,$C603,$G$10:$G$89,"&lt;&gt;")=0,"brak danych",VLOOKUP($C603,$A$10:$J$89,7,FALSE)*$F603)))))</x:f>
      </x:c>
      <x:c r="N603" s="25" t="str">
        <x:f>IF($A603="","",IF($F603="","",IF($F603=0,0,IF(COUNTIFS($A$10:$A$89,$C603)&lt;&gt;1,"brak danych",IF(COUNTIFS($A$10:$A$89,$C603,$H$10:$H$89,"&lt;&gt;")=0,"brak danych",VLOOKUP($C603,$A$10:$J$89,8,FALSE)*$F603)))))</x:f>
      </x:c>
      <x:c r="O603" s="25" t="str">
        <x:f>IF($A603="","",IF($F603="","",IF($F603=0,0,IF(COUNTIFS($A$10:$A$89,$C603)&lt;&gt;1,"brak danych",IF(COUNTIFS($A$10:$A$89,$C603,$I$10:$I$89,"&lt;&gt;")=0,"brak danych",VLOOKUP($C603,$A$10:$J$89,9,FALSE)*$F603)))))</x:f>
      </x:c>
      <x:c r="P603" s="25" t="str">
        <x:f>IF($A603="","",IF($F603="","",IF($F603=0,0,IF(COUNTIFS($A$10:$A$89,$C603)&lt;&gt;1,"brak danych",IF(COUNTIFS($A$10:$A$89,$C603,$J$10:$J$89,"&lt;&gt;")=0,"brak danych",VLOOKUP($C603,$A$10:$J$89,10,FALSE)*$F603)))))</x:f>
      </x:c>
      <x:c r="Q603" s="18"/>
    </x:row>
    <x:row r="604" ht="25" customHeight="1">
      <x:c r="A604" s="6"/>
      <x:c r="B604" s="30"/>
      <x:c r="C604" s="5"/>
      <x:c r="D604" s="5"/>
      <x:c r="E604" s="32"/>
      <x:c r="F604" s="32"/>
      <x:c r="G604" s="24" t="str">
        <x:f>IF($A604="","",IF(AND($C604="",$E604=""),"",IF($E604="","brak danych",IF($E604=0,0,IF(COUNTIFS($A$10:$A$89,$C604)&lt;&gt;1,"brak danych",IF(COUNTIFS($A$10:$A$89,$C604,$F$10:$F$89,"&lt;&gt;")=0,"brak danych",VLOOKUP($C604,$A$10:$J$89,6,FALSE)*$E604))))))</x:f>
      </x:c>
      <x:c r="H604" s="25" t="str">
        <x:f>IF($A604="","",IF(AND($C604="",$E604=""),"",IF($E604="","brak danych",IF($E604=0,0,IF(COUNTIFS($A$10:$A$89,$C604)&lt;&gt;1,"brak danych",IF(COUNTIFS($A$10:$A$89,$C604,$G$10:$G$89,"&lt;&gt;")=0,"brak danych",VLOOKUP($C604,$A$10:$J$89,7,FALSE)*$E604))))))</x:f>
      </x:c>
      <x:c r="I604" s="25" t="str">
        <x:f>IF($A604="","",IF(AND($C604="",$E604=""),"",IF($E604="","brak danych",IF($E604=0,0,IF(COUNTIFS($A$10:$A$89,$C604)&lt;&gt;1,"brak danych",IF(COUNTIFS($A$10:$A$89,$C604,$H$10:$H$89,"&lt;&gt;")=0,"brak danych",VLOOKUP($C604,$A$10:$J$89,8,FALSE)*$E604))))))</x:f>
      </x:c>
      <x:c r="J604" s="25" t="str">
        <x:f>IF($A604="","",IF(AND($C604="",$E604=""),"",IF($E604="","brak danych",IF($E604=0,0,IF(COUNTIFS($A$10:$A$89,$C604)&lt;&gt;1,"brak danych",IF(COUNTIFS($A$10:$A$89,$C604,$I$10:$I$89,"&lt;&gt;")=0,"brak danych",VLOOKUP($C604,$A$10:$J$89,9,FALSE)*$E604))))))</x:f>
      </x:c>
      <x:c r="K604" s="25" t="str">
        <x:f>IF($A604="","",IF(AND($C604="",$E604=""),"",IF($E604="","brak danych",IF($E604=0,0,IF(COUNTIFS($A$10:$A$89,$C604)&lt;&gt;1,"brak danych",IF(COUNTIFS($A$10:$A$89,$C604,$J$10:$J$89,"&lt;&gt;")=0,"brak danych",VLOOKUP($C604,$A$10:$J$89,10,FALSE)*$E604))))))</x:f>
      </x:c>
      <x:c r="L604" s="24" t="str">
        <x:f>IF($A604="","",IF($F604="","",IF($F604=0,0,IF(COUNTIFS($A$10:$A$89,$C604)&lt;&gt;1,"brak danych",IF(COUNTIFS($A$10:$A$89,$C604,$F$10:$F$89,"&lt;&gt;")=0,"brak danych",VLOOKUP($C604,$A$10:$J$89,6,FALSE)*$F604)))))</x:f>
      </x:c>
      <x:c r="M604" s="25" t="str">
        <x:f>IF($A604="","",IF($F604="","",IF($F604=0,0,IF(COUNTIFS($A$10:$A$89,$C604)&lt;&gt;1,"brak danych",IF(COUNTIFS($A$10:$A$89,$C604,$G$10:$G$89,"&lt;&gt;")=0,"brak danych",VLOOKUP($C604,$A$10:$J$89,7,FALSE)*$F604)))))</x:f>
      </x:c>
      <x:c r="N604" s="25" t="str">
        <x:f>IF($A604="","",IF($F604="","",IF($F604=0,0,IF(COUNTIFS($A$10:$A$89,$C604)&lt;&gt;1,"brak danych",IF(COUNTIFS($A$10:$A$89,$C604,$H$10:$H$89,"&lt;&gt;")=0,"brak danych",VLOOKUP($C604,$A$10:$J$89,8,FALSE)*$F604)))))</x:f>
      </x:c>
      <x:c r="O604" s="25" t="str">
        <x:f>IF($A604="","",IF($F604="","",IF($F604=0,0,IF(COUNTIFS($A$10:$A$89,$C604)&lt;&gt;1,"brak danych",IF(COUNTIFS($A$10:$A$89,$C604,$I$10:$I$89,"&lt;&gt;")=0,"brak danych",VLOOKUP($C604,$A$10:$J$89,9,FALSE)*$F604)))))</x:f>
      </x:c>
      <x:c r="P604" s="25" t="str">
        <x:f>IF($A604="","",IF($F604="","",IF($F604=0,0,IF(COUNTIFS($A$10:$A$89,$C604)&lt;&gt;1,"brak danych",IF(COUNTIFS($A$10:$A$89,$C604,$J$10:$J$89,"&lt;&gt;")=0,"brak danych",VLOOKUP($C604,$A$10:$J$89,10,FALSE)*$F604)))))</x:f>
      </x:c>
      <x:c r="Q604" s="18"/>
    </x:row>
    <x:row r="605" ht="25" customHeight="1">
      <x:c r="A605" s="6"/>
      <x:c r="B605" s="30"/>
      <x:c r="C605" s="5"/>
      <x:c r="D605" s="5"/>
      <x:c r="E605" s="32"/>
      <x:c r="F605" s="32"/>
      <x:c r="G605" s="24" t="str">
        <x:f>IF($A605="","",IF(AND($C605="",$E605=""),"",IF($E605="","brak danych",IF($E605=0,0,IF(COUNTIFS($A$10:$A$89,$C605)&lt;&gt;1,"brak danych",IF(COUNTIFS($A$10:$A$89,$C605,$F$10:$F$89,"&lt;&gt;")=0,"brak danych",VLOOKUP($C605,$A$10:$J$89,6,FALSE)*$E605))))))</x:f>
      </x:c>
      <x:c r="H605" s="25" t="str">
        <x:f>IF($A605="","",IF(AND($C605="",$E605=""),"",IF($E605="","brak danych",IF($E605=0,0,IF(COUNTIFS($A$10:$A$89,$C605)&lt;&gt;1,"brak danych",IF(COUNTIFS($A$10:$A$89,$C605,$G$10:$G$89,"&lt;&gt;")=0,"brak danych",VLOOKUP($C605,$A$10:$J$89,7,FALSE)*$E605))))))</x:f>
      </x:c>
      <x:c r="I605" s="25" t="str">
        <x:f>IF($A605="","",IF(AND($C605="",$E605=""),"",IF($E605="","brak danych",IF($E605=0,0,IF(COUNTIFS($A$10:$A$89,$C605)&lt;&gt;1,"brak danych",IF(COUNTIFS($A$10:$A$89,$C605,$H$10:$H$89,"&lt;&gt;")=0,"brak danych",VLOOKUP($C605,$A$10:$J$89,8,FALSE)*$E605))))))</x:f>
      </x:c>
      <x:c r="J605" s="25" t="str">
        <x:f>IF($A605="","",IF(AND($C605="",$E605=""),"",IF($E605="","brak danych",IF($E605=0,0,IF(COUNTIFS($A$10:$A$89,$C605)&lt;&gt;1,"brak danych",IF(COUNTIFS($A$10:$A$89,$C605,$I$10:$I$89,"&lt;&gt;")=0,"brak danych",VLOOKUP($C605,$A$10:$J$89,9,FALSE)*$E605))))))</x:f>
      </x:c>
      <x:c r="K605" s="25" t="str">
        <x:f>IF($A605="","",IF(AND($C605="",$E605=""),"",IF($E605="","brak danych",IF($E605=0,0,IF(COUNTIFS($A$10:$A$89,$C605)&lt;&gt;1,"brak danych",IF(COUNTIFS($A$10:$A$89,$C605,$J$10:$J$89,"&lt;&gt;")=0,"brak danych",VLOOKUP($C605,$A$10:$J$89,10,FALSE)*$E605))))))</x:f>
      </x:c>
      <x:c r="L605" s="24" t="str">
        <x:f>IF($A605="","",IF($F605="","",IF($F605=0,0,IF(COUNTIFS($A$10:$A$89,$C605)&lt;&gt;1,"brak danych",IF(COUNTIFS($A$10:$A$89,$C605,$F$10:$F$89,"&lt;&gt;")=0,"brak danych",VLOOKUP($C605,$A$10:$J$89,6,FALSE)*$F605)))))</x:f>
      </x:c>
      <x:c r="M605" s="25" t="str">
        <x:f>IF($A605="","",IF($F605="","",IF($F605=0,0,IF(COUNTIFS($A$10:$A$89,$C605)&lt;&gt;1,"brak danych",IF(COUNTIFS($A$10:$A$89,$C605,$G$10:$G$89,"&lt;&gt;")=0,"brak danych",VLOOKUP($C605,$A$10:$J$89,7,FALSE)*$F605)))))</x:f>
      </x:c>
      <x:c r="N605" s="25" t="str">
        <x:f>IF($A605="","",IF($F605="","",IF($F605=0,0,IF(COUNTIFS($A$10:$A$89,$C605)&lt;&gt;1,"brak danych",IF(COUNTIFS($A$10:$A$89,$C605,$H$10:$H$89,"&lt;&gt;")=0,"brak danych",VLOOKUP($C605,$A$10:$J$89,8,FALSE)*$F605)))))</x:f>
      </x:c>
      <x:c r="O605" s="25" t="str">
        <x:f>IF($A605="","",IF($F605="","",IF($F605=0,0,IF(COUNTIFS($A$10:$A$89,$C605)&lt;&gt;1,"brak danych",IF(COUNTIFS($A$10:$A$89,$C605,$I$10:$I$89,"&lt;&gt;")=0,"brak danych",VLOOKUP($C605,$A$10:$J$89,9,FALSE)*$F605)))))</x:f>
      </x:c>
      <x:c r="P605" s="25" t="str">
        <x:f>IF($A605="","",IF($F605="","",IF($F605=0,0,IF(COUNTIFS($A$10:$A$89,$C605)&lt;&gt;1,"brak danych",IF(COUNTIFS($A$10:$A$89,$C605,$J$10:$J$89,"&lt;&gt;")=0,"brak danych",VLOOKUP($C605,$A$10:$J$89,10,FALSE)*$F605)))))</x:f>
      </x:c>
      <x:c r="Q605" s="18"/>
    </x:row>
    <x:row r="606" ht="25" customHeight="1">
      <x:c r="A606" s="6"/>
      <x:c r="B606" s="30"/>
      <x:c r="C606" s="5"/>
      <x:c r="D606" s="5"/>
      <x:c r="E606" s="32"/>
      <x:c r="F606" s="32"/>
      <x:c r="G606" s="24" t="str">
        <x:f>IF($A606="","",IF(AND($C606="",$E606=""),"",IF($E606="","brak danych",IF($E606=0,0,IF(COUNTIFS($A$10:$A$89,$C606)&lt;&gt;1,"brak danych",IF(COUNTIFS($A$10:$A$89,$C606,$F$10:$F$89,"&lt;&gt;")=0,"brak danych",VLOOKUP($C606,$A$10:$J$89,6,FALSE)*$E606))))))</x:f>
      </x:c>
      <x:c r="H606" s="25" t="str">
        <x:f>IF($A606="","",IF(AND($C606="",$E606=""),"",IF($E606="","brak danych",IF($E606=0,0,IF(COUNTIFS($A$10:$A$89,$C606)&lt;&gt;1,"brak danych",IF(COUNTIFS($A$10:$A$89,$C606,$G$10:$G$89,"&lt;&gt;")=0,"brak danych",VLOOKUP($C606,$A$10:$J$89,7,FALSE)*$E606))))))</x:f>
      </x:c>
      <x:c r="I606" s="25" t="str">
        <x:f>IF($A606="","",IF(AND($C606="",$E606=""),"",IF($E606="","brak danych",IF($E606=0,0,IF(COUNTIFS($A$10:$A$89,$C606)&lt;&gt;1,"brak danych",IF(COUNTIFS($A$10:$A$89,$C606,$H$10:$H$89,"&lt;&gt;")=0,"brak danych",VLOOKUP($C606,$A$10:$J$89,8,FALSE)*$E606))))))</x:f>
      </x:c>
      <x:c r="J606" s="25" t="str">
        <x:f>IF($A606="","",IF(AND($C606="",$E606=""),"",IF($E606="","brak danych",IF($E606=0,0,IF(COUNTIFS($A$10:$A$89,$C606)&lt;&gt;1,"brak danych",IF(COUNTIFS($A$10:$A$89,$C606,$I$10:$I$89,"&lt;&gt;")=0,"brak danych",VLOOKUP($C606,$A$10:$J$89,9,FALSE)*$E606))))))</x:f>
      </x:c>
      <x:c r="K606" s="25" t="str">
        <x:f>IF($A606="","",IF(AND($C606="",$E606=""),"",IF($E606="","brak danych",IF($E606=0,0,IF(COUNTIFS($A$10:$A$89,$C606)&lt;&gt;1,"brak danych",IF(COUNTIFS($A$10:$A$89,$C606,$J$10:$J$89,"&lt;&gt;")=0,"brak danych",VLOOKUP($C606,$A$10:$J$89,10,FALSE)*$E606))))))</x:f>
      </x:c>
      <x:c r="L606" s="24" t="str">
        <x:f>IF($A606="","",IF($F606="","",IF($F606=0,0,IF(COUNTIFS($A$10:$A$89,$C606)&lt;&gt;1,"brak danych",IF(COUNTIFS($A$10:$A$89,$C606,$F$10:$F$89,"&lt;&gt;")=0,"brak danych",VLOOKUP($C606,$A$10:$J$89,6,FALSE)*$F606)))))</x:f>
      </x:c>
      <x:c r="M606" s="25" t="str">
        <x:f>IF($A606="","",IF($F606="","",IF($F606=0,0,IF(COUNTIFS($A$10:$A$89,$C606)&lt;&gt;1,"brak danych",IF(COUNTIFS($A$10:$A$89,$C606,$G$10:$G$89,"&lt;&gt;")=0,"brak danych",VLOOKUP($C606,$A$10:$J$89,7,FALSE)*$F606)))))</x:f>
      </x:c>
      <x:c r="N606" s="25" t="str">
        <x:f>IF($A606="","",IF($F606="","",IF($F606=0,0,IF(COUNTIFS($A$10:$A$89,$C606)&lt;&gt;1,"brak danych",IF(COUNTIFS($A$10:$A$89,$C606,$H$10:$H$89,"&lt;&gt;")=0,"brak danych",VLOOKUP($C606,$A$10:$J$89,8,FALSE)*$F606)))))</x:f>
      </x:c>
      <x:c r="O606" s="25" t="str">
        <x:f>IF($A606="","",IF($F606="","",IF($F606=0,0,IF(COUNTIFS($A$10:$A$89,$C606)&lt;&gt;1,"brak danych",IF(COUNTIFS($A$10:$A$89,$C606,$I$10:$I$89,"&lt;&gt;")=0,"brak danych",VLOOKUP($C606,$A$10:$J$89,9,FALSE)*$F606)))))</x:f>
      </x:c>
      <x:c r="P606" s="25" t="str">
        <x:f>IF($A606="","",IF($F606="","",IF($F606=0,0,IF(COUNTIFS($A$10:$A$89,$C606)&lt;&gt;1,"brak danych",IF(COUNTIFS($A$10:$A$89,$C606,$J$10:$J$89,"&lt;&gt;")=0,"brak danych",VLOOKUP($C606,$A$10:$J$89,10,FALSE)*$F606)))))</x:f>
      </x:c>
      <x:c r="Q606" s="18"/>
    </x:row>
    <x:row r="607" ht="25" customHeight="1">
      <x:c r="A607" s="6"/>
      <x:c r="B607" s="30"/>
      <x:c r="C607" s="5"/>
      <x:c r="D607" s="5"/>
      <x:c r="E607" s="32"/>
      <x:c r="F607" s="32"/>
      <x:c r="G607" s="24" t="str">
        <x:f>IF($A607="","",IF(AND($C607="",$E607=""),"",IF($E607="","brak danych",IF($E607=0,0,IF(COUNTIFS($A$10:$A$89,$C607)&lt;&gt;1,"brak danych",IF(COUNTIFS($A$10:$A$89,$C607,$F$10:$F$89,"&lt;&gt;")=0,"brak danych",VLOOKUP($C607,$A$10:$J$89,6,FALSE)*$E607))))))</x:f>
      </x:c>
      <x:c r="H607" s="25" t="str">
        <x:f>IF($A607="","",IF(AND($C607="",$E607=""),"",IF($E607="","brak danych",IF($E607=0,0,IF(COUNTIFS($A$10:$A$89,$C607)&lt;&gt;1,"brak danych",IF(COUNTIFS($A$10:$A$89,$C607,$G$10:$G$89,"&lt;&gt;")=0,"brak danych",VLOOKUP($C607,$A$10:$J$89,7,FALSE)*$E607))))))</x:f>
      </x:c>
      <x:c r="I607" s="25" t="str">
        <x:f>IF($A607="","",IF(AND($C607="",$E607=""),"",IF($E607="","brak danych",IF($E607=0,0,IF(COUNTIFS($A$10:$A$89,$C607)&lt;&gt;1,"brak danych",IF(COUNTIFS($A$10:$A$89,$C607,$H$10:$H$89,"&lt;&gt;")=0,"brak danych",VLOOKUP($C607,$A$10:$J$89,8,FALSE)*$E607))))))</x:f>
      </x:c>
      <x:c r="J607" s="25" t="str">
        <x:f>IF($A607="","",IF(AND($C607="",$E607=""),"",IF($E607="","brak danych",IF($E607=0,0,IF(COUNTIFS($A$10:$A$89,$C607)&lt;&gt;1,"brak danych",IF(COUNTIFS($A$10:$A$89,$C607,$I$10:$I$89,"&lt;&gt;")=0,"brak danych",VLOOKUP($C607,$A$10:$J$89,9,FALSE)*$E607))))))</x:f>
      </x:c>
      <x:c r="K607" s="25" t="str">
        <x:f>IF($A607="","",IF(AND($C607="",$E607=""),"",IF($E607="","brak danych",IF($E607=0,0,IF(COUNTIFS($A$10:$A$89,$C607)&lt;&gt;1,"brak danych",IF(COUNTIFS($A$10:$A$89,$C607,$J$10:$J$89,"&lt;&gt;")=0,"brak danych",VLOOKUP($C607,$A$10:$J$89,10,FALSE)*$E607))))))</x:f>
      </x:c>
      <x:c r="L607" s="24" t="str">
        <x:f>IF($A607="","",IF($F607="","",IF($F607=0,0,IF(COUNTIFS($A$10:$A$89,$C607)&lt;&gt;1,"brak danych",IF(COUNTIFS($A$10:$A$89,$C607,$F$10:$F$89,"&lt;&gt;")=0,"brak danych",VLOOKUP($C607,$A$10:$J$89,6,FALSE)*$F607)))))</x:f>
      </x:c>
      <x:c r="M607" s="25" t="str">
        <x:f>IF($A607="","",IF($F607="","",IF($F607=0,0,IF(COUNTIFS($A$10:$A$89,$C607)&lt;&gt;1,"brak danych",IF(COUNTIFS($A$10:$A$89,$C607,$G$10:$G$89,"&lt;&gt;")=0,"brak danych",VLOOKUP($C607,$A$10:$J$89,7,FALSE)*$F607)))))</x:f>
      </x:c>
      <x:c r="N607" s="25" t="str">
        <x:f>IF($A607="","",IF($F607="","",IF($F607=0,0,IF(COUNTIFS($A$10:$A$89,$C607)&lt;&gt;1,"brak danych",IF(COUNTIFS($A$10:$A$89,$C607,$H$10:$H$89,"&lt;&gt;")=0,"brak danych",VLOOKUP($C607,$A$10:$J$89,8,FALSE)*$F607)))))</x:f>
      </x:c>
      <x:c r="O607" s="25" t="str">
        <x:f>IF($A607="","",IF($F607="","",IF($F607=0,0,IF(COUNTIFS($A$10:$A$89,$C607)&lt;&gt;1,"brak danych",IF(COUNTIFS($A$10:$A$89,$C607,$I$10:$I$89,"&lt;&gt;")=0,"brak danych",VLOOKUP($C607,$A$10:$J$89,9,FALSE)*$F607)))))</x:f>
      </x:c>
      <x:c r="P607" s="25" t="str">
        <x:f>IF($A607="","",IF($F607="","",IF($F607=0,0,IF(COUNTIFS($A$10:$A$89,$C607)&lt;&gt;1,"brak danych",IF(COUNTIFS($A$10:$A$89,$C607,$J$10:$J$89,"&lt;&gt;")=0,"brak danych",VLOOKUP($C607,$A$10:$J$89,10,FALSE)*$F607)))))</x:f>
      </x:c>
      <x:c r="Q607" s="18"/>
    </x:row>
    <x:row r="608" ht="25" customHeight="1">
      <x:c r="A608" s="6"/>
      <x:c r="B608" s="30"/>
      <x:c r="C608" s="5"/>
      <x:c r="D608" s="5"/>
      <x:c r="E608" s="32"/>
      <x:c r="F608" s="32"/>
      <x:c r="G608" s="24" t="str">
        <x:f>IF($A608="","",IF(AND($C608="",$E608=""),"",IF($E608="","brak danych",IF($E608=0,0,IF(COUNTIFS($A$10:$A$89,$C608)&lt;&gt;1,"brak danych",IF(COUNTIFS($A$10:$A$89,$C608,$F$10:$F$89,"&lt;&gt;")=0,"brak danych",VLOOKUP($C608,$A$10:$J$89,6,FALSE)*$E608))))))</x:f>
      </x:c>
      <x:c r="H608" s="25" t="str">
        <x:f>IF($A608="","",IF(AND($C608="",$E608=""),"",IF($E608="","brak danych",IF($E608=0,0,IF(COUNTIFS($A$10:$A$89,$C608)&lt;&gt;1,"brak danych",IF(COUNTIFS($A$10:$A$89,$C608,$G$10:$G$89,"&lt;&gt;")=0,"brak danych",VLOOKUP($C608,$A$10:$J$89,7,FALSE)*$E608))))))</x:f>
      </x:c>
      <x:c r="I608" s="25" t="str">
        <x:f>IF($A608="","",IF(AND($C608="",$E608=""),"",IF($E608="","brak danych",IF($E608=0,0,IF(COUNTIFS($A$10:$A$89,$C608)&lt;&gt;1,"brak danych",IF(COUNTIFS($A$10:$A$89,$C608,$H$10:$H$89,"&lt;&gt;")=0,"brak danych",VLOOKUP($C608,$A$10:$J$89,8,FALSE)*$E608))))))</x:f>
      </x:c>
      <x:c r="J608" s="25" t="str">
        <x:f>IF($A608="","",IF(AND($C608="",$E608=""),"",IF($E608="","brak danych",IF($E608=0,0,IF(COUNTIFS($A$10:$A$89,$C608)&lt;&gt;1,"brak danych",IF(COUNTIFS($A$10:$A$89,$C608,$I$10:$I$89,"&lt;&gt;")=0,"brak danych",VLOOKUP($C608,$A$10:$J$89,9,FALSE)*$E608))))))</x:f>
      </x:c>
      <x:c r="K608" s="25" t="str">
        <x:f>IF($A608="","",IF(AND($C608="",$E608=""),"",IF($E608="","brak danych",IF($E608=0,0,IF(COUNTIFS($A$10:$A$89,$C608)&lt;&gt;1,"brak danych",IF(COUNTIFS($A$10:$A$89,$C608,$J$10:$J$89,"&lt;&gt;")=0,"brak danych",VLOOKUP($C608,$A$10:$J$89,10,FALSE)*$E608))))))</x:f>
      </x:c>
      <x:c r="L608" s="24" t="str">
        <x:f>IF($A608="","",IF($F608="","",IF($F608=0,0,IF(COUNTIFS($A$10:$A$89,$C608)&lt;&gt;1,"brak danych",IF(COUNTIFS($A$10:$A$89,$C608,$F$10:$F$89,"&lt;&gt;")=0,"brak danych",VLOOKUP($C608,$A$10:$J$89,6,FALSE)*$F608)))))</x:f>
      </x:c>
      <x:c r="M608" s="25" t="str">
        <x:f>IF($A608="","",IF($F608="","",IF($F608=0,0,IF(COUNTIFS($A$10:$A$89,$C608)&lt;&gt;1,"brak danych",IF(COUNTIFS($A$10:$A$89,$C608,$G$10:$G$89,"&lt;&gt;")=0,"brak danych",VLOOKUP($C608,$A$10:$J$89,7,FALSE)*$F608)))))</x:f>
      </x:c>
      <x:c r="N608" s="25" t="str">
        <x:f>IF($A608="","",IF($F608="","",IF($F608=0,0,IF(COUNTIFS($A$10:$A$89,$C608)&lt;&gt;1,"brak danych",IF(COUNTIFS($A$10:$A$89,$C608,$H$10:$H$89,"&lt;&gt;")=0,"brak danych",VLOOKUP($C608,$A$10:$J$89,8,FALSE)*$F608)))))</x:f>
      </x:c>
      <x:c r="O608" s="25" t="str">
        <x:f>IF($A608="","",IF($F608="","",IF($F608=0,0,IF(COUNTIFS($A$10:$A$89,$C608)&lt;&gt;1,"brak danych",IF(COUNTIFS($A$10:$A$89,$C608,$I$10:$I$89,"&lt;&gt;")=0,"brak danych",VLOOKUP($C608,$A$10:$J$89,9,FALSE)*$F608)))))</x:f>
      </x:c>
      <x:c r="P608" s="25" t="str">
        <x:f>IF($A608="","",IF($F608="","",IF($F608=0,0,IF(COUNTIFS($A$10:$A$89,$C608)&lt;&gt;1,"brak danych",IF(COUNTIFS($A$10:$A$89,$C608,$J$10:$J$89,"&lt;&gt;")=0,"brak danych",VLOOKUP($C608,$A$10:$J$89,10,FALSE)*$F608)))))</x:f>
      </x:c>
      <x:c r="Q608" s="18"/>
    </x:row>
    <x:row r="609" ht="25" customHeight="1">
      <x:c r="A609" s="6"/>
      <x:c r="B609" s="30"/>
      <x:c r="C609" s="5"/>
      <x:c r="D609" s="5"/>
      <x:c r="E609" s="32"/>
      <x:c r="F609" s="32"/>
      <x:c r="G609" s="24" t="str">
        <x:f>IF($A609="","",IF(AND($C609="",$E609=""),"",IF($E609="","brak danych",IF($E609=0,0,IF(COUNTIFS($A$10:$A$89,$C609)&lt;&gt;1,"brak danych",IF(COUNTIFS($A$10:$A$89,$C609,$F$10:$F$89,"&lt;&gt;")=0,"brak danych",VLOOKUP($C609,$A$10:$J$89,6,FALSE)*$E609))))))</x:f>
      </x:c>
      <x:c r="H609" s="25" t="str">
        <x:f>IF($A609="","",IF(AND($C609="",$E609=""),"",IF($E609="","brak danych",IF($E609=0,0,IF(COUNTIFS($A$10:$A$89,$C609)&lt;&gt;1,"brak danych",IF(COUNTIFS($A$10:$A$89,$C609,$G$10:$G$89,"&lt;&gt;")=0,"brak danych",VLOOKUP($C609,$A$10:$J$89,7,FALSE)*$E609))))))</x:f>
      </x:c>
      <x:c r="I609" s="25" t="str">
        <x:f>IF($A609="","",IF(AND($C609="",$E609=""),"",IF($E609="","brak danych",IF($E609=0,0,IF(COUNTIFS($A$10:$A$89,$C609)&lt;&gt;1,"brak danych",IF(COUNTIFS($A$10:$A$89,$C609,$H$10:$H$89,"&lt;&gt;")=0,"brak danych",VLOOKUP($C609,$A$10:$J$89,8,FALSE)*$E609))))))</x:f>
      </x:c>
      <x:c r="J609" s="25" t="str">
        <x:f>IF($A609="","",IF(AND($C609="",$E609=""),"",IF($E609="","brak danych",IF($E609=0,0,IF(COUNTIFS($A$10:$A$89,$C609)&lt;&gt;1,"brak danych",IF(COUNTIFS($A$10:$A$89,$C609,$I$10:$I$89,"&lt;&gt;")=0,"brak danych",VLOOKUP($C609,$A$10:$J$89,9,FALSE)*$E609))))))</x:f>
      </x:c>
      <x:c r="K609" s="25" t="str">
        <x:f>IF($A609="","",IF(AND($C609="",$E609=""),"",IF($E609="","brak danych",IF($E609=0,0,IF(COUNTIFS($A$10:$A$89,$C609)&lt;&gt;1,"brak danych",IF(COUNTIFS($A$10:$A$89,$C609,$J$10:$J$89,"&lt;&gt;")=0,"brak danych",VLOOKUP($C609,$A$10:$J$89,10,FALSE)*$E609))))))</x:f>
      </x:c>
      <x:c r="L609" s="24" t="str">
        <x:f>IF($A609="","",IF($F609="","",IF($F609=0,0,IF(COUNTIFS($A$10:$A$89,$C609)&lt;&gt;1,"brak danych",IF(COUNTIFS($A$10:$A$89,$C609,$F$10:$F$89,"&lt;&gt;")=0,"brak danych",VLOOKUP($C609,$A$10:$J$89,6,FALSE)*$F609)))))</x:f>
      </x:c>
      <x:c r="M609" s="25" t="str">
        <x:f>IF($A609="","",IF($F609="","",IF($F609=0,0,IF(COUNTIFS($A$10:$A$89,$C609)&lt;&gt;1,"brak danych",IF(COUNTIFS($A$10:$A$89,$C609,$G$10:$G$89,"&lt;&gt;")=0,"brak danych",VLOOKUP($C609,$A$10:$J$89,7,FALSE)*$F609)))))</x:f>
      </x:c>
      <x:c r="N609" s="25" t="str">
        <x:f>IF($A609="","",IF($F609="","",IF($F609=0,0,IF(COUNTIFS($A$10:$A$89,$C609)&lt;&gt;1,"brak danych",IF(COUNTIFS($A$10:$A$89,$C609,$H$10:$H$89,"&lt;&gt;")=0,"brak danych",VLOOKUP($C609,$A$10:$J$89,8,FALSE)*$F609)))))</x:f>
      </x:c>
      <x:c r="O609" s="25" t="str">
        <x:f>IF($A609="","",IF($F609="","",IF($F609=0,0,IF(COUNTIFS($A$10:$A$89,$C609)&lt;&gt;1,"brak danych",IF(COUNTIFS($A$10:$A$89,$C609,$I$10:$I$89,"&lt;&gt;")=0,"brak danych",VLOOKUP($C609,$A$10:$J$89,9,FALSE)*$F609)))))</x:f>
      </x:c>
      <x:c r="P609" s="25" t="str">
        <x:f>IF($A609="","",IF($F609="","",IF($F609=0,0,IF(COUNTIFS($A$10:$A$89,$C609)&lt;&gt;1,"brak danych",IF(COUNTIFS($A$10:$A$89,$C609,$J$10:$J$89,"&lt;&gt;")=0,"brak danych",VLOOKUP($C609,$A$10:$J$89,10,FALSE)*$F609)))))</x:f>
      </x:c>
      <x:c r="Q609" s="18"/>
    </x:row>
    <x:row r="610" ht="25" customHeight="1">
      <x:c r="A610" s="6"/>
      <x:c r="B610" s="30"/>
      <x:c r="C610" s="5"/>
      <x:c r="D610" s="5"/>
      <x:c r="E610" s="32"/>
      <x:c r="F610" s="32"/>
      <x:c r="G610" s="24" t="str">
        <x:f>IF($A610="","",IF(AND($C610="",$E610=""),"",IF($E610="","brak danych",IF($E610=0,0,IF(COUNTIFS($A$10:$A$89,$C610)&lt;&gt;1,"brak danych",IF(COUNTIFS($A$10:$A$89,$C610,$F$10:$F$89,"&lt;&gt;")=0,"brak danych",VLOOKUP($C610,$A$10:$J$89,6,FALSE)*$E610))))))</x:f>
      </x:c>
      <x:c r="H610" s="25" t="str">
        <x:f>IF($A610="","",IF(AND($C610="",$E610=""),"",IF($E610="","brak danych",IF($E610=0,0,IF(COUNTIFS($A$10:$A$89,$C610)&lt;&gt;1,"brak danych",IF(COUNTIFS($A$10:$A$89,$C610,$G$10:$G$89,"&lt;&gt;")=0,"brak danych",VLOOKUP($C610,$A$10:$J$89,7,FALSE)*$E610))))))</x:f>
      </x:c>
      <x:c r="I610" s="25" t="str">
        <x:f>IF($A610="","",IF(AND($C610="",$E610=""),"",IF($E610="","brak danych",IF($E610=0,0,IF(COUNTIFS($A$10:$A$89,$C610)&lt;&gt;1,"brak danych",IF(COUNTIFS($A$10:$A$89,$C610,$H$10:$H$89,"&lt;&gt;")=0,"brak danych",VLOOKUP($C610,$A$10:$J$89,8,FALSE)*$E610))))))</x:f>
      </x:c>
      <x:c r="J610" s="25" t="str">
        <x:f>IF($A610="","",IF(AND($C610="",$E610=""),"",IF($E610="","brak danych",IF($E610=0,0,IF(COUNTIFS($A$10:$A$89,$C610)&lt;&gt;1,"brak danych",IF(COUNTIFS($A$10:$A$89,$C610,$I$10:$I$89,"&lt;&gt;")=0,"brak danych",VLOOKUP($C610,$A$10:$J$89,9,FALSE)*$E610))))))</x:f>
      </x:c>
      <x:c r="K610" s="25" t="str">
        <x:f>IF($A610="","",IF(AND($C610="",$E610=""),"",IF($E610="","brak danych",IF($E610=0,0,IF(COUNTIFS($A$10:$A$89,$C610)&lt;&gt;1,"brak danych",IF(COUNTIFS($A$10:$A$89,$C610,$J$10:$J$89,"&lt;&gt;")=0,"brak danych",VLOOKUP($C610,$A$10:$J$89,10,FALSE)*$E610))))))</x:f>
      </x:c>
      <x:c r="L610" s="24" t="str">
        <x:f>IF($A610="","",IF($F610="","",IF($F610=0,0,IF(COUNTIFS($A$10:$A$89,$C610)&lt;&gt;1,"brak danych",IF(COUNTIFS($A$10:$A$89,$C610,$F$10:$F$89,"&lt;&gt;")=0,"brak danych",VLOOKUP($C610,$A$10:$J$89,6,FALSE)*$F610)))))</x:f>
      </x:c>
      <x:c r="M610" s="25" t="str">
        <x:f>IF($A610="","",IF($F610="","",IF($F610=0,0,IF(COUNTIFS($A$10:$A$89,$C610)&lt;&gt;1,"brak danych",IF(COUNTIFS($A$10:$A$89,$C610,$G$10:$G$89,"&lt;&gt;")=0,"brak danych",VLOOKUP($C610,$A$10:$J$89,7,FALSE)*$F610)))))</x:f>
      </x:c>
      <x:c r="N610" s="25" t="str">
        <x:f>IF($A610="","",IF($F610="","",IF($F610=0,0,IF(COUNTIFS($A$10:$A$89,$C610)&lt;&gt;1,"brak danych",IF(COUNTIFS($A$10:$A$89,$C610,$H$10:$H$89,"&lt;&gt;")=0,"brak danych",VLOOKUP($C610,$A$10:$J$89,8,FALSE)*$F610)))))</x:f>
      </x:c>
      <x:c r="O610" s="25" t="str">
        <x:f>IF($A610="","",IF($F610="","",IF($F610=0,0,IF(COUNTIFS($A$10:$A$89,$C610)&lt;&gt;1,"brak danych",IF(COUNTIFS($A$10:$A$89,$C610,$I$10:$I$89,"&lt;&gt;")=0,"brak danych",VLOOKUP($C610,$A$10:$J$89,9,FALSE)*$F610)))))</x:f>
      </x:c>
      <x:c r="P610" s="25" t="str">
        <x:f>IF($A610="","",IF($F610="","",IF($F610=0,0,IF(COUNTIFS($A$10:$A$89,$C610)&lt;&gt;1,"brak danych",IF(COUNTIFS($A$10:$A$89,$C610,$J$10:$J$89,"&lt;&gt;")=0,"brak danych",VLOOKUP($C610,$A$10:$J$89,10,FALSE)*$F610)))))</x:f>
      </x:c>
      <x:c r="Q610" s="18"/>
    </x:row>
    <x:row r="611" ht="25" customHeight="1">
      <x:c r="A611" s="6"/>
      <x:c r="B611" s="30"/>
      <x:c r="C611" s="5"/>
      <x:c r="D611" s="5"/>
      <x:c r="E611" s="32"/>
      <x:c r="F611" s="32"/>
      <x:c r="G611" s="24" t="str">
        <x:f>IF($A611="","",IF(AND($C611="",$E611=""),"",IF($E611="","brak danych",IF($E611=0,0,IF(COUNTIFS($A$10:$A$89,$C611)&lt;&gt;1,"brak danych",IF(COUNTIFS($A$10:$A$89,$C611,$F$10:$F$89,"&lt;&gt;")=0,"brak danych",VLOOKUP($C611,$A$10:$J$89,6,FALSE)*$E611))))))</x:f>
      </x:c>
      <x:c r="H611" s="25" t="str">
        <x:f>IF($A611="","",IF(AND($C611="",$E611=""),"",IF($E611="","brak danych",IF($E611=0,0,IF(COUNTIFS($A$10:$A$89,$C611)&lt;&gt;1,"brak danych",IF(COUNTIFS($A$10:$A$89,$C611,$G$10:$G$89,"&lt;&gt;")=0,"brak danych",VLOOKUP($C611,$A$10:$J$89,7,FALSE)*$E611))))))</x:f>
      </x:c>
      <x:c r="I611" s="25" t="str">
        <x:f>IF($A611="","",IF(AND($C611="",$E611=""),"",IF($E611="","brak danych",IF($E611=0,0,IF(COUNTIFS($A$10:$A$89,$C611)&lt;&gt;1,"brak danych",IF(COUNTIFS($A$10:$A$89,$C611,$H$10:$H$89,"&lt;&gt;")=0,"brak danych",VLOOKUP($C611,$A$10:$J$89,8,FALSE)*$E611))))))</x:f>
      </x:c>
      <x:c r="J611" s="25" t="str">
        <x:f>IF($A611="","",IF(AND($C611="",$E611=""),"",IF($E611="","brak danych",IF($E611=0,0,IF(COUNTIFS($A$10:$A$89,$C611)&lt;&gt;1,"brak danych",IF(COUNTIFS($A$10:$A$89,$C611,$I$10:$I$89,"&lt;&gt;")=0,"brak danych",VLOOKUP($C611,$A$10:$J$89,9,FALSE)*$E611))))))</x:f>
      </x:c>
      <x:c r="K611" s="25" t="str">
        <x:f>IF($A611="","",IF(AND($C611="",$E611=""),"",IF($E611="","brak danych",IF($E611=0,0,IF(COUNTIFS($A$10:$A$89,$C611)&lt;&gt;1,"brak danych",IF(COUNTIFS($A$10:$A$89,$C611,$J$10:$J$89,"&lt;&gt;")=0,"brak danych",VLOOKUP($C611,$A$10:$J$89,10,FALSE)*$E611))))))</x:f>
      </x:c>
      <x:c r="L611" s="24" t="str">
        <x:f>IF($A611="","",IF($F611="","",IF($F611=0,0,IF(COUNTIFS($A$10:$A$89,$C611)&lt;&gt;1,"brak danych",IF(COUNTIFS($A$10:$A$89,$C611,$F$10:$F$89,"&lt;&gt;")=0,"brak danych",VLOOKUP($C611,$A$10:$J$89,6,FALSE)*$F611)))))</x:f>
      </x:c>
      <x:c r="M611" s="25" t="str">
        <x:f>IF($A611="","",IF($F611="","",IF($F611=0,0,IF(COUNTIFS($A$10:$A$89,$C611)&lt;&gt;1,"brak danych",IF(COUNTIFS($A$10:$A$89,$C611,$G$10:$G$89,"&lt;&gt;")=0,"brak danych",VLOOKUP($C611,$A$10:$J$89,7,FALSE)*$F611)))))</x:f>
      </x:c>
      <x:c r="N611" s="25" t="str">
        <x:f>IF($A611="","",IF($F611="","",IF($F611=0,0,IF(COUNTIFS($A$10:$A$89,$C611)&lt;&gt;1,"brak danych",IF(COUNTIFS($A$10:$A$89,$C611,$H$10:$H$89,"&lt;&gt;")=0,"brak danych",VLOOKUP($C611,$A$10:$J$89,8,FALSE)*$F611)))))</x:f>
      </x:c>
      <x:c r="O611" s="25" t="str">
        <x:f>IF($A611="","",IF($F611="","",IF($F611=0,0,IF(COUNTIFS($A$10:$A$89,$C611)&lt;&gt;1,"brak danych",IF(COUNTIFS($A$10:$A$89,$C611,$I$10:$I$89,"&lt;&gt;")=0,"brak danych",VLOOKUP($C611,$A$10:$J$89,9,FALSE)*$F611)))))</x:f>
      </x:c>
      <x:c r="P611" s="25" t="str">
        <x:f>IF($A611="","",IF($F611="","",IF($F611=0,0,IF(COUNTIFS($A$10:$A$89,$C611)&lt;&gt;1,"brak danych",IF(COUNTIFS($A$10:$A$89,$C611,$J$10:$J$89,"&lt;&gt;")=0,"brak danych",VLOOKUP($C611,$A$10:$J$89,10,FALSE)*$F611)))))</x:f>
      </x:c>
      <x:c r="Q611" s="18"/>
    </x:row>
    <x:row r="612" ht="25" customHeight="1">
      <x:c r="A612" s="6"/>
      <x:c r="B612" s="30"/>
      <x:c r="C612" s="5"/>
      <x:c r="D612" s="5"/>
      <x:c r="E612" s="32"/>
      <x:c r="F612" s="32"/>
      <x:c r="G612" s="24" t="str">
        <x:f>IF($A612="","",IF(AND($C612="",$E612=""),"",IF($E612="","brak danych",IF($E612=0,0,IF(COUNTIFS($A$10:$A$89,$C612)&lt;&gt;1,"brak danych",IF(COUNTIFS($A$10:$A$89,$C612,$F$10:$F$89,"&lt;&gt;")=0,"brak danych",VLOOKUP($C612,$A$10:$J$89,6,FALSE)*$E612))))))</x:f>
      </x:c>
      <x:c r="H612" s="25" t="str">
        <x:f>IF($A612="","",IF(AND($C612="",$E612=""),"",IF($E612="","brak danych",IF($E612=0,0,IF(COUNTIFS($A$10:$A$89,$C612)&lt;&gt;1,"brak danych",IF(COUNTIFS($A$10:$A$89,$C612,$G$10:$G$89,"&lt;&gt;")=0,"brak danych",VLOOKUP($C612,$A$10:$J$89,7,FALSE)*$E612))))))</x:f>
      </x:c>
      <x:c r="I612" s="25" t="str">
        <x:f>IF($A612="","",IF(AND($C612="",$E612=""),"",IF($E612="","brak danych",IF($E612=0,0,IF(COUNTIFS($A$10:$A$89,$C612)&lt;&gt;1,"brak danych",IF(COUNTIFS($A$10:$A$89,$C612,$H$10:$H$89,"&lt;&gt;")=0,"brak danych",VLOOKUP($C612,$A$10:$J$89,8,FALSE)*$E612))))))</x:f>
      </x:c>
      <x:c r="J612" s="25" t="str">
        <x:f>IF($A612="","",IF(AND($C612="",$E612=""),"",IF($E612="","brak danych",IF($E612=0,0,IF(COUNTIFS($A$10:$A$89,$C612)&lt;&gt;1,"brak danych",IF(COUNTIFS($A$10:$A$89,$C612,$I$10:$I$89,"&lt;&gt;")=0,"brak danych",VLOOKUP($C612,$A$10:$J$89,9,FALSE)*$E612))))))</x:f>
      </x:c>
      <x:c r="K612" s="25" t="str">
        <x:f>IF($A612="","",IF(AND($C612="",$E612=""),"",IF($E612="","brak danych",IF($E612=0,0,IF(COUNTIFS($A$10:$A$89,$C612)&lt;&gt;1,"brak danych",IF(COUNTIFS($A$10:$A$89,$C612,$J$10:$J$89,"&lt;&gt;")=0,"brak danych",VLOOKUP($C612,$A$10:$J$89,10,FALSE)*$E612))))))</x:f>
      </x:c>
      <x:c r="L612" s="24" t="str">
        <x:f>IF($A612="","",IF($F612="","",IF($F612=0,0,IF(COUNTIFS($A$10:$A$89,$C612)&lt;&gt;1,"brak danych",IF(COUNTIFS($A$10:$A$89,$C612,$F$10:$F$89,"&lt;&gt;")=0,"brak danych",VLOOKUP($C612,$A$10:$J$89,6,FALSE)*$F612)))))</x:f>
      </x:c>
      <x:c r="M612" s="25" t="str">
        <x:f>IF($A612="","",IF($F612="","",IF($F612=0,0,IF(COUNTIFS($A$10:$A$89,$C612)&lt;&gt;1,"brak danych",IF(COUNTIFS($A$10:$A$89,$C612,$G$10:$G$89,"&lt;&gt;")=0,"brak danych",VLOOKUP($C612,$A$10:$J$89,7,FALSE)*$F612)))))</x:f>
      </x:c>
      <x:c r="N612" s="25" t="str">
        <x:f>IF($A612="","",IF($F612="","",IF($F612=0,0,IF(COUNTIFS($A$10:$A$89,$C612)&lt;&gt;1,"brak danych",IF(COUNTIFS($A$10:$A$89,$C612,$H$10:$H$89,"&lt;&gt;")=0,"brak danych",VLOOKUP($C612,$A$10:$J$89,8,FALSE)*$F612)))))</x:f>
      </x:c>
      <x:c r="O612" s="25" t="str">
        <x:f>IF($A612="","",IF($F612="","",IF($F612=0,0,IF(COUNTIFS($A$10:$A$89,$C612)&lt;&gt;1,"brak danych",IF(COUNTIFS($A$10:$A$89,$C612,$I$10:$I$89,"&lt;&gt;")=0,"brak danych",VLOOKUP($C612,$A$10:$J$89,9,FALSE)*$F612)))))</x:f>
      </x:c>
      <x:c r="P612" s="25" t="str">
        <x:f>IF($A612="","",IF($F612="","",IF($F612=0,0,IF(COUNTIFS($A$10:$A$89,$C612)&lt;&gt;1,"brak danych",IF(COUNTIFS($A$10:$A$89,$C612,$J$10:$J$89,"&lt;&gt;")=0,"brak danych",VLOOKUP($C612,$A$10:$J$89,10,FALSE)*$F612)))))</x:f>
      </x:c>
      <x:c r="Q612" s="18"/>
    </x:row>
    <x:row r="613" ht="25" customHeight="1">
      <x:c r="A613" s="6"/>
      <x:c r="B613" s="30"/>
      <x:c r="C613" s="5"/>
      <x:c r="D613" s="5"/>
      <x:c r="E613" s="32"/>
      <x:c r="F613" s="32"/>
      <x:c r="G613" s="24" t="str">
        <x:f>IF($A613="","",IF(AND($C613="",$E613=""),"",IF($E613="","brak danych",IF($E613=0,0,IF(COUNTIFS($A$10:$A$89,$C613)&lt;&gt;1,"brak danych",IF(COUNTIFS($A$10:$A$89,$C613,$F$10:$F$89,"&lt;&gt;")=0,"brak danych",VLOOKUP($C613,$A$10:$J$89,6,FALSE)*$E613))))))</x:f>
      </x:c>
      <x:c r="H613" s="25" t="str">
        <x:f>IF($A613="","",IF(AND($C613="",$E613=""),"",IF($E613="","brak danych",IF($E613=0,0,IF(COUNTIFS($A$10:$A$89,$C613)&lt;&gt;1,"brak danych",IF(COUNTIFS($A$10:$A$89,$C613,$G$10:$G$89,"&lt;&gt;")=0,"brak danych",VLOOKUP($C613,$A$10:$J$89,7,FALSE)*$E613))))))</x:f>
      </x:c>
      <x:c r="I613" s="25" t="str">
        <x:f>IF($A613="","",IF(AND($C613="",$E613=""),"",IF($E613="","brak danych",IF($E613=0,0,IF(COUNTIFS($A$10:$A$89,$C613)&lt;&gt;1,"brak danych",IF(COUNTIFS($A$10:$A$89,$C613,$H$10:$H$89,"&lt;&gt;")=0,"brak danych",VLOOKUP($C613,$A$10:$J$89,8,FALSE)*$E613))))))</x:f>
      </x:c>
      <x:c r="J613" s="25" t="str">
        <x:f>IF($A613="","",IF(AND($C613="",$E613=""),"",IF($E613="","brak danych",IF($E613=0,0,IF(COUNTIFS($A$10:$A$89,$C613)&lt;&gt;1,"brak danych",IF(COUNTIFS($A$10:$A$89,$C613,$I$10:$I$89,"&lt;&gt;")=0,"brak danych",VLOOKUP($C613,$A$10:$J$89,9,FALSE)*$E613))))))</x:f>
      </x:c>
      <x:c r="K613" s="25" t="str">
        <x:f>IF($A613="","",IF(AND($C613="",$E613=""),"",IF($E613="","brak danych",IF($E613=0,0,IF(COUNTIFS($A$10:$A$89,$C613)&lt;&gt;1,"brak danych",IF(COUNTIFS($A$10:$A$89,$C613,$J$10:$J$89,"&lt;&gt;")=0,"brak danych",VLOOKUP($C613,$A$10:$J$89,10,FALSE)*$E613))))))</x:f>
      </x:c>
      <x:c r="L613" s="24" t="str">
        <x:f>IF($A613="","",IF($F613="","",IF($F613=0,0,IF(COUNTIFS($A$10:$A$89,$C613)&lt;&gt;1,"brak danych",IF(COUNTIFS($A$10:$A$89,$C613,$F$10:$F$89,"&lt;&gt;")=0,"brak danych",VLOOKUP($C613,$A$10:$J$89,6,FALSE)*$F613)))))</x:f>
      </x:c>
      <x:c r="M613" s="25" t="str">
        <x:f>IF($A613="","",IF($F613="","",IF($F613=0,0,IF(COUNTIFS($A$10:$A$89,$C613)&lt;&gt;1,"brak danych",IF(COUNTIFS($A$10:$A$89,$C613,$G$10:$G$89,"&lt;&gt;")=0,"brak danych",VLOOKUP($C613,$A$10:$J$89,7,FALSE)*$F613)))))</x:f>
      </x:c>
      <x:c r="N613" s="25" t="str">
        <x:f>IF($A613="","",IF($F613="","",IF($F613=0,0,IF(COUNTIFS($A$10:$A$89,$C613)&lt;&gt;1,"brak danych",IF(COUNTIFS($A$10:$A$89,$C613,$H$10:$H$89,"&lt;&gt;")=0,"brak danych",VLOOKUP($C613,$A$10:$J$89,8,FALSE)*$F613)))))</x:f>
      </x:c>
      <x:c r="O613" s="25" t="str">
        <x:f>IF($A613="","",IF($F613="","",IF($F613=0,0,IF(COUNTIFS($A$10:$A$89,$C613)&lt;&gt;1,"brak danych",IF(COUNTIFS($A$10:$A$89,$C613,$I$10:$I$89,"&lt;&gt;")=0,"brak danych",VLOOKUP($C613,$A$10:$J$89,9,FALSE)*$F613)))))</x:f>
      </x:c>
      <x:c r="P613" s="25" t="str">
        <x:f>IF($A613="","",IF($F613="","",IF($F613=0,0,IF(COUNTIFS($A$10:$A$89,$C613)&lt;&gt;1,"brak danych",IF(COUNTIFS($A$10:$A$89,$C613,$J$10:$J$89,"&lt;&gt;")=0,"brak danych",VLOOKUP($C613,$A$10:$J$89,10,FALSE)*$F613)))))</x:f>
      </x:c>
      <x:c r="Q613" s="18"/>
    </x:row>
    <x:row r="614" ht="25" customHeight="1">
      <x:c r="A614" s="6"/>
      <x:c r="B614" s="30"/>
      <x:c r="C614" s="5"/>
      <x:c r="D614" s="5"/>
      <x:c r="E614" s="32"/>
      <x:c r="F614" s="32"/>
      <x:c r="G614" s="24" t="str">
        <x:f>IF($A614="","",IF(AND($C614="",$E614=""),"",IF($E614="","brak danych",IF($E614=0,0,IF(COUNTIFS($A$10:$A$89,$C614)&lt;&gt;1,"brak danych",IF(COUNTIFS($A$10:$A$89,$C614,$F$10:$F$89,"&lt;&gt;")=0,"brak danych",VLOOKUP($C614,$A$10:$J$89,6,FALSE)*$E614))))))</x:f>
      </x:c>
      <x:c r="H614" s="25" t="str">
        <x:f>IF($A614="","",IF(AND($C614="",$E614=""),"",IF($E614="","brak danych",IF($E614=0,0,IF(COUNTIFS($A$10:$A$89,$C614)&lt;&gt;1,"brak danych",IF(COUNTIFS($A$10:$A$89,$C614,$G$10:$G$89,"&lt;&gt;")=0,"brak danych",VLOOKUP($C614,$A$10:$J$89,7,FALSE)*$E614))))))</x:f>
      </x:c>
      <x:c r="I614" s="25" t="str">
        <x:f>IF($A614="","",IF(AND($C614="",$E614=""),"",IF($E614="","brak danych",IF($E614=0,0,IF(COUNTIFS($A$10:$A$89,$C614)&lt;&gt;1,"brak danych",IF(COUNTIFS($A$10:$A$89,$C614,$H$10:$H$89,"&lt;&gt;")=0,"brak danych",VLOOKUP($C614,$A$10:$J$89,8,FALSE)*$E614))))))</x:f>
      </x:c>
      <x:c r="J614" s="25" t="str">
        <x:f>IF($A614="","",IF(AND($C614="",$E614=""),"",IF($E614="","brak danych",IF($E614=0,0,IF(COUNTIFS($A$10:$A$89,$C614)&lt;&gt;1,"brak danych",IF(COUNTIFS($A$10:$A$89,$C614,$I$10:$I$89,"&lt;&gt;")=0,"brak danych",VLOOKUP($C614,$A$10:$J$89,9,FALSE)*$E614))))))</x:f>
      </x:c>
      <x:c r="K614" s="25" t="str">
        <x:f>IF($A614="","",IF(AND($C614="",$E614=""),"",IF($E614="","brak danych",IF($E614=0,0,IF(COUNTIFS($A$10:$A$89,$C614)&lt;&gt;1,"brak danych",IF(COUNTIFS($A$10:$A$89,$C614,$J$10:$J$89,"&lt;&gt;")=0,"brak danych",VLOOKUP($C614,$A$10:$J$89,10,FALSE)*$E614))))))</x:f>
      </x:c>
      <x:c r="L614" s="24" t="str">
        <x:f>IF($A614="","",IF($F614="","",IF($F614=0,0,IF(COUNTIFS($A$10:$A$89,$C614)&lt;&gt;1,"brak danych",IF(COUNTIFS($A$10:$A$89,$C614,$F$10:$F$89,"&lt;&gt;")=0,"brak danych",VLOOKUP($C614,$A$10:$J$89,6,FALSE)*$F614)))))</x:f>
      </x:c>
      <x:c r="M614" s="25" t="str">
        <x:f>IF($A614="","",IF($F614="","",IF($F614=0,0,IF(COUNTIFS($A$10:$A$89,$C614)&lt;&gt;1,"brak danych",IF(COUNTIFS($A$10:$A$89,$C614,$G$10:$G$89,"&lt;&gt;")=0,"brak danych",VLOOKUP($C614,$A$10:$J$89,7,FALSE)*$F614)))))</x:f>
      </x:c>
      <x:c r="N614" s="25" t="str">
        <x:f>IF($A614="","",IF($F614="","",IF($F614=0,0,IF(COUNTIFS($A$10:$A$89,$C614)&lt;&gt;1,"brak danych",IF(COUNTIFS($A$10:$A$89,$C614,$H$10:$H$89,"&lt;&gt;")=0,"brak danych",VLOOKUP($C614,$A$10:$J$89,8,FALSE)*$F614)))))</x:f>
      </x:c>
      <x:c r="O614" s="25" t="str">
        <x:f>IF($A614="","",IF($F614="","",IF($F614=0,0,IF(COUNTIFS($A$10:$A$89,$C614)&lt;&gt;1,"brak danych",IF(COUNTIFS($A$10:$A$89,$C614,$I$10:$I$89,"&lt;&gt;")=0,"brak danych",VLOOKUP($C614,$A$10:$J$89,9,FALSE)*$F614)))))</x:f>
      </x:c>
      <x:c r="P614" s="25" t="str">
        <x:f>IF($A614="","",IF($F614="","",IF($F614=0,0,IF(COUNTIFS($A$10:$A$89,$C614)&lt;&gt;1,"brak danych",IF(COUNTIFS($A$10:$A$89,$C614,$J$10:$J$89,"&lt;&gt;")=0,"brak danych",VLOOKUP($C614,$A$10:$J$89,10,FALSE)*$F614)))))</x:f>
      </x:c>
      <x:c r="Q614" s="18"/>
    </x:row>
    <x:row r="615" ht="25" customHeight="1">
      <x:c r="A615" s="6"/>
      <x:c r="B615" s="30"/>
      <x:c r="C615" s="5"/>
      <x:c r="D615" s="5"/>
      <x:c r="E615" s="32"/>
      <x:c r="F615" s="32"/>
      <x:c r="G615" s="24" t="str">
        <x:f>IF($A615="","",IF(AND($C615="",$E615=""),"",IF($E615="","brak danych",IF($E615=0,0,IF(COUNTIFS($A$10:$A$89,$C615)&lt;&gt;1,"brak danych",IF(COUNTIFS($A$10:$A$89,$C615,$F$10:$F$89,"&lt;&gt;")=0,"brak danych",VLOOKUP($C615,$A$10:$J$89,6,FALSE)*$E615))))))</x:f>
      </x:c>
      <x:c r="H615" s="25" t="str">
        <x:f>IF($A615="","",IF(AND($C615="",$E615=""),"",IF($E615="","brak danych",IF($E615=0,0,IF(COUNTIFS($A$10:$A$89,$C615)&lt;&gt;1,"brak danych",IF(COUNTIFS($A$10:$A$89,$C615,$G$10:$G$89,"&lt;&gt;")=0,"brak danych",VLOOKUP($C615,$A$10:$J$89,7,FALSE)*$E615))))))</x:f>
      </x:c>
      <x:c r="I615" s="25" t="str">
        <x:f>IF($A615="","",IF(AND($C615="",$E615=""),"",IF($E615="","brak danych",IF($E615=0,0,IF(COUNTIFS($A$10:$A$89,$C615)&lt;&gt;1,"brak danych",IF(COUNTIFS($A$10:$A$89,$C615,$H$10:$H$89,"&lt;&gt;")=0,"brak danych",VLOOKUP($C615,$A$10:$J$89,8,FALSE)*$E615))))))</x:f>
      </x:c>
      <x:c r="J615" s="25" t="str">
        <x:f>IF($A615="","",IF(AND($C615="",$E615=""),"",IF($E615="","brak danych",IF($E615=0,0,IF(COUNTIFS($A$10:$A$89,$C615)&lt;&gt;1,"brak danych",IF(COUNTIFS($A$10:$A$89,$C615,$I$10:$I$89,"&lt;&gt;")=0,"brak danych",VLOOKUP($C615,$A$10:$J$89,9,FALSE)*$E615))))))</x:f>
      </x:c>
      <x:c r="K615" s="25" t="str">
        <x:f>IF($A615="","",IF(AND($C615="",$E615=""),"",IF($E615="","brak danych",IF($E615=0,0,IF(COUNTIFS($A$10:$A$89,$C615)&lt;&gt;1,"brak danych",IF(COUNTIFS($A$10:$A$89,$C615,$J$10:$J$89,"&lt;&gt;")=0,"brak danych",VLOOKUP($C615,$A$10:$J$89,10,FALSE)*$E615))))))</x:f>
      </x:c>
      <x:c r="L615" s="24" t="str">
        <x:f>IF($A615="","",IF($F615="","",IF($F615=0,0,IF(COUNTIFS($A$10:$A$89,$C615)&lt;&gt;1,"brak danych",IF(COUNTIFS($A$10:$A$89,$C615,$F$10:$F$89,"&lt;&gt;")=0,"brak danych",VLOOKUP($C615,$A$10:$J$89,6,FALSE)*$F615)))))</x:f>
      </x:c>
      <x:c r="M615" s="25" t="str">
        <x:f>IF($A615="","",IF($F615="","",IF($F615=0,0,IF(COUNTIFS($A$10:$A$89,$C615)&lt;&gt;1,"brak danych",IF(COUNTIFS($A$10:$A$89,$C615,$G$10:$G$89,"&lt;&gt;")=0,"brak danych",VLOOKUP($C615,$A$10:$J$89,7,FALSE)*$F615)))))</x:f>
      </x:c>
      <x:c r="N615" s="25" t="str">
        <x:f>IF($A615="","",IF($F615="","",IF($F615=0,0,IF(COUNTIFS($A$10:$A$89,$C615)&lt;&gt;1,"brak danych",IF(COUNTIFS($A$10:$A$89,$C615,$H$10:$H$89,"&lt;&gt;")=0,"brak danych",VLOOKUP($C615,$A$10:$J$89,8,FALSE)*$F615)))))</x:f>
      </x:c>
      <x:c r="O615" s="25" t="str">
        <x:f>IF($A615="","",IF($F615="","",IF($F615=0,0,IF(COUNTIFS($A$10:$A$89,$C615)&lt;&gt;1,"brak danych",IF(COUNTIFS($A$10:$A$89,$C615,$I$10:$I$89,"&lt;&gt;")=0,"brak danych",VLOOKUP($C615,$A$10:$J$89,9,FALSE)*$F615)))))</x:f>
      </x:c>
      <x:c r="P615" s="25" t="str">
        <x:f>IF($A615="","",IF($F615="","",IF($F615=0,0,IF(COUNTIFS($A$10:$A$89,$C615)&lt;&gt;1,"brak danych",IF(COUNTIFS($A$10:$A$89,$C615,$J$10:$J$89,"&lt;&gt;")=0,"brak danych",VLOOKUP($C615,$A$10:$J$89,10,FALSE)*$F615)))))</x:f>
      </x:c>
      <x:c r="Q615" s="18"/>
    </x:row>
    <x:row r="616" ht="25" customHeight="1">
      <x:c r="A616" s="6"/>
      <x:c r="B616" s="30"/>
      <x:c r="C616" s="5"/>
      <x:c r="D616" s="5"/>
      <x:c r="E616" s="32"/>
      <x:c r="F616" s="32"/>
      <x:c r="G616" s="24" t="str">
        <x:f>IF($A616="","",IF(AND($C616="",$E616=""),"",IF($E616="","brak danych",IF($E616=0,0,IF(COUNTIFS($A$10:$A$89,$C616)&lt;&gt;1,"brak danych",IF(COUNTIFS($A$10:$A$89,$C616,$F$10:$F$89,"&lt;&gt;")=0,"brak danych",VLOOKUP($C616,$A$10:$J$89,6,FALSE)*$E616))))))</x:f>
      </x:c>
      <x:c r="H616" s="25" t="str">
        <x:f>IF($A616="","",IF(AND($C616="",$E616=""),"",IF($E616="","brak danych",IF($E616=0,0,IF(COUNTIFS($A$10:$A$89,$C616)&lt;&gt;1,"brak danych",IF(COUNTIFS($A$10:$A$89,$C616,$G$10:$G$89,"&lt;&gt;")=0,"brak danych",VLOOKUP($C616,$A$10:$J$89,7,FALSE)*$E616))))))</x:f>
      </x:c>
      <x:c r="I616" s="25" t="str">
        <x:f>IF($A616="","",IF(AND($C616="",$E616=""),"",IF($E616="","brak danych",IF($E616=0,0,IF(COUNTIFS($A$10:$A$89,$C616)&lt;&gt;1,"brak danych",IF(COUNTIFS($A$10:$A$89,$C616,$H$10:$H$89,"&lt;&gt;")=0,"brak danych",VLOOKUP($C616,$A$10:$J$89,8,FALSE)*$E616))))))</x:f>
      </x:c>
      <x:c r="J616" s="25" t="str">
        <x:f>IF($A616="","",IF(AND($C616="",$E616=""),"",IF($E616="","brak danych",IF($E616=0,0,IF(COUNTIFS($A$10:$A$89,$C616)&lt;&gt;1,"brak danych",IF(COUNTIFS($A$10:$A$89,$C616,$I$10:$I$89,"&lt;&gt;")=0,"brak danych",VLOOKUP($C616,$A$10:$J$89,9,FALSE)*$E616))))))</x:f>
      </x:c>
      <x:c r="K616" s="25" t="str">
        <x:f>IF($A616="","",IF(AND($C616="",$E616=""),"",IF($E616="","brak danych",IF($E616=0,0,IF(COUNTIFS($A$10:$A$89,$C616)&lt;&gt;1,"brak danych",IF(COUNTIFS($A$10:$A$89,$C616,$J$10:$J$89,"&lt;&gt;")=0,"brak danych",VLOOKUP($C616,$A$10:$J$89,10,FALSE)*$E616))))))</x:f>
      </x:c>
      <x:c r="L616" s="24" t="str">
        <x:f>IF($A616="","",IF($F616="","",IF($F616=0,0,IF(COUNTIFS($A$10:$A$89,$C616)&lt;&gt;1,"brak danych",IF(COUNTIFS($A$10:$A$89,$C616,$F$10:$F$89,"&lt;&gt;")=0,"brak danych",VLOOKUP($C616,$A$10:$J$89,6,FALSE)*$F616)))))</x:f>
      </x:c>
      <x:c r="M616" s="25" t="str">
        <x:f>IF($A616="","",IF($F616="","",IF($F616=0,0,IF(COUNTIFS($A$10:$A$89,$C616)&lt;&gt;1,"brak danych",IF(COUNTIFS($A$10:$A$89,$C616,$G$10:$G$89,"&lt;&gt;")=0,"brak danych",VLOOKUP($C616,$A$10:$J$89,7,FALSE)*$F616)))))</x:f>
      </x:c>
      <x:c r="N616" s="25" t="str">
        <x:f>IF($A616="","",IF($F616="","",IF($F616=0,0,IF(COUNTIFS($A$10:$A$89,$C616)&lt;&gt;1,"brak danych",IF(COUNTIFS($A$10:$A$89,$C616,$H$10:$H$89,"&lt;&gt;")=0,"brak danych",VLOOKUP($C616,$A$10:$J$89,8,FALSE)*$F616)))))</x:f>
      </x:c>
      <x:c r="O616" s="25" t="str">
        <x:f>IF($A616="","",IF($F616="","",IF($F616=0,0,IF(COUNTIFS($A$10:$A$89,$C616)&lt;&gt;1,"brak danych",IF(COUNTIFS($A$10:$A$89,$C616,$I$10:$I$89,"&lt;&gt;")=0,"brak danych",VLOOKUP($C616,$A$10:$J$89,9,FALSE)*$F616)))))</x:f>
      </x:c>
      <x:c r="P616" s="25" t="str">
        <x:f>IF($A616="","",IF($F616="","",IF($F616=0,0,IF(COUNTIFS($A$10:$A$89,$C616)&lt;&gt;1,"brak danych",IF(COUNTIFS($A$10:$A$89,$C616,$J$10:$J$89,"&lt;&gt;")=0,"brak danych",VLOOKUP($C616,$A$10:$J$89,10,FALSE)*$F616)))))</x:f>
      </x:c>
      <x:c r="Q616" s="18"/>
    </x:row>
    <x:row r="617" ht="25" customHeight="1">
      <x:c r="A617" s="6"/>
      <x:c r="B617" s="30"/>
      <x:c r="C617" s="5"/>
      <x:c r="D617" s="5"/>
      <x:c r="E617" s="32"/>
      <x:c r="F617" s="32"/>
      <x:c r="G617" s="24" t="str">
        <x:f>IF($A617="","",IF(AND($C617="",$E617=""),"",IF($E617="","brak danych",IF($E617=0,0,IF(COUNTIFS($A$10:$A$89,$C617)&lt;&gt;1,"brak danych",IF(COUNTIFS($A$10:$A$89,$C617,$F$10:$F$89,"&lt;&gt;")=0,"brak danych",VLOOKUP($C617,$A$10:$J$89,6,FALSE)*$E617))))))</x:f>
      </x:c>
      <x:c r="H617" s="25" t="str">
        <x:f>IF($A617="","",IF(AND($C617="",$E617=""),"",IF($E617="","brak danych",IF($E617=0,0,IF(COUNTIFS($A$10:$A$89,$C617)&lt;&gt;1,"brak danych",IF(COUNTIFS($A$10:$A$89,$C617,$G$10:$G$89,"&lt;&gt;")=0,"brak danych",VLOOKUP($C617,$A$10:$J$89,7,FALSE)*$E617))))))</x:f>
      </x:c>
      <x:c r="I617" s="25" t="str">
        <x:f>IF($A617="","",IF(AND($C617="",$E617=""),"",IF($E617="","brak danych",IF($E617=0,0,IF(COUNTIFS($A$10:$A$89,$C617)&lt;&gt;1,"brak danych",IF(COUNTIFS($A$10:$A$89,$C617,$H$10:$H$89,"&lt;&gt;")=0,"brak danych",VLOOKUP($C617,$A$10:$J$89,8,FALSE)*$E617))))))</x:f>
      </x:c>
      <x:c r="J617" s="25" t="str">
        <x:f>IF($A617="","",IF(AND($C617="",$E617=""),"",IF($E617="","brak danych",IF($E617=0,0,IF(COUNTIFS($A$10:$A$89,$C617)&lt;&gt;1,"brak danych",IF(COUNTIFS($A$10:$A$89,$C617,$I$10:$I$89,"&lt;&gt;")=0,"brak danych",VLOOKUP($C617,$A$10:$J$89,9,FALSE)*$E617))))))</x:f>
      </x:c>
      <x:c r="K617" s="25" t="str">
        <x:f>IF($A617="","",IF(AND($C617="",$E617=""),"",IF($E617="","brak danych",IF($E617=0,0,IF(COUNTIFS($A$10:$A$89,$C617)&lt;&gt;1,"brak danych",IF(COUNTIFS($A$10:$A$89,$C617,$J$10:$J$89,"&lt;&gt;")=0,"brak danych",VLOOKUP($C617,$A$10:$J$89,10,FALSE)*$E617))))))</x:f>
      </x:c>
      <x:c r="L617" s="24" t="str">
        <x:f>IF($A617="","",IF($F617="","",IF($F617=0,0,IF(COUNTIFS($A$10:$A$89,$C617)&lt;&gt;1,"brak danych",IF(COUNTIFS($A$10:$A$89,$C617,$F$10:$F$89,"&lt;&gt;")=0,"brak danych",VLOOKUP($C617,$A$10:$J$89,6,FALSE)*$F617)))))</x:f>
      </x:c>
      <x:c r="M617" s="25" t="str">
        <x:f>IF($A617="","",IF($F617="","",IF($F617=0,0,IF(COUNTIFS($A$10:$A$89,$C617)&lt;&gt;1,"brak danych",IF(COUNTIFS($A$10:$A$89,$C617,$G$10:$G$89,"&lt;&gt;")=0,"brak danych",VLOOKUP($C617,$A$10:$J$89,7,FALSE)*$F617)))))</x:f>
      </x:c>
      <x:c r="N617" s="25" t="str">
        <x:f>IF($A617="","",IF($F617="","",IF($F617=0,0,IF(COUNTIFS($A$10:$A$89,$C617)&lt;&gt;1,"brak danych",IF(COUNTIFS($A$10:$A$89,$C617,$H$10:$H$89,"&lt;&gt;")=0,"brak danych",VLOOKUP($C617,$A$10:$J$89,8,FALSE)*$F617)))))</x:f>
      </x:c>
      <x:c r="O617" s="25" t="str">
        <x:f>IF($A617="","",IF($F617="","",IF($F617=0,0,IF(COUNTIFS($A$10:$A$89,$C617)&lt;&gt;1,"brak danych",IF(COUNTIFS($A$10:$A$89,$C617,$I$10:$I$89,"&lt;&gt;")=0,"brak danych",VLOOKUP($C617,$A$10:$J$89,9,FALSE)*$F617)))))</x:f>
      </x:c>
      <x:c r="P617" s="25" t="str">
        <x:f>IF($A617="","",IF($F617="","",IF($F617=0,0,IF(COUNTIFS($A$10:$A$89,$C617)&lt;&gt;1,"brak danych",IF(COUNTIFS($A$10:$A$89,$C617,$J$10:$J$89,"&lt;&gt;")=0,"brak danych",VLOOKUP($C617,$A$10:$J$89,10,FALSE)*$F617)))))</x:f>
      </x:c>
      <x:c r="Q617" s="18"/>
    </x:row>
    <x:row r="618" ht="25" customHeight="1">
      <x:c r="A618" s="6"/>
      <x:c r="B618" s="30"/>
      <x:c r="C618" s="5"/>
      <x:c r="D618" s="5"/>
      <x:c r="E618" s="32"/>
      <x:c r="F618" s="32"/>
      <x:c r="G618" s="24" t="str">
        <x:f>IF($A618="","",IF(AND($C618="",$E618=""),"",IF($E618="","brak danych",IF($E618=0,0,IF(COUNTIFS($A$10:$A$89,$C618)&lt;&gt;1,"brak danych",IF(COUNTIFS($A$10:$A$89,$C618,$F$10:$F$89,"&lt;&gt;")=0,"brak danych",VLOOKUP($C618,$A$10:$J$89,6,FALSE)*$E618))))))</x:f>
      </x:c>
      <x:c r="H618" s="25" t="str">
        <x:f>IF($A618="","",IF(AND($C618="",$E618=""),"",IF($E618="","brak danych",IF($E618=0,0,IF(COUNTIFS($A$10:$A$89,$C618)&lt;&gt;1,"brak danych",IF(COUNTIFS($A$10:$A$89,$C618,$G$10:$G$89,"&lt;&gt;")=0,"brak danych",VLOOKUP($C618,$A$10:$J$89,7,FALSE)*$E618))))))</x:f>
      </x:c>
      <x:c r="I618" s="25" t="str">
        <x:f>IF($A618="","",IF(AND($C618="",$E618=""),"",IF($E618="","brak danych",IF($E618=0,0,IF(COUNTIFS($A$10:$A$89,$C618)&lt;&gt;1,"brak danych",IF(COUNTIFS($A$10:$A$89,$C618,$H$10:$H$89,"&lt;&gt;")=0,"brak danych",VLOOKUP($C618,$A$10:$J$89,8,FALSE)*$E618))))))</x:f>
      </x:c>
      <x:c r="J618" s="25" t="str">
        <x:f>IF($A618="","",IF(AND($C618="",$E618=""),"",IF($E618="","brak danych",IF($E618=0,0,IF(COUNTIFS($A$10:$A$89,$C618)&lt;&gt;1,"brak danych",IF(COUNTIFS($A$10:$A$89,$C618,$I$10:$I$89,"&lt;&gt;")=0,"brak danych",VLOOKUP($C618,$A$10:$J$89,9,FALSE)*$E618))))))</x:f>
      </x:c>
      <x:c r="K618" s="25" t="str">
        <x:f>IF($A618="","",IF(AND($C618="",$E618=""),"",IF($E618="","brak danych",IF($E618=0,0,IF(COUNTIFS($A$10:$A$89,$C618)&lt;&gt;1,"brak danych",IF(COUNTIFS($A$10:$A$89,$C618,$J$10:$J$89,"&lt;&gt;")=0,"brak danych",VLOOKUP($C618,$A$10:$J$89,10,FALSE)*$E618))))))</x:f>
      </x:c>
      <x:c r="L618" s="24" t="str">
        <x:f>IF($A618="","",IF($F618="","",IF($F618=0,0,IF(COUNTIFS($A$10:$A$89,$C618)&lt;&gt;1,"brak danych",IF(COUNTIFS($A$10:$A$89,$C618,$F$10:$F$89,"&lt;&gt;")=0,"brak danych",VLOOKUP($C618,$A$10:$J$89,6,FALSE)*$F618)))))</x:f>
      </x:c>
      <x:c r="M618" s="25" t="str">
        <x:f>IF($A618="","",IF($F618="","",IF($F618=0,0,IF(COUNTIFS($A$10:$A$89,$C618)&lt;&gt;1,"brak danych",IF(COUNTIFS($A$10:$A$89,$C618,$G$10:$G$89,"&lt;&gt;")=0,"brak danych",VLOOKUP($C618,$A$10:$J$89,7,FALSE)*$F618)))))</x:f>
      </x:c>
      <x:c r="N618" s="25" t="str">
        <x:f>IF($A618="","",IF($F618="","",IF($F618=0,0,IF(COUNTIFS($A$10:$A$89,$C618)&lt;&gt;1,"brak danych",IF(COUNTIFS($A$10:$A$89,$C618,$H$10:$H$89,"&lt;&gt;")=0,"brak danych",VLOOKUP($C618,$A$10:$J$89,8,FALSE)*$F618)))))</x:f>
      </x:c>
      <x:c r="O618" s="25" t="str">
        <x:f>IF($A618="","",IF($F618="","",IF($F618=0,0,IF(COUNTIFS($A$10:$A$89,$C618)&lt;&gt;1,"brak danych",IF(COUNTIFS($A$10:$A$89,$C618,$I$10:$I$89,"&lt;&gt;")=0,"brak danych",VLOOKUP($C618,$A$10:$J$89,9,FALSE)*$F618)))))</x:f>
      </x:c>
      <x:c r="P618" s="25" t="str">
        <x:f>IF($A618="","",IF($F618="","",IF($F618=0,0,IF(COUNTIFS($A$10:$A$89,$C618)&lt;&gt;1,"brak danych",IF(COUNTIFS($A$10:$A$89,$C618,$J$10:$J$89,"&lt;&gt;")=0,"brak danych",VLOOKUP($C618,$A$10:$J$89,10,FALSE)*$F618)))))</x:f>
      </x:c>
      <x:c r="Q618" s="18"/>
    </x:row>
    <x:row r="619" ht="25" customHeight="1">
      <x:c r="A619" s="6"/>
      <x:c r="B619" s="30"/>
      <x:c r="C619" s="5"/>
      <x:c r="D619" s="5"/>
      <x:c r="E619" s="32"/>
      <x:c r="F619" s="32"/>
      <x:c r="G619" s="24" t="str">
        <x:f>IF($A619="","",IF(AND($C619="",$E619=""),"",IF($E619="","brak danych",IF($E619=0,0,IF(COUNTIFS($A$10:$A$89,$C619)&lt;&gt;1,"brak danych",IF(COUNTIFS($A$10:$A$89,$C619,$F$10:$F$89,"&lt;&gt;")=0,"brak danych",VLOOKUP($C619,$A$10:$J$89,6,FALSE)*$E619))))))</x:f>
      </x:c>
      <x:c r="H619" s="25" t="str">
        <x:f>IF($A619="","",IF(AND($C619="",$E619=""),"",IF($E619="","brak danych",IF($E619=0,0,IF(COUNTIFS($A$10:$A$89,$C619)&lt;&gt;1,"brak danych",IF(COUNTIFS($A$10:$A$89,$C619,$G$10:$G$89,"&lt;&gt;")=0,"brak danych",VLOOKUP($C619,$A$10:$J$89,7,FALSE)*$E619))))))</x:f>
      </x:c>
      <x:c r="I619" s="25" t="str">
        <x:f>IF($A619="","",IF(AND($C619="",$E619=""),"",IF($E619="","brak danych",IF($E619=0,0,IF(COUNTIFS($A$10:$A$89,$C619)&lt;&gt;1,"brak danych",IF(COUNTIFS($A$10:$A$89,$C619,$H$10:$H$89,"&lt;&gt;")=0,"brak danych",VLOOKUP($C619,$A$10:$J$89,8,FALSE)*$E619))))))</x:f>
      </x:c>
      <x:c r="J619" s="25" t="str">
        <x:f>IF($A619="","",IF(AND($C619="",$E619=""),"",IF($E619="","brak danych",IF($E619=0,0,IF(COUNTIFS($A$10:$A$89,$C619)&lt;&gt;1,"brak danych",IF(COUNTIFS($A$10:$A$89,$C619,$I$10:$I$89,"&lt;&gt;")=0,"brak danych",VLOOKUP($C619,$A$10:$J$89,9,FALSE)*$E619))))))</x:f>
      </x:c>
      <x:c r="K619" s="25" t="str">
        <x:f>IF($A619="","",IF(AND($C619="",$E619=""),"",IF($E619="","brak danych",IF($E619=0,0,IF(COUNTIFS($A$10:$A$89,$C619)&lt;&gt;1,"brak danych",IF(COUNTIFS($A$10:$A$89,$C619,$J$10:$J$89,"&lt;&gt;")=0,"brak danych",VLOOKUP($C619,$A$10:$J$89,10,FALSE)*$E619))))))</x:f>
      </x:c>
      <x:c r="L619" s="24" t="str">
        <x:f>IF($A619="","",IF($F619="","",IF($F619=0,0,IF(COUNTIFS($A$10:$A$89,$C619)&lt;&gt;1,"brak danych",IF(COUNTIFS($A$10:$A$89,$C619,$F$10:$F$89,"&lt;&gt;")=0,"brak danych",VLOOKUP($C619,$A$10:$J$89,6,FALSE)*$F619)))))</x:f>
      </x:c>
      <x:c r="M619" s="25" t="str">
        <x:f>IF($A619="","",IF($F619="","",IF($F619=0,0,IF(COUNTIFS($A$10:$A$89,$C619)&lt;&gt;1,"brak danych",IF(COUNTIFS($A$10:$A$89,$C619,$G$10:$G$89,"&lt;&gt;")=0,"brak danych",VLOOKUP($C619,$A$10:$J$89,7,FALSE)*$F619)))))</x:f>
      </x:c>
      <x:c r="N619" s="25" t="str">
        <x:f>IF($A619="","",IF($F619="","",IF($F619=0,0,IF(COUNTIFS($A$10:$A$89,$C619)&lt;&gt;1,"brak danych",IF(COUNTIFS($A$10:$A$89,$C619,$H$10:$H$89,"&lt;&gt;")=0,"brak danych",VLOOKUP($C619,$A$10:$J$89,8,FALSE)*$F619)))))</x:f>
      </x:c>
      <x:c r="O619" s="25" t="str">
        <x:f>IF($A619="","",IF($F619="","",IF($F619=0,0,IF(COUNTIFS($A$10:$A$89,$C619)&lt;&gt;1,"brak danych",IF(COUNTIFS($A$10:$A$89,$C619,$I$10:$I$89,"&lt;&gt;")=0,"brak danych",VLOOKUP($C619,$A$10:$J$89,9,FALSE)*$F619)))))</x:f>
      </x:c>
      <x:c r="P619" s="25" t="str">
        <x:f>IF($A619="","",IF($F619="","",IF($F619=0,0,IF(COUNTIFS($A$10:$A$89,$C619)&lt;&gt;1,"brak danych",IF(COUNTIFS($A$10:$A$89,$C619,$J$10:$J$89,"&lt;&gt;")=0,"brak danych",VLOOKUP($C619,$A$10:$J$89,10,FALSE)*$F619)))))</x:f>
      </x:c>
      <x:c r="Q619" s="18"/>
    </x:row>
    <x:row r="620" ht="25" customHeight="1">
      <x:c r="A620" s="6"/>
      <x:c r="B620" s="30"/>
      <x:c r="C620" s="5"/>
      <x:c r="D620" s="5"/>
      <x:c r="E620" s="32"/>
      <x:c r="F620" s="32"/>
      <x:c r="G620" s="24" t="str">
        <x:f>IF($A620="","",IF(AND($C620="",$E620=""),"",IF($E620="","brak danych",IF($E620=0,0,IF(COUNTIFS($A$10:$A$89,$C620)&lt;&gt;1,"brak danych",IF(COUNTIFS($A$10:$A$89,$C620,$F$10:$F$89,"&lt;&gt;")=0,"brak danych",VLOOKUP($C620,$A$10:$J$89,6,FALSE)*$E620))))))</x:f>
      </x:c>
      <x:c r="H620" s="25" t="str">
        <x:f>IF($A620="","",IF(AND($C620="",$E620=""),"",IF($E620="","brak danych",IF($E620=0,0,IF(COUNTIFS($A$10:$A$89,$C620)&lt;&gt;1,"brak danych",IF(COUNTIFS($A$10:$A$89,$C620,$G$10:$G$89,"&lt;&gt;")=0,"brak danych",VLOOKUP($C620,$A$10:$J$89,7,FALSE)*$E620))))))</x:f>
      </x:c>
      <x:c r="I620" s="25" t="str">
        <x:f>IF($A620="","",IF(AND($C620="",$E620=""),"",IF($E620="","brak danych",IF($E620=0,0,IF(COUNTIFS($A$10:$A$89,$C620)&lt;&gt;1,"brak danych",IF(COUNTIFS($A$10:$A$89,$C620,$H$10:$H$89,"&lt;&gt;")=0,"brak danych",VLOOKUP($C620,$A$10:$J$89,8,FALSE)*$E620))))))</x:f>
      </x:c>
      <x:c r="J620" s="25" t="str">
        <x:f>IF($A620="","",IF(AND($C620="",$E620=""),"",IF($E620="","brak danych",IF($E620=0,0,IF(COUNTIFS($A$10:$A$89,$C620)&lt;&gt;1,"brak danych",IF(COUNTIFS($A$10:$A$89,$C620,$I$10:$I$89,"&lt;&gt;")=0,"brak danych",VLOOKUP($C620,$A$10:$J$89,9,FALSE)*$E620))))))</x:f>
      </x:c>
      <x:c r="K620" s="25" t="str">
        <x:f>IF($A620="","",IF(AND($C620="",$E620=""),"",IF($E620="","brak danych",IF($E620=0,0,IF(COUNTIFS($A$10:$A$89,$C620)&lt;&gt;1,"brak danych",IF(COUNTIFS($A$10:$A$89,$C620,$J$10:$J$89,"&lt;&gt;")=0,"brak danych",VLOOKUP($C620,$A$10:$J$89,10,FALSE)*$E620))))))</x:f>
      </x:c>
      <x:c r="L620" s="24" t="str">
        <x:f>IF($A620="","",IF($F620="","",IF($F620=0,0,IF(COUNTIFS($A$10:$A$89,$C620)&lt;&gt;1,"brak danych",IF(COUNTIFS($A$10:$A$89,$C620,$F$10:$F$89,"&lt;&gt;")=0,"brak danych",VLOOKUP($C620,$A$10:$J$89,6,FALSE)*$F620)))))</x:f>
      </x:c>
      <x:c r="M620" s="25" t="str">
        <x:f>IF($A620="","",IF($F620="","",IF($F620=0,0,IF(COUNTIFS($A$10:$A$89,$C620)&lt;&gt;1,"brak danych",IF(COUNTIFS($A$10:$A$89,$C620,$G$10:$G$89,"&lt;&gt;")=0,"brak danych",VLOOKUP($C620,$A$10:$J$89,7,FALSE)*$F620)))))</x:f>
      </x:c>
      <x:c r="N620" s="25" t="str">
        <x:f>IF($A620="","",IF($F620="","",IF($F620=0,0,IF(COUNTIFS($A$10:$A$89,$C620)&lt;&gt;1,"brak danych",IF(COUNTIFS($A$10:$A$89,$C620,$H$10:$H$89,"&lt;&gt;")=0,"brak danych",VLOOKUP($C620,$A$10:$J$89,8,FALSE)*$F620)))))</x:f>
      </x:c>
      <x:c r="O620" s="25" t="str">
        <x:f>IF($A620="","",IF($F620="","",IF($F620=0,0,IF(COUNTIFS($A$10:$A$89,$C620)&lt;&gt;1,"brak danych",IF(COUNTIFS($A$10:$A$89,$C620,$I$10:$I$89,"&lt;&gt;")=0,"brak danych",VLOOKUP($C620,$A$10:$J$89,9,FALSE)*$F620)))))</x:f>
      </x:c>
      <x:c r="P620" s="25" t="str">
        <x:f>IF($A620="","",IF($F620="","",IF($F620=0,0,IF(COUNTIFS($A$10:$A$89,$C620)&lt;&gt;1,"brak danych",IF(COUNTIFS($A$10:$A$89,$C620,$J$10:$J$89,"&lt;&gt;")=0,"brak danych",VLOOKUP($C620,$A$10:$J$89,10,FALSE)*$F620)))))</x:f>
      </x:c>
      <x:c r="Q620" s="18"/>
    </x:row>
    <x:row r="621" ht="25" customHeight="1">
      <x:c r="A621" s="6"/>
      <x:c r="B621" s="30"/>
      <x:c r="C621" s="5"/>
      <x:c r="D621" s="5"/>
      <x:c r="E621" s="32"/>
      <x:c r="F621" s="32"/>
      <x:c r="G621" s="24" t="str">
        <x:f>IF($A621="","",IF(AND($C621="",$E621=""),"",IF($E621="","brak danych",IF($E621=0,0,IF(COUNTIFS($A$10:$A$89,$C621)&lt;&gt;1,"brak danych",IF(COUNTIFS($A$10:$A$89,$C621,$F$10:$F$89,"&lt;&gt;")=0,"brak danych",VLOOKUP($C621,$A$10:$J$89,6,FALSE)*$E621))))))</x:f>
      </x:c>
      <x:c r="H621" s="25" t="str">
        <x:f>IF($A621="","",IF(AND($C621="",$E621=""),"",IF($E621="","brak danych",IF($E621=0,0,IF(COUNTIFS($A$10:$A$89,$C621)&lt;&gt;1,"brak danych",IF(COUNTIFS($A$10:$A$89,$C621,$G$10:$G$89,"&lt;&gt;")=0,"brak danych",VLOOKUP($C621,$A$10:$J$89,7,FALSE)*$E621))))))</x:f>
      </x:c>
      <x:c r="I621" s="25" t="str">
        <x:f>IF($A621="","",IF(AND($C621="",$E621=""),"",IF($E621="","brak danych",IF($E621=0,0,IF(COUNTIFS($A$10:$A$89,$C621)&lt;&gt;1,"brak danych",IF(COUNTIFS($A$10:$A$89,$C621,$H$10:$H$89,"&lt;&gt;")=0,"brak danych",VLOOKUP($C621,$A$10:$J$89,8,FALSE)*$E621))))))</x:f>
      </x:c>
      <x:c r="J621" s="25" t="str">
        <x:f>IF($A621="","",IF(AND($C621="",$E621=""),"",IF($E621="","brak danych",IF($E621=0,0,IF(COUNTIFS($A$10:$A$89,$C621)&lt;&gt;1,"brak danych",IF(COUNTIFS($A$10:$A$89,$C621,$I$10:$I$89,"&lt;&gt;")=0,"brak danych",VLOOKUP($C621,$A$10:$J$89,9,FALSE)*$E621))))))</x:f>
      </x:c>
      <x:c r="K621" s="25" t="str">
        <x:f>IF($A621="","",IF(AND($C621="",$E621=""),"",IF($E621="","brak danych",IF($E621=0,0,IF(COUNTIFS($A$10:$A$89,$C621)&lt;&gt;1,"brak danych",IF(COUNTIFS($A$10:$A$89,$C621,$J$10:$J$89,"&lt;&gt;")=0,"brak danych",VLOOKUP($C621,$A$10:$J$89,10,FALSE)*$E621))))))</x:f>
      </x:c>
      <x:c r="L621" s="24" t="str">
        <x:f>IF($A621="","",IF($F621="","",IF($F621=0,0,IF(COUNTIFS($A$10:$A$89,$C621)&lt;&gt;1,"brak danych",IF(COUNTIFS($A$10:$A$89,$C621,$F$10:$F$89,"&lt;&gt;")=0,"brak danych",VLOOKUP($C621,$A$10:$J$89,6,FALSE)*$F621)))))</x:f>
      </x:c>
      <x:c r="M621" s="25" t="str">
        <x:f>IF($A621="","",IF($F621="","",IF($F621=0,0,IF(COUNTIFS($A$10:$A$89,$C621)&lt;&gt;1,"brak danych",IF(COUNTIFS($A$10:$A$89,$C621,$G$10:$G$89,"&lt;&gt;")=0,"brak danych",VLOOKUP($C621,$A$10:$J$89,7,FALSE)*$F621)))))</x:f>
      </x:c>
      <x:c r="N621" s="25" t="str">
        <x:f>IF($A621="","",IF($F621="","",IF($F621=0,0,IF(COUNTIFS($A$10:$A$89,$C621)&lt;&gt;1,"brak danych",IF(COUNTIFS($A$10:$A$89,$C621,$H$10:$H$89,"&lt;&gt;")=0,"brak danych",VLOOKUP($C621,$A$10:$J$89,8,FALSE)*$F621)))))</x:f>
      </x:c>
      <x:c r="O621" s="25" t="str">
        <x:f>IF($A621="","",IF($F621="","",IF($F621=0,0,IF(COUNTIFS($A$10:$A$89,$C621)&lt;&gt;1,"brak danych",IF(COUNTIFS($A$10:$A$89,$C621,$I$10:$I$89,"&lt;&gt;")=0,"brak danych",VLOOKUP($C621,$A$10:$J$89,9,FALSE)*$F621)))))</x:f>
      </x:c>
      <x:c r="P621" s="25" t="str">
        <x:f>IF($A621="","",IF($F621="","",IF($F621=0,0,IF(COUNTIFS($A$10:$A$89,$C621)&lt;&gt;1,"brak danych",IF(COUNTIFS($A$10:$A$89,$C621,$J$10:$J$89,"&lt;&gt;")=0,"brak danych",VLOOKUP($C621,$A$10:$J$89,10,FALSE)*$F621)))))</x:f>
      </x:c>
      <x:c r="Q621" s="18"/>
    </x:row>
    <x:row r="622" ht="25" customHeight="1">
      <x:c r="A622" s="6"/>
      <x:c r="B622" s="30"/>
      <x:c r="C622" s="5"/>
      <x:c r="D622" s="5"/>
      <x:c r="E622" s="32"/>
      <x:c r="F622" s="32"/>
      <x:c r="G622" s="24" t="str">
        <x:f>IF($A622="","",IF(AND($C622="",$E622=""),"",IF($E622="","brak danych",IF($E622=0,0,IF(COUNTIFS($A$10:$A$89,$C622)&lt;&gt;1,"brak danych",IF(COUNTIFS($A$10:$A$89,$C622,$F$10:$F$89,"&lt;&gt;")=0,"brak danych",VLOOKUP($C622,$A$10:$J$89,6,FALSE)*$E622))))))</x:f>
      </x:c>
      <x:c r="H622" s="25" t="str">
        <x:f>IF($A622="","",IF(AND($C622="",$E622=""),"",IF($E622="","brak danych",IF($E622=0,0,IF(COUNTIFS($A$10:$A$89,$C622)&lt;&gt;1,"brak danych",IF(COUNTIFS($A$10:$A$89,$C622,$G$10:$G$89,"&lt;&gt;")=0,"brak danych",VLOOKUP($C622,$A$10:$J$89,7,FALSE)*$E622))))))</x:f>
      </x:c>
      <x:c r="I622" s="25" t="str">
        <x:f>IF($A622="","",IF(AND($C622="",$E622=""),"",IF($E622="","brak danych",IF($E622=0,0,IF(COUNTIFS($A$10:$A$89,$C622)&lt;&gt;1,"brak danych",IF(COUNTIFS($A$10:$A$89,$C622,$H$10:$H$89,"&lt;&gt;")=0,"brak danych",VLOOKUP($C622,$A$10:$J$89,8,FALSE)*$E622))))))</x:f>
      </x:c>
      <x:c r="J622" s="25" t="str">
        <x:f>IF($A622="","",IF(AND($C622="",$E622=""),"",IF($E622="","brak danych",IF($E622=0,0,IF(COUNTIFS($A$10:$A$89,$C622)&lt;&gt;1,"brak danych",IF(COUNTIFS($A$10:$A$89,$C622,$I$10:$I$89,"&lt;&gt;")=0,"brak danych",VLOOKUP($C622,$A$10:$J$89,9,FALSE)*$E622))))))</x:f>
      </x:c>
      <x:c r="K622" s="25" t="str">
        <x:f>IF($A622="","",IF(AND($C622="",$E622=""),"",IF($E622="","brak danych",IF($E622=0,0,IF(COUNTIFS($A$10:$A$89,$C622)&lt;&gt;1,"brak danych",IF(COUNTIFS($A$10:$A$89,$C622,$J$10:$J$89,"&lt;&gt;")=0,"brak danych",VLOOKUP($C622,$A$10:$J$89,10,FALSE)*$E622))))))</x:f>
      </x:c>
      <x:c r="L622" s="24" t="str">
        <x:f>IF($A622="","",IF($F622="","",IF($F622=0,0,IF(COUNTIFS($A$10:$A$89,$C622)&lt;&gt;1,"brak danych",IF(COUNTIFS($A$10:$A$89,$C622,$F$10:$F$89,"&lt;&gt;")=0,"brak danych",VLOOKUP($C622,$A$10:$J$89,6,FALSE)*$F622)))))</x:f>
      </x:c>
      <x:c r="M622" s="25" t="str">
        <x:f>IF($A622="","",IF($F622="","",IF($F622=0,0,IF(COUNTIFS($A$10:$A$89,$C622)&lt;&gt;1,"brak danych",IF(COUNTIFS($A$10:$A$89,$C622,$G$10:$G$89,"&lt;&gt;")=0,"brak danych",VLOOKUP($C622,$A$10:$J$89,7,FALSE)*$F622)))))</x:f>
      </x:c>
      <x:c r="N622" s="25" t="str">
        <x:f>IF($A622="","",IF($F622="","",IF($F622=0,0,IF(COUNTIFS($A$10:$A$89,$C622)&lt;&gt;1,"brak danych",IF(COUNTIFS($A$10:$A$89,$C622,$H$10:$H$89,"&lt;&gt;")=0,"brak danych",VLOOKUP($C622,$A$10:$J$89,8,FALSE)*$F622)))))</x:f>
      </x:c>
      <x:c r="O622" s="25" t="str">
        <x:f>IF($A622="","",IF($F622="","",IF($F622=0,0,IF(COUNTIFS($A$10:$A$89,$C622)&lt;&gt;1,"brak danych",IF(COUNTIFS($A$10:$A$89,$C622,$I$10:$I$89,"&lt;&gt;")=0,"brak danych",VLOOKUP($C622,$A$10:$J$89,9,FALSE)*$F622)))))</x:f>
      </x:c>
      <x:c r="P622" s="25" t="str">
        <x:f>IF($A622="","",IF($F622="","",IF($F622=0,0,IF(COUNTIFS($A$10:$A$89,$C622)&lt;&gt;1,"brak danych",IF(COUNTIFS($A$10:$A$89,$C622,$J$10:$J$89,"&lt;&gt;")=0,"brak danych",VLOOKUP($C622,$A$10:$J$89,10,FALSE)*$F622)))))</x:f>
      </x:c>
      <x:c r="Q622" s="18"/>
    </x:row>
    <x:row r="623" ht="25" customHeight="1">
      <x:c r="A623" s="6"/>
      <x:c r="B623" s="30"/>
      <x:c r="C623" s="5"/>
      <x:c r="D623" s="5"/>
      <x:c r="E623" s="32"/>
      <x:c r="F623" s="32"/>
      <x:c r="G623" s="24" t="str">
        <x:f>IF($A623="","",IF(AND($C623="",$E623=""),"",IF($E623="","brak danych",IF($E623=0,0,IF(COUNTIFS($A$10:$A$89,$C623)&lt;&gt;1,"brak danych",IF(COUNTIFS($A$10:$A$89,$C623,$F$10:$F$89,"&lt;&gt;")=0,"brak danych",VLOOKUP($C623,$A$10:$J$89,6,FALSE)*$E623))))))</x:f>
      </x:c>
      <x:c r="H623" s="25" t="str">
        <x:f>IF($A623="","",IF(AND($C623="",$E623=""),"",IF($E623="","brak danych",IF($E623=0,0,IF(COUNTIFS($A$10:$A$89,$C623)&lt;&gt;1,"brak danych",IF(COUNTIFS($A$10:$A$89,$C623,$G$10:$G$89,"&lt;&gt;")=0,"brak danych",VLOOKUP($C623,$A$10:$J$89,7,FALSE)*$E623))))))</x:f>
      </x:c>
      <x:c r="I623" s="25" t="str">
        <x:f>IF($A623="","",IF(AND($C623="",$E623=""),"",IF($E623="","brak danych",IF($E623=0,0,IF(COUNTIFS($A$10:$A$89,$C623)&lt;&gt;1,"brak danych",IF(COUNTIFS($A$10:$A$89,$C623,$H$10:$H$89,"&lt;&gt;")=0,"brak danych",VLOOKUP($C623,$A$10:$J$89,8,FALSE)*$E623))))))</x:f>
      </x:c>
      <x:c r="J623" s="25" t="str">
        <x:f>IF($A623="","",IF(AND($C623="",$E623=""),"",IF($E623="","brak danych",IF($E623=0,0,IF(COUNTIFS($A$10:$A$89,$C623)&lt;&gt;1,"brak danych",IF(COUNTIFS($A$10:$A$89,$C623,$I$10:$I$89,"&lt;&gt;")=0,"brak danych",VLOOKUP($C623,$A$10:$J$89,9,FALSE)*$E623))))))</x:f>
      </x:c>
      <x:c r="K623" s="25" t="str">
        <x:f>IF($A623="","",IF(AND($C623="",$E623=""),"",IF($E623="","brak danych",IF($E623=0,0,IF(COUNTIFS($A$10:$A$89,$C623)&lt;&gt;1,"brak danych",IF(COUNTIFS($A$10:$A$89,$C623,$J$10:$J$89,"&lt;&gt;")=0,"brak danych",VLOOKUP($C623,$A$10:$J$89,10,FALSE)*$E623))))))</x:f>
      </x:c>
      <x:c r="L623" s="24" t="str">
        <x:f>IF($A623="","",IF($F623="","",IF($F623=0,0,IF(COUNTIFS($A$10:$A$89,$C623)&lt;&gt;1,"brak danych",IF(COUNTIFS($A$10:$A$89,$C623,$F$10:$F$89,"&lt;&gt;")=0,"brak danych",VLOOKUP($C623,$A$10:$J$89,6,FALSE)*$F623)))))</x:f>
      </x:c>
      <x:c r="M623" s="25" t="str">
        <x:f>IF($A623="","",IF($F623="","",IF($F623=0,0,IF(COUNTIFS($A$10:$A$89,$C623)&lt;&gt;1,"brak danych",IF(COUNTIFS($A$10:$A$89,$C623,$G$10:$G$89,"&lt;&gt;")=0,"brak danych",VLOOKUP($C623,$A$10:$J$89,7,FALSE)*$F623)))))</x:f>
      </x:c>
      <x:c r="N623" s="25" t="str">
        <x:f>IF($A623="","",IF($F623="","",IF($F623=0,0,IF(COUNTIFS($A$10:$A$89,$C623)&lt;&gt;1,"brak danych",IF(COUNTIFS($A$10:$A$89,$C623,$H$10:$H$89,"&lt;&gt;")=0,"brak danych",VLOOKUP($C623,$A$10:$J$89,8,FALSE)*$F623)))))</x:f>
      </x:c>
      <x:c r="O623" s="25" t="str">
        <x:f>IF($A623="","",IF($F623="","",IF($F623=0,0,IF(COUNTIFS($A$10:$A$89,$C623)&lt;&gt;1,"brak danych",IF(COUNTIFS($A$10:$A$89,$C623,$I$10:$I$89,"&lt;&gt;")=0,"brak danych",VLOOKUP($C623,$A$10:$J$89,9,FALSE)*$F623)))))</x:f>
      </x:c>
      <x:c r="P623" s="25" t="str">
        <x:f>IF($A623="","",IF($F623="","",IF($F623=0,0,IF(COUNTIFS($A$10:$A$89,$C623)&lt;&gt;1,"brak danych",IF(COUNTIFS($A$10:$A$89,$C623,$J$10:$J$89,"&lt;&gt;")=0,"brak danych",VLOOKUP($C623,$A$10:$J$89,10,FALSE)*$F623)))))</x:f>
      </x:c>
      <x:c r="Q623" s="18"/>
    </x:row>
    <x:row r="624" ht="25" customHeight="1">
      <x:c r="A624" s="6"/>
      <x:c r="B624" s="30"/>
      <x:c r="C624" s="5"/>
      <x:c r="D624" s="5"/>
      <x:c r="E624" s="32"/>
      <x:c r="F624" s="32"/>
      <x:c r="G624" s="24" t="str">
        <x:f>IF($A624="","",IF(AND($C624="",$E624=""),"",IF($E624="","brak danych",IF($E624=0,0,IF(COUNTIFS($A$10:$A$89,$C624)&lt;&gt;1,"brak danych",IF(COUNTIFS($A$10:$A$89,$C624,$F$10:$F$89,"&lt;&gt;")=0,"brak danych",VLOOKUP($C624,$A$10:$J$89,6,FALSE)*$E624))))))</x:f>
      </x:c>
      <x:c r="H624" s="25" t="str">
        <x:f>IF($A624="","",IF(AND($C624="",$E624=""),"",IF($E624="","brak danych",IF($E624=0,0,IF(COUNTIFS($A$10:$A$89,$C624)&lt;&gt;1,"brak danych",IF(COUNTIFS($A$10:$A$89,$C624,$G$10:$G$89,"&lt;&gt;")=0,"brak danych",VLOOKUP($C624,$A$10:$J$89,7,FALSE)*$E624))))))</x:f>
      </x:c>
      <x:c r="I624" s="25" t="str">
        <x:f>IF($A624="","",IF(AND($C624="",$E624=""),"",IF($E624="","brak danych",IF($E624=0,0,IF(COUNTIFS($A$10:$A$89,$C624)&lt;&gt;1,"brak danych",IF(COUNTIFS($A$10:$A$89,$C624,$H$10:$H$89,"&lt;&gt;")=0,"brak danych",VLOOKUP($C624,$A$10:$J$89,8,FALSE)*$E624))))))</x:f>
      </x:c>
      <x:c r="J624" s="25" t="str">
        <x:f>IF($A624="","",IF(AND($C624="",$E624=""),"",IF($E624="","brak danych",IF($E624=0,0,IF(COUNTIFS($A$10:$A$89,$C624)&lt;&gt;1,"brak danych",IF(COUNTIFS($A$10:$A$89,$C624,$I$10:$I$89,"&lt;&gt;")=0,"brak danych",VLOOKUP($C624,$A$10:$J$89,9,FALSE)*$E624))))))</x:f>
      </x:c>
      <x:c r="K624" s="25" t="str">
        <x:f>IF($A624="","",IF(AND($C624="",$E624=""),"",IF($E624="","brak danych",IF($E624=0,0,IF(COUNTIFS($A$10:$A$89,$C624)&lt;&gt;1,"brak danych",IF(COUNTIFS($A$10:$A$89,$C624,$J$10:$J$89,"&lt;&gt;")=0,"brak danych",VLOOKUP($C624,$A$10:$J$89,10,FALSE)*$E624))))))</x:f>
      </x:c>
      <x:c r="L624" s="24" t="str">
        <x:f>IF($A624="","",IF($F624="","",IF($F624=0,0,IF(COUNTIFS($A$10:$A$89,$C624)&lt;&gt;1,"brak danych",IF(COUNTIFS($A$10:$A$89,$C624,$F$10:$F$89,"&lt;&gt;")=0,"brak danych",VLOOKUP($C624,$A$10:$J$89,6,FALSE)*$F624)))))</x:f>
      </x:c>
      <x:c r="M624" s="25" t="str">
        <x:f>IF($A624="","",IF($F624="","",IF($F624=0,0,IF(COUNTIFS($A$10:$A$89,$C624)&lt;&gt;1,"brak danych",IF(COUNTIFS($A$10:$A$89,$C624,$G$10:$G$89,"&lt;&gt;")=0,"brak danych",VLOOKUP($C624,$A$10:$J$89,7,FALSE)*$F624)))))</x:f>
      </x:c>
      <x:c r="N624" s="25" t="str">
        <x:f>IF($A624="","",IF($F624="","",IF($F624=0,0,IF(COUNTIFS($A$10:$A$89,$C624)&lt;&gt;1,"brak danych",IF(COUNTIFS($A$10:$A$89,$C624,$H$10:$H$89,"&lt;&gt;")=0,"brak danych",VLOOKUP($C624,$A$10:$J$89,8,FALSE)*$F624)))))</x:f>
      </x:c>
      <x:c r="O624" s="25" t="str">
        <x:f>IF($A624="","",IF($F624="","",IF($F624=0,0,IF(COUNTIFS($A$10:$A$89,$C624)&lt;&gt;1,"brak danych",IF(COUNTIFS($A$10:$A$89,$C624,$I$10:$I$89,"&lt;&gt;")=0,"brak danych",VLOOKUP($C624,$A$10:$J$89,9,FALSE)*$F624)))))</x:f>
      </x:c>
      <x:c r="P624" s="25" t="str">
        <x:f>IF($A624="","",IF($F624="","",IF($F624=0,0,IF(COUNTIFS($A$10:$A$89,$C624)&lt;&gt;1,"brak danych",IF(COUNTIFS($A$10:$A$89,$C624,$J$10:$J$89,"&lt;&gt;")=0,"brak danych",VLOOKUP($C624,$A$10:$J$89,10,FALSE)*$F624)))))</x:f>
      </x:c>
      <x:c r="Q624" s="18"/>
    </x:row>
    <x:row r="625" ht="25" customHeight="1">
      <x:c r="A625" s="6"/>
      <x:c r="B625" s="30"/>
      <x:c r="C625" s="5"/>
      <x:c r="D625" s="5"/>
      <x:c r="E625" s="32"/>
      <x:c r="F625" s="32"/>
      <x:c r="G625" s="24" t="str">
        <x:f>IF($A625="","",IF(AND($C625="",$E625=""),"",IF($E625="","brak danych",IF($E625=0,0,IF(COUNTIFS($A$10:$A$89,$C625)&lt;&gt;1,"brak danych",IF(COUNTIFS($A$10:$A$89,$C625,$F$10:$F$89,"&lt;&gt;")=0,"brak danych",VLOOKUP($C625,$A$10:$J$89,6,FALSE)*$E625))))))</x:f>
      </x:c>
      <x:c r="H625" s="25" t="str">
        <x:f>IF($A625="","",IF(AND($C625="",$E625=""),"",IF($E625="","brak danych",IF($E625=0,0,IF(COUNTIFS($A$10:$A$89,$C625)&lt;&gt;1,"brak danych",IF(COUNTIFS($A$10:$A$89,$C625,$G$10:$G$89,"&lt;&gt;")=0,"brak danych",VLOOKUP($C625,$A$10:$J$89,7,FALSE)*$E625))))))</x:f>
      </x:c>
      <x:c r="I625" s="25" t="str">
        <x:f>IF($A625="","",IF(AND($C625="",$E625=""),"",IF($E625="","brak danych",IF($E625=0,0,IF(COUNTIFS($A$10:$A$89,$C625)&lt;&gt;1,"brak danych",IF(COUNTIFS($A$10:$A$89,$C625,$H$10:$H$89,"&lt;&gt;")=0,"brak danych",VLOOKUP($C625,$A$10:$J$89,8,FALSE)*$E625))))))</x:f>
      </x:c>
      <x:c r="J625" s="25" t="str">
        <x:f>IF($A625="","",IF(AND($C625="",$E625=""),"",IF($E625="","brak danych",IF($E625=0,0,IF(COUNTIFS($A$10:$A$89,$C625)&lt;&gt;1,"brak danych",IF(COUNTIFS($A$10:$A$89,$C625,$I$10:$I$89,"&lt;&gt;")=0,"brak danych",VLOOKUP($C625,$A$10:$J$89,9,FALSE)*$E625))))))</x:f>
      </x:c>
      <x:c r="K625" s="25" t="str">
        <x:f>IF($A625="","",IF(AND($C625="",$E625=""),"",IF($E625="","brak danych",IF($E625=0,0,IF(COUNTIFS($A$10:$A$89,$C625)&lt;&gt;1,"brak danych",IF(COUNTIFS($A$10:$A$89,$C625,$J$10:$J$89,"&lt;&gt;")=0,"brak danych",VLOOKUP($C625,$A$10:$J$89,10,FALSE)*$E625))))))</x:f>
      </x:c>
      <x:c r="L625" s="24" t="str">
        <x:f>IF($A625="","",IF($F625="","",IF($F625=0,0,IF(COUNTIFS($A$10:$A$89,$C625)&lt;&gt;1,"brak danych",IF(COUNTIFS($A$10:$A$89,$C625,$F$10:$F$89,"&lt;&gt;")=0,"brak danych",VLOOKUP($C625,$A$10:$J$89,6,FALSE)*$F625)))))</x:f>
      </x:c>
      <x:c r="M625" s="25" t="str">
        <x:f>IF($A625="","",IF($F625="","",IF($F625=0,0,IF(COUNTIFS($A$10:$A$89,$C625)&lt;&gt;1,"brak danych",IF(COUNTIFS($A$10:$A$89,$C625,$G$10:$G$89,"&lt;&gt;")=0,"brak danych",VLOOKUP($C625,$A$10:$J$89,7,FALSE)*$F625)))))</x:f>
      </x:c>
      <x:c r="N625" s="25" t="str">
        <x:f>IF($A625="","",IF($F625="","",IF($F625=0,0,IF(COUNTIFS($A$10:$A$89,$C625)&lt;&gt;1,"brak danych",IF(COUNTIFS($A$10:$A$89,$C625,$H$10:$H$89,"&lt;&gt;")=0,"brak danych",VLOOKUP($C625,$A$10:$J$89,8,FALSE)*$F625)))))</x:f>
      </x:c>
      <x:c r="O625" s="25" t="str">
        <x:f>IF($A625="","",IF($F625="","",IF($F625=0,0,IF(COUNTIFS($A$10:$A$89,$C625)&lt;&gt;1,"brak danych",IF(COUNTIFS($A$10:$A$89,$C625,$I$10:$I$89,"&lt;&gt;")=0,"brak danych",VLOOKUP($C625,$A$10:$J$89,9,FALSE)*$F625)))))</x:f>
      </x:c>
      <x:c r="P625" s="25" t="str">
        <x:f>IF($A625="","",IF($F625="","",IF($F625=0,0,IF(COUNTIFS($A$10:$A$89,$C625)&lt;&gt;1,"brak danych",IF(COUNTIFS($A$10:$A$89,$C625,$J$10:$J$89,"&lt;&gt;")=0,"brak danych",VLOOKUP($C625,$A$10:$J$89,10,FALSE)*$F625)))))</x:f>
      </x:c>
      <x:c r="Q625" s="18"/>
    </x:row>
    <x:row r="626" ht="25" customHeight="1">
      <x:c r="A626" s="6"/>
      <x:c r="B626" s="30"/>
      <x:c r="C626" s="5"/>
      <x:c r="D626" s="5"/>
      <x:c r="E626" s="32"/>
      <x:c r="F626" s="32"/>
      <x:c r="G626" s="24" t="str">
        <x:f>IF($A626="","",IF(AND($C626="",$E626=""),"",IF($E626="","brak danych",IF($E626=0,0,IF(COUNTIFS($A$10:$A$89,$C626)&lt;&gt;1,"brak danych",IF(COUNTIFS($A$10:$A$89,$C626,$F$10:$F$89,"&lt;&gt;")=0,"brak danych",VLOOKUP($C626,$A$10:$J$89,6,FALSE)*$E626))))))</x:f>
      </x:c>
      <x:c r="H626" s="25" t="str">
        <x:f>IF($A626="","",IF(AND($C626="",$E626=""),"",IF($E626="","brak danych",IF($E626=0,0,IF(COUNTIFS($A$10:$A$89,$C626)&lt;&gt;1,"brak danych",IF(COUNTIFS($A$10:$A$89,$C626,$G$10:$G$89,"&lt;&gt;")=0,"brak danych",VLOOKUP($C626,$A$10:$J$89,7,FALSE)*$E626))))))</x:f>
      </x:c>
      <x:c r="I626" s="25" t="str">
        <x:f>IF($A626="","",IF(AND($C626="",$E626=""),"",IF($E626="","brak danych",IF($E626=0,0,IF(COUNTIFS($A$10:$A$89,$C626)&lt;&gt;1,"brak danych",IF(COUNTIFS($A$10:$A$89,$C626,$H$10:$H$89,"&lt;&gt;")=0,"brak danych",VLOOKUP($C626,$A$10:$J$89,8,FALSE)*$E626))))))</x:f>
      </x:c>
      <x:c r="J626" s="25" t="str">
        <x:f>IF($A626="","",IF(AND($C626="",$E626=""),"",IF($E626="","brak danych",IF($E626=0,0,IF(COUNTIFS($A$10:$A$89,$C626)&lt;&gt;1,"brak danych",IF(COUNTIFS($A$10:$A$89,$C626,$I$10:$I$89,"&lt;&gt;")=0,"brak danych",VLOOKUP($C626,$A$10:$J$89,9,FALSE)*$E626))))))</x:f>
      </x:c>
      <x:c r="K626" s="25" t="str">
        <x:f>IF($A626="","",IF(AND($C626="",$E626=""),"",IF($E626="","brak danych",IF($E626=0,0,IF(COUNTIFS($A$10:$A$89,$C626)&lt;&gt;1,"brak danych",IF(COUNTIFS($A$10:$A$89,$C626,$J$10:$J$89,"&lt;&gt;")=0,"brak danych",VLOOKUP($C626,$A$10:$J$89,10,FALSE)*$E626))))))</x:f>
      </x:c>
      <x:c r="L626" s="24" t="str">
        <x:f>IF($A626="","",IF($F626="","",IF($F626=0,0,IF(COUNTIFS($A$10:$A$89,$C626)&lt;&gt;1,"brak danych",IF(COUNTIFS($A$10:$A$89,$C626,$F$10:$F$89,"&lt;&gt;")=0,"brak danych",VLOOKUP($C626,$A$10:$J$89,6,FALSE)*$F626)))))</x:f>
      </x:c>
      <x:c r="M626" s="25" t="str">
        <x:f>IF($A626="","",IF($F626="","",IF($F626=0,0,IF(COUNTIFS($A$10:$A$89,$C626)&lt;&gt;1,"brak danych",IF(COUNTIFS($A$10:$A$89,$C626,$G$10:$G$89,"&lt;&gt;")=0,"brak danych",VLOOKUP($C626,$A$10:$J$89,7,FALSE)*$F626)))))</x:f>
      </x:c>
      <x:c r="N626" s="25" t="str">
        <x:f>IF($A626="","",IF($F626="","",IF($F626=0,0,IF(COUNTIFS($A$10:$A$89,$C626)&lt;&gt;1,"brak danych",IF(COUNTIFS($A$10:$A$89,$C626,$H$10:$H$89,"&lt;&gt;")=0,"brak danych",VLOOKUP($C626,$A$10:$J$89,8,FALSE)*$F626)))))</x:f>
      </x:c>
      <x:c r="O626" s="25" t="str">
        <x:f>IF($A626="","",IF($F626="","",IF($F626=0,0,IF(COUNTIFS($A$10:$A$89,$C626)&lt;&gt;1,"brak danych",IF(COUNTIFS($A$10:$A$89,$C626,$I$10:$I$89,"&lt;&gt;")=0,"brak danych",VLOOKUP($C626,$A$10:$J$89,9,FALSE)*$F626)))))</x:f>
      </x:c>
      <x:c r="P626" s="25" t="str">
        <x:f>IF($A626="","",IF($F626="","",IF($F626=0,0,IF(COUNTIFS($A$10:$A$89,$C626)&lt;&gt;1,"brak danych",IF(COUNTIFS($A$10:$A$89,$C626,$J$10:$J$89,"&lt;&gt;")=0,"brak danych",VLOOKUP($C626,$A$10:$J$89,10,FALSE)*$F626)))))</x:f>
      </x:c>
      <x:c r="Q626" s="18"/>
    </x:row>
    <x:row r="627" ht="25" customHeight="1">
      <x:c r="A627" s="6"/>
      <x:c r="B627" s="30"/>
      <x:c r="C627" s="5"/>
      <x:c r="D627" s="5"/>
      <x:c r="E627" s="32"/>
      <x:c r="F627" s="32"/>
      <x:c r="G627" s="24" t="str">
        <x:f>IF($A627="","",IF(AND($C627="",$E627=""),"",IF($E627="","brak danych",IF($E627=0,0,IF(COUNTIFS($A$10:$A$89,$C627)&lt;&gt;1,"brak danych",IF(COUNTIFS($A$10:$A$89,$C627,$F$10:$F$89,"&lt;&gt;")=0,"brak danych",VLOOKUP($C627,$A$10:$J$89,6,FALSE)*$E627))))))</x:f>
      </x:c>
      <x:c r="H627" s="25" t="str">
        <x:f>IF($A627="","",IF(AND($C627="",$E627=""),"",IF($E627="","brak danych",IF($E627=0,0,IF(COUNTIFS($A$10:$A$89,$C627)&lt;&gt;1,"brak danych",IF(COUNTIFS($A$10:$A$89,$C627,$G$10:$G$89,"&lt;&gt;")=0,"brak danych",VLOOKUP($C627,$A$10:$J$89,7,FALSE)*$E627))))))</x:f>
      </x:c>
      <x:c r="I627" s="25" t="str">
        <x:f>IF($A627="","",IF(AND($C627="",$E627=""),"",IF($E627="","brak danych",IF($E627=0,0,IF(COUNTIFS($A$10:$A$89,$C627)&lt;&gt;1,"brak danych",IF(COUNTIFS($A$10:$A$89,$C627,$H$10:$H$89,"&lt;&gt;")=0,"brak danych",VLOOKUP($C627,$A$10:$J$89,8,FALSE)*$E627))))))</x:f>
      </x:c>
      <x:c r="J627" s="25" t="str">
        <x:f>IF($A627="","",IF(AND($C627="",$E627=""),"",IF($E627="","brak danych",IF($E627=0,0,IF(COUNTIFS($A$10:$A$89,$C627)&lt;&gt;1,"brak danych",IF(COUNTIFS($A$10:$A$89,$C627,$I$10:$I$89,"&lt;&gt;")=0,"brak danych",VLOOKUP($C627,$A$10:$J$89,9,FALSE)*$E627))))))</x:f>
      </x:c>
      <x:c r="K627" s="25" t="str">
        <x:f>IF($A627="","",IF(AND($C627="",$E627=""),"",IF($E627="","brak danych",IF($E627=0,0,IF(COUNTIFS($A$10:$A$89,$C627)&lt;&gt;1,"brak danych",IF(COUNTIFS($A$10:$A$89,$C627,$J$10:$J$89,"&lt;&gt;")=0,"brak danych",VLOOKUP($C627,$A$10:$J$89,10,FALSE)*$E627))))))</x:f>
      </x:c>
      <x:c r="L627" s="24" t="str">
        <x:f>IF($A627="","",IF($F627="","",IF($F627=0,0,IF(COUNTIFS($A$10:$A$89,$C627)&lt;&gt;1,"brak danych",IF(COUNTIFS($A$10:$A$89,$C627,$F$10:$F$89,"&lt;&gt;")=0,"brak danych",VLOOKUP($C627,$A$10:$J$89,6,FALSE)*$F627)))))</x:f>
      </x:c>
      <x:c r="M627" s="25" t="str">
        <x:f>IF($A627="","",IF($F627="","",IF($F627=0,0,IF(COUNTIFS($A$10:$A$89,$C627)&lt;&gt;1,"brak danych",IF(COUNTIFS($A$10:$A$89,$C627,$G$10:$G$89,"&lt;&gt;")=0,"brak danych",VLOOKUP($C627,$A$10:$J$89,7,FALSE)*$F627)))))</x:f>
      </x:c>
      <x:c r="N627" s="25" t="str">
        <x:f>IF($A627="","",IF($F627="","",IF($F627=0,0,IF(COUNTIFS($A$10:$A$89,$C627)&lt;&gt;1,"brak danych",IF(COUNTIFS($A$10:$A$89,$C627,$H$10:$H$89,"&lt;&gt;")=0,"brak danych",VLOOKUP($C627,$A$10:$J$89,8,FALSE)*$F627)))))</x:f>
      </x:c>
      <x:c r="O627" s="25" t="str">
        <x:f>IF($A627="","",IF($F627="","",IF($F627=0,0,IF(COUNTIFS($A$10:$A$89,$C627)&lt;&gt;1,"brak danych",IF(COUNTIFS($A$10:$A$89,$C627,$I$10:$I$89,"&lt;&gt;")=0,"brak danych",VLOOKUP($C627,$A$10:$J$89,9,FALSE)*$F627)))))</x:f>
      </x:c>
      <x:c r="P627" s="25" t="str">
        <x:f>IF($A627="","",IF($F627="","",IF($F627=0,0,IF(COUNTIFS($A$10:$A$89,$C627)&lt;&gt;1,"brak danych",IF(COUNTIFS($A$10:$A$89,$C627,$J$10:$J$89,"&lt;&gt;")=0,"brak danych",VLOOKUP($C627,$A$10:$J$89,10,FALSE)*$F627)))))</x:f>
      </x:c>
      <x:c r="Q627" s="18"/>
    </x:row>
    <x:row r="628" ht="25" customHeight="1">
      <x:c r="A628" s="6"/>
      <x:c r="B628" s="30"/>
      <x:c r="C628" s="5"/>
      <x:c r="D628" s="5"/>
      <x:c r="E628" s="32"/>
      <x:c r="F628" s="32"/>
      <x:c r="G628" s="24" t="str">
        <x:f>IF($A628="","",IF(AND($C628="",$E628=""),"",IF($E628="","brak danych",IF($E628=0,0,IF(COUNTIFS($A$10:$A$89,$C628)&lt;&gt;1,"brak danych",IF(COUNTIFS($A$10:$A$89,$C628,$F$10:$F$89,"&lt;&gt;")=0,"brak danych",VLOOKUP($C628,$A$10:$J$89,6,FALSE)*$E628))))))</x:f>
      </x:c>
      <x:c r="H628" s="25" t="str">
        <x:f>IF($A628="","",IF(AND($C628="",$E628=""),"",IF($E628="","brak danych",IF($E628=0,0,IF(COUNTIFS($A$10:$A$89,$C628)&lt;&gt;1,"brak danych",IF(COUNTIFS($A$10:$A$89,$C628,$G$10:$G$89,"&lt;&gt;")=0,"brak danych",VLOOKUP($C628,$A$10:$J$89,7,FALSE)*$E628))))))</x:f>
      </x:c>
      <x:c r="I628" s="25" t="str">
        <x:f>IF($A628="","",IF(AND($C628="",$E628=""),"",IF($E628="","brak danych",IF($E628=0,0,IF(COUNTIFS($A$10:$A$89,$C628)&lt;&gt;1,"brak danych",IF(COUNTIFS($A$10:$A$89,$C628,$H$10:$H$89,"&lt;&gt;")=0,"brak danych",VLOOKUP($C628,$A$10:$J$89,8,FALSE)*$E628))))))</x:f>
      </x:c>
      <x:c r="J628" s="25" t="str">
        <x:f>IF($A628="","",IF(AND($C628="",$E628=""),"",IF($E628="","brak danych",IF($E628=0,0,IF(COUNTIFS($A$10:$A$89,$C628)&lt;&gt;1,"brak danych",IF(COUNTIFS($A$10:$A$89,$C628,$I$10:$I$89,"&lt;&gt;")=0,"brak danych",VLOOKUP($C628,$A$10:$J$89,9,FALSE)*$E628))))))</x:f>
      </x:c>
      <x:c r="K628" s="25" t="str">
        <x:f>IF($A628="","",IF(AND($C628="",$E628=""),"",IF($E628="","brak danych",IF($E628=0,0,IF(COUNTIFS($A$10:$A$89,$C628)&lt;&gt;1,"brak danych",IF(COUNTIFS($A$10:$A$89,$C628,$J$10:$J$89,"&lt;&gt;")=0,"brak danych",VLOOKUP($C628,$A$10:$J$89,10,FALSE)*$E628))))))</x:f>
      </x:c>
      <x:c r="L628" s="24" t="str">
        <x:f>IF($A628="","",IF($F628="","",IF($F628=0,0,IF(COUNTIFS($A$10:$A$89,$C628)&lt;&gt;1,"brak danych",IF(COUNTIFS($A$10:$A$89,$C628,$F$10:$F$89,"&lt;&gt;")=0,"brak danych",VLOOKUP($C628,$A$10:$J$89,6,FALSE)*$F628)))))</x:f>
      </x:c>
      <x:c r="M628" s="25" t="str">
        <x:f>IF($A628="","",IF($F628="","",IF($F628=0,0,IF(COUNTIFS($A$10:$A$89,$C628)&lt;&gt;1,"brak danych",IF(COUNTIFS($A$10:$A$89,$C628,$G$10:$G$89,"&lt;&gt;")=0,"brak danych",VLOOKUP($C628,$A$10:$J$89,7,FALSE)*$F628)))))</x:f>
      </x:c>
      <x:c r="N628" s="25" t="str">
        <x:f>IF($A628="","",IF($F628="","",IF($F628=0,0,IF(COUNTIFS($A$10:$A$89,$C628)&lt;&gt;1,"brak danych",IF(COUNTIFS($A$10:$A$89,$C628,$H$10:$H$89,"&lt;&gt;")=0,"brak danych",VLOOKUP($C628,$A$10:$J$89,8,FALSE)*$F628)))))</x:f>
      </x:c>
      <x:c r="O628" s="25" t="str">
        <x:f>IF($A628="","",IF($F628="","",IF($F628=0,0,IF(COUNTIFS($A$10:$A$89,$C628)&lt;&gt;1,"brak danych",IF(COUNTIFS($A$10:$A$89,$C628,$I$10:$I$89,"&lt;&gt;")=0,"brak danych",VLOOKUP($C628,$A$10:$J$89,9,FALSE)*$F628)))))</x:f>
      </x:c>
      <x:c r="P628" s="25" t="str">
        <x:f>IF($A628="","",IF($F628="","",IF($F628=0,0,IF(COUNTIFS($A$10:$A$89,$C628)&lt;&gt;1,"brak danych",IF(COUNTIFS($A$10:$A$89,$C628,$J$10:$J$89,"&lt;&gt;")=0,"brak danych",VLOOKUP($C628,$A$10:$J$89,10,FALSE)*$F628)))))</x:f>
      </x:c>
      <x:c r="Q628" s="18"/>
    </x:row>
    <x:row r="629" ht="25" customHeight="1">
      <x:c r="A629" s="6"/>
      <x:c r="B629" s="30"/>
      <x:c r="C629" s="5"/>
      <x:c r="D629" s="5"/>
      <x:c r="E629" s="32"/>
      <x:c r="F629" s="32"/>
      <x:c r="G629" s="24" t="str">
        <x:f>IF($A629="","",IF(AND($C629="",$E629=""),"",IF($E629="","brak danych",IF($E629=0,0,IF(COUNTIFS($A$10:$A$89,$C629)&lt;&gt;1,"brak danych",IF(COUNTIFS($A$10:$A$89,$C629,$F$10:$F$89,"&lt;&gt;")=0,"brak danych",VLOOKUP($C629,$A$10:$J$89,6,FALSE)*$E629))))))</x:f>
      </x:c>
      <x:c r="H629" s="25" t="str">
        <x:f>IF($A629="","",IF(AND($C629="",$E629=""),"",IF($E629="","brak danych",IF($E629=0,0,IF(COUNTIFS($A$10:$A$89,$C629)&lt;&gt;1,"brak danych",IF(COUNTIFS($A$10:$A$89,$C629,$G$10:$G$89,"&lt;&gt;")=0,"brak danych",VLOOKUP($C629,$A$10:$J$89,7,FALSE)*$E629))))))</x:f>
      </x:c>
      <x:c r="I629" s="25" t="str">
        <x:f>IF($A629="","",IF(AND($C629="",$E629=""),"",IF($E629="","brak danych",IF($E629=0,0,IF(COUNTIFS($A$10:$A$89,$C629)&lt;&gt;1,"brak danych",IF(COUNTIFS($A$10:$A$89,$C629,$H$10:$H$89,"&lt;&gt;")=0,"brak danych",VLOOKUP($C629,$A$10:$J$89,8,FALSE)*$E629))))))</x:f>
      </x:c>
      <x:c r="J629" s="25" t="str">
        <x:f>IF($A629="","",IF(AND($C629="",$E629=""),"",IF($E629="","brak danych",IF($E629=0,0,IF(COUNTIFS($A$10:$A$89,$C629)&lt;&gt;1,"brak danych",IF(COUNTIFS($A$10:$A$89,$C629,$I$10:$I$89,"&lt;&gt;")=0,"brak danych",VLOOKUP($C629,$A$10:$J$89,9,FALSE)*$E629))))))</x:f>
      </x:c>
      <x:c r="K629" s="25" t="str">
        <x:f>IF($A629="","",IF(AND($C629="",$E629=""),"",IF($E629="","brak danych",IF($E629=0,0,IF(COUNTIFS($A$10:$A$89,$C629)&lt;&gt;1,"brak danych",IF(COUNTIFS($A$10:$A$89,$C629,$J$10:$J$89,"&lt;&gt;")=0,"brak danych",VLOOKUP($C629,$A$10:$J$89,10,FALSE)*$E629))))))</x:f>
      </x:c>
      <x:c r="L629" s="24" t="str">
        <x:f>IF($A629="","",IF($F629="","",IF($F629=0,0,IF(COUNTIFS($A$10:$A$89,$C629)&lt;&gt;1,"brak danych",IF(COUNTIFS($A$10:$A$89,$C629,$F$10:$F$89,"&lt;&gt;")=0,"brak danych",VLOOKUP($C629,$A$10:$J$89,6,FALSE)*$F629)))))</x:f>
      </x:c>
      <x:c r="M629" s="25" t="str">
        <x:f>IF($A629="","",IF($F629="","",IF($F629=0,0,IF(COUNTIFS($A$10:$A$89,$C629)&lt;&gt;1,"brak danych",IF(COUNTIFS($A$10:$A$89,$C629,$G$10:$G$89,"&lt;&gt;")=0,"brak danych",VLOOKUP($C629,$A$10:$J$89,7,FALSE)*$F629)))))</x:f>
      </x:c>
      <x:c r="N629" s="25" t="str">
        <x:f>IF($A629="","",IF($F629="","",IF($F629=0,0,IF(COUNTIFS($A$10:$A$89,$C629)&lt;&gt;1,"brak danych",IF(COUNTIFS($A$10:$A$89,$C629,$H$10:$H$89,"&lt;&gt;")=0,"brak danych",VLOOKUP($C629,$A$10:$J$89,8,FALSE)*$F629)))))</x:f>
      </x:c>
      <x:c r="O629" s="25" t="str">
        <x:f>IF($A629="","",IF($F629="","",IF($F629=0,0,IF(COUNTIFS($A$10:$A$89,$C629)&lt;&gt;1,"brak danych",IF(COUNTIFS($A$10:$A$89,$C629,$I$10:$I$89,"&lt;&gt;")=0,"brak danych",VLOOKUP($C629,$A$10:$J$89,9,FALSE)*$F629)))))</x:f>
      </x:c>
      <x:c r="P629" s="25" t="str">
        <x:f>IF($A629="","",IF($F629="","",IF($F629=0,0,IF(COUNTIFS($A$10:$A$89,$C629)&lt;&gt;1,"brak danych",IF(COUNTIFS($A$10:$A$89,$C629,$J$10:$J$89,"&lt;&gt;")=0,"brak danych",VLOOKUP($C629,$A$10:$J$89,10,FALSE)*$F629)))))</x:f>
      </x:c>
      <x:c r="Q629" s="18"/>
    </x:row>
    <x:row r="630" ht="25" customHeight="1">
      <x:c r="A630" s="6"/>
      <x:c r="B630" s="30"/>
      <x:c r="C630" s="5"/>
      <x:c r="D630" s="5"/>
      <x:c r="E630" s="32"/>
      <x:c r="F630" s="32"/>
      <x:c r="G630" s="24" t="str">
        <x:f>IF($A630="","",IF(AND($C630="",$E630=""),"",IF($E630="","brak danych",IF($E630=0,0,IF(COUNTIFS($A$10:$A$89,$C630)&lt;&gt;1,"brak danych",IF(COUNTIFS($A$10:$A$89,$C630,$F$10:$F$89,"&lt;&gt;")=0,"brak danych",VLOOKUP($C630,$A$10:$J$89,6,FALSE)*$E630))))))</x:f>
      </x:c>
      <x:c r="H630" s="25" t="str">
        <x:f>IF($A630="","",IF(AND($C630="",$E630=""),"",IF($E630="","brak danych",IF($E630=0,0,IF(COUNTIFS($A$10:$A$89,$C630)&lt;&gt;1,"brak danych",IF(COUNTIFS($A$10:$A$89,$C630,$G$10:$G$89,"&lt;&gt;")=0,"brak danych",VLOOKUP($C630,$A$10:$J$89,7,FALSE)*$E630))))))</x:f>
      </x:c>
      <x:c r="I630" s="25" t="str">
        <x:f>IF($A630="","",IF(AND($C630="",$E630=""),"",IF($E630="","brak danych",IF($E630=0,0,IF(COUNTIFS($A$10:$A$89,$C630)&lt;&gt;1,"brak danych",IF(COUNTIFS($A$10:$A$89,$C630,$H$10:$H$89,"&lt;&gt;")=0,"brak danych",VLOOKUP($C630,$A$10:$J$89,8,FALSE)*$E630))))))</x:f>
      </x:c>
      <x:c r="J630" s="25" t="str">
        <x:f>IF($A630="","",IF(AND($C630="",$E630=""),"",IF($E630="","brak danych",IF($E630=0,0,IF(COUNTIFS($A$10:$A$89,$C630)&lt;&gt;1,"brak danych",IF(COUNTIFS($A$10:$A$89,$C630,$I$10:$I$89,"&lt;&gt;")=0,"brak danych",VLOOKUP($C630,$A$10:$J$89,9,FALSE)*$E630))))))</x:f>
      </x:c>
      <x:c r="K630" s="25" t="str">
        <x:f>IF($A630="","",IF(AND($C630="",$E630=""),"",IF($E630="","brak danych",IF($E630=0,0,IF(COUNTIFS($A$10:$A$89,$C630)&lt;&gt;1,"brak danych",IF(COUNTIFS($A$10:$A$89,$C630,$J$10:$J$89,"&lt;&gt;")=0,"brak danych",VLOOKUP($C630,$A$10:$J$89,10,FALSE)*$E630))))))</x:f>
      </x:c>
      <x:c r="L630" s="24" t="str">
        <x:f>IF($A630="","",IF($F630="","",IF($F630=0,0,IF(COUNTIFS($A$10:$A$89,$C630)&lt;&gt;1,"brak danych",IF(COUNTIFS($A$10:$A$89,$C630,$F$10:$F$89,"&lt;&gt;")=0,"brak danych",VLOOKUP($C630,$A$10:$J$89,6,FALSE)*$F630)))))</x:f>
      </x:c>
      <x:c r="M630" s="25" t="str">
        <x:f>IF($A630="","",IF($F630="","",IF($F630=0,0,IF(COUNTIFS($A$10:$A$89,$C630)&lt;&gt;1,"brak danych",IF(COUNTIFS($A$10:$A$89,$C630,$G$10:$G$89,"&lt;&gt;")=0,"brak danych",VLOOKUP($C630,$A$10:$J$89,7,FALSE)*$F630)))))</x:f>
      </x:c>
      <x:c r="N630" s="25" t="str">
        <x:f>IF($A630="","",IF($F630="","",IF($F630=0,0,IF(COUNTIFS($A$10:$A$89,$C630)&lt;&gt;1,"brak danych",IF(COUNTIFS($A$10:$A$89,$C630,$H$10:$H$89,"&lt;&gt;")=0,"brak danych",VLOOKUP($C630,$A$10:$J$89,8,FALSE)*$F630)))))</x:f>
      </x:c>
      <x:c r="O630" s="25" t="str">
        <x:f>IF($A630="","",IF($F630="","",IF($F630=0,0,IF(COUNTIFS($A$10:$A$89,$C630)&lt;&gt;1,"brak danych",IF(COUNTIFS($A$10:$A$89,$C630,$I$10:$I$89,"&lt;&gt;")=0,"brak danych",VLOOKUP($C630,$A$10:$J$89,9,FALSE)*$F630)))))</x:f>
      </x:c>
      <x:c r="P630" s="25" t="str">
        <x:f>IF($A630="","",IF($F630="","",IF($F630=0,0,IF(COUNTIFS($A$10:$A$89,$C630)&lt;&gt;1,"brak danych",IF(COUNTIFS($A$10:$A$89,$C630,$J$10:$J$89,"&lt;&gt;")=0,"brak danych",VLOOKUP($C630,$A$10:$J$89,10,FALSE)*$F630)))))</x:f>
      </x:c>
      <x:c r="Q630" s="18"/>
    </x:row>
    <x:row r="631" ht="25" customHeight="1">
      <x:c r="A631" s="6"/>
      <x:c r="B631" s="30"/>
      <x:c r="C631" s="5"/>
      <x:c r="D631" s="5"/>
      <x:c r="E631" s="32"/>
      <x:c r="F631" s="32"/>
      <x:c r="G631" s="24" t="str">
        <x:f>IF($A631="","",IF(AND($C631="",$E631=""),"",IF($E631="","brak danych",IF($E631=0,0,IF(COUNTIFS($A$10:$A$89,$C631)&lt;&gt;1,"brak danych",IF(COUNTIFS($A$10:$A$89,$C631,$F$10:$F$89,"&lt;&gt;")=0,"brak danych",VLOOKUP($C631,$A$10:$J$89,6,FALSE)*$E631))))))</x:f>
      </x:c>
      <x:c r="H631" s="25" t="str">
        <x:f>IF($A631="","",IF(AND($C631="",$E631=""),"",IF($E631="","brak danych",IF($E631=0,0,IF(COUNTIFS($A$10:$A$89,$C631)&lt;&gt;1,"brak danych",IF(COUNTIFS($A$10:$A$89,$C631,$G$10:$G$89,"&lt;&gt;")=0,"brak danych",VLOOKUP($C631,$A$10:$J$89,7,FALSE)*$E631))))))</x:f>
      </x:c>
      <x:c r="I631" s="25" t="str">
        <x:f>IF($A631="","",IF(AND($C631="",$E631=""),"",IF($E631="","brak danych",IF($E631=0,0,IF(COUNTIFS($A$10:$A$89,$C631)&lt;&gt;1,"brak danych",IF(COUNTIFS($A$10:$A$89,$C631,$H$10:$H$89,"&lt;&gt;")=0,"brak danych",VLOOKUP($C631,$A$10:$J$89,8,FALSE)*$E631))))))</x:f>
      </x:c>
      <x:c r="J631" s="25" t="str">
        <x:f>IF($A631="","",IF(AND($C631="",$E631=""),"",IF($E631="","brak danych",IF($E631=0,0,IF(COUNTIFS($A$10:$A$89,$C631)&lt;&gt;1,"brak danych",IF(COUNTIFS($A$10:$A$89,$C631,$I$10:$I$89,"&lt;&gt;")=0,"brak danych",VLOOKUP($C631,$A$10:$J$89,9,FALSE)*$E631))))))</x:f>
      </x:c>
      <x:c r="K631" s="25" t="str">
        <x:f>IF($A631="","",IF(AND($C631="",$E631=""),"",IF($E631="","brak danych",IF($E631=0,0,IF(COUNTIFS($A$10:$A$89,$C631)&lt;&gt;1,"brak danych",IF(COUNTIFS($A$10:$A$89,$C631,$J$10:$J$89,"&lt;&gt;")=0,"brak danych",VLOOKUP($C631,$A$10:$J$89,10,FALSE)*$E631))))))</x:f>
      </x:c>
      <x:c r="L631" s="24" t="str">
        <x:f>IF($A631="","",IF($F631="","",IF($F631=0,0,IF(COUNTIFS($A$10:$A$89,$C631)&lt;&gt;1,"brak danych",IF(COUNTIFS($A$10:$A$89,$C631,$F$10:$F$89,"&lt;&gt;")=0,"brak danych",VLOOKUP($C631,$A$10:$J$89,6,FALSE)*$F631)))))</x:f>
      </x:c>
      <x:c r="M631" s="25" t="str">
        <x:f>IF($A631="","",IF($F631="","",IF($F631=0,0,IF(COUNTIFS($A$10:$A$89,$C631)&lt;&gt;1,"brak danych",IF(COUNTIFS($A$10:$A$89,$C631,$G$10:$G$89,"&lt;&gt;")=0,"brak danych",VLOOKUP($C631,$A$10:$J$89,7,FALSE)*$F631)))))</x:f>
      </x:c>
      <x:c r="N631" s="25" t="str">
        <x:f>IF($A631="","",IF($F631="","",IF($F631=0,0,IF(COUNTIFS($A$10:$A$89,$C631)&lt;&gt;1,"brak danych",IF(COUNTIFS($A$10:$A$89,$C631,$H$10:$H$89,"&lt;&gt;")=0,"brak danych",VLOOKUP($C631,$A$10:$J$89,8,FALSE)*$F631)))))</x:f>
      </x:c>
      <x:c r="O631" s="25" t="str">
        <x:f>IF($A631="","",IF($F631="","",IF($F631=0,0,IF(COUNTIFS($A$10:$A$89,$C631)&lt;&gt;1,"brak danych",IF(COUNTIFS($A$10:$A$89,$C631,$I$10:$I$89,"&lt;&gt;")=0,"brak danych",VLOOKUP($C631,$A$10:$J$89,9,FALSE)*$F631)))))</x:f>
      </x:c>
      <x:c r="P631" s="25" t="str">
        <x:f>IF($A631="","",IF($F631="","",IF($F631=0,0,IF(COUNTIFS($A$10:$A$89,$C631)&lt;&gt;1,"brak danych",IF(COUNTIFS($A$10:$A$89,$C631,$J$10:$J$89,"&lt;&gt;")=0,"brak danych",VLOOKUP($C631,$A$10:$J$89,10,FALSE)*$F631)))))</x:f>
      </x:c>
      <x:c r="Q631" s="18"/>
    </x:row>
    <x:row r="632" ht="25" customHeight="1">
      <x:c r="A632" s="6"/>
      <x:c r="B632" s="30"/>
      <x:c r="C632" s="5"/>
      <x:c r="D632" s="5"/>
      <x:c r="E632" s="32"/>
      <x:c r="F632" s="32"/>
      <x:c r="G632" s="24" t="str">
        <x:f>IF($A632="","",IF(AND($C632="",$E632=""),"",IF($E632="","brak danych",IF($E632=0,0,IF(COUNTIFS($A$10:$A$89,$C632)&lt;&gt;1,"brak danych",IF(COUNTIFS($A$10:$A$89,$C632,$F$10:$F$89,"&lt;&gt;")=0,"brak danych",VLOOKUP($C632,$A$10:$J$89,6,FALSE)*$E632))))))</x:f>
      </x:c>
      <x:c r="H632" s="25" t="str">
        <x:f>IF($A632="","",IF(AND($C632="",$E632=""),"",IF($E632="","brak danych",IF($E632=0,0,IF(COUNTIFS($A$10:$A$89,$C632)&lt;&gt;1,"brak danych",IF(COUNTIFS($A$10:$A$89,$C632,$G$10:$G$89,"&lt;&gt;")=0,"brak danych",VLOOKUP($C632,$A$10:$J$89,7,FALSE)*$E632))))))</x:f>
      </x:c>
      <x:c r="I632" s="25" t="str">
        <x:f>IF($A632="","",IF(AND($C632="",$E632=""),"",IF($E632="","brak danych",IF($E632=0,0,IF(COUNTIFS($A$10:$A$89,$C632)&lt;&gt;1,"brak danych",IF(COUNTIFS($A$10:$A$89,$C632,$H$10:$H$89,"&lt;&gt;")=0,"brak danych",VLOOKUP($C632,$A$10:$J$89,8,FALSE)*$E632))))))</x:f>
      </x:c>
      <x:c r="J632" s="25" t="str">
        <x:f>IF($A632="","",IF(AND($C632="",$E632=""),"",IF($E632="","brak danych",IF($E632=0,0,IF(COUNTIFS($A$10:$A$89,$C632)&lt;&gt;1,"brak danych",IF(COUNTIFS($A$10:$A$89,$C632,$I$10:$I$89,"&lt;&gt;")=0,"brak danych",VLOOKUP($C632,$A$10:$J$89,9,FALSE)*$E632))))))</x:f>
      </x:c>
      <x:c r="K632" s="25" t="str">
        <x:f>IF($A632="","",IF(AND($C632="",$E632=""),"",IF($E632="","brak danych",IF($E632=0,0,IF(COUNTIFS($A$10:$A$89,$C632)&lt;&gt;1,"brak danych",IF(COUNTIFS($A$10:$A$89,$C632,$J$10:$J$89,"&lt;&gt;")=0,"brak danych",VLOOKUP($C632,$A$10:$J$89,10,FALSE)*$E632))))))</x:f>
      </x:c>
      <x:c r="L632" s="24" t="str">
        <x:f>IF($A632="","",IF($F632="","",IF($F632=0,0,IF(COUNTIFS($A$10:$A$89,$C632)&lt;&gt;1,"brak danych",IF(COUNTIFS($A$10:$A$89,$C632,$F$10:$F$89,"&lt;&gt;")=0,"brak danych",VLOOKUP($C632,$A$10:$J$89,6,FALSE)*$F632)))))</x:f>
      </x:c>
      <x:c r="M632" s="25" t="str">
        <x:f>IF($A632="","",IF($F632="","",IF($F632=0,0,IF(COUNTIFS($A$10:$A$89,$C632)&lt;&gt;1,"brak danych",IF(COUNTIFS($A$10:$A$89,$C632,$G$10:$G$89,"&lt;&gt;")=0,"brak danych",VLOOKUP($C632,$A$10:$J$89,7,FALSE)*$F632)))))</x:f>
      </x:c>
      <x:c r="N632" s="25" t="str">
        <x:f>IF($A632="","",IF($F632="","",IF($F632=0,0,IF(COUNTIFS($A$10:$A$89,$C632)&lt;&gt;1,"brak danych",IF(COUNTIFS($A$10:$A$89,$C632,$H$10:$H$89,"&lt;&gt;")=0,"brak danych",VLOOKUP($C632,$A$10:$J$89,8,FALSE)*$F632)))))</x:f>
      </x:c>
      <x:c r="O632" s="25" t="str">
        <x:f>IF($A632="","",IF($F632="","",IF($F632=0,0,IF(COUNTIFS($A$10:$A$89,$C632)&lt;&gt;1,"brak danych",IF(COUNTIFS($A$10:$A$89,$C632,$I$10:$I$89,"&lt;&gt;")=0,"brak danych",VLOOKUP($C632,$A$10:$J$89,9,FALSE)*$F632)))))</x:f>
      </x:c>
      <x:c r="P632" s="25" t="str">
        <x:f>IF($A632="","",IF($F632="","",IF($F632=0,0,IF(COUNTIFS($A$10:$A$89,$C632)&lt;&gt;1,"brak danych",IF(COUNTIFS($A$10:$A$89,$C632,$J$10:$J$89,"&lt;&gt;")=0,"brak danych",VLOOKUP($C632,$A$10:$J$89,10,FALSE)*$F632)))))</x:f>
      </x:c>
      <x:c r="Q632" s="18"/>
    </x:row>
    <x:row r="633" ht="25" customHeight="1">
      <x:c r="A633" s="6"/>
      <x:c r="B633" s="30"/>
      <x:c r="C633" s="5"/>
      <x:c r="D633" s="5"/>
      <x:c r="E633" s="32"/>
      <x:c r="F633" s="32"/>
      <x:c r="G633" s="24" t="str">
        <x:f>IF($A633="","",IF(AND($C633="",$E633=""),"",IF($E633="","brak danych",IF($E633=0,0,IF(COUNTIFS($A$10:$A$89,$C633)&lt;&gt;1,"brak danych",IF(COUNTIFS($A$10:$A$89,$C633,$F$10:$F$89,"&lt;&gt;")=0,"brak danych",VLOOKUP($C633,$A$10:$J$89,6,FALSE)*$E633))))))</x:f>
      </x:c>
      <x:c r="H633" s="25" t="str">
        <x:f>IF($A633="","",IF(AND($C633="",$E633=""),"",IF($E633="","brak danych",IF($E633=0,0,IF(COUNTIFS($A$10:$A$89,$C633)&lt;&gt;1,"brak danych",IF(COUNTIFS($A$10:$A$89,$C633,$G$10:$G$89,"&lt;&gt;")=0,"brak danych",VLOOKUP($C633,$A$10:$J$89,7,FALSE)*$E633))))))</x:f>
      </x:c>
      <x:c r="I633" s="25" t="str">
        <x:f>IF($A633="","",IF(AND($C633="",$E633=""),"",IF($E633="","brak danych",IF($E633=0,0,IF(COUNTIFS($A$10:$A$89,$C633)&lt;&gt;1,"brak danych",IF(COUNTIFS($A$10:$A$89,$C633,$H$10:$H$89,"&lt;&gt;")=0,"brak danych",VLOOKUP($C633,$A$10:$J$89,8,FALSE)*$E633))))))</x:f>
      </x:c>
      <x:c r="J633" s="25" t="str">
        <x:f>IF($A633="","",IF(AND($C633="",$E633=""),"",IF($E633="","brak danych",IF($E633=0,0,IF(COUNTIFS($A$10:$A$89,$C633)&lt;&gt;1,"brak danych",IF(COUNTIFS($A$10:$A$89,$C633,$I$10:$I$89,"&lt;&gt;")=0,"brak danych",VLOOKUP($C633,$A$10:$J$89,9,FALSE)*$E633))))))</x:f>
      </x:c>
      <x:c r="K633" s="25" t="str">
        <x:f>IF($A633="","",IF(AND($C633="",$E633=""),"",IF($E633="","brak danych",IF($E633=0,0,IF(COUNTIFS($A$10:$A$89,$C633)&lt;&gt;1,"brak danych",IF(COUNTIFS($A$10:$A$89,$C633,$J$10:$J$89,"&lt;&gt;")=0,"brak danych",VLOOKUP($C633,$A$10:$J$89,10,FALSE)*$E633))))))</x:f>
      </x:c>
      <x:c r="L633" s="24" t="str">
        <x:f>IF($A633="","",IF($F633="","",IF($F633=0,0,IF(COUNTIFS($A$10:$A$89,$C633)&lt;&gt;1,"brak danych",IF(COUNTIFS($A$10:$A$89,$C633,$F$10:$F$89,"&lt;&gt;")=0,"brak danych",VLOOKUP($C633,$A$10:$J$89,6,FALSE)*$F633)))))</x:f>
      </x:c>
      <x:c r="M633" s="25" t="str">
        <x:f>IF($A633="","",IF($F633="","",IF($F633=0,0,IF(COUNTIFS($A$10:$A$89,$C633)&lt;&gt;1,"brak danych",IF(COUNTIFS($A$10:$A$89,$C633,$G$10:$G$89,"&lt;&gt;")=0,"brak danych",VLOOKUP($C633,$A$10:$J$89,7,FALSE)*$F633)))))</x:f>
      </x:c>
      <x:c r="N633" s="25" t="str">
        <x:f>IF($A633="","",IF($F633="","",IF($F633=0,0,IF(COUNTIFS($A$10:$A$89,$C633)&lt;&gt;1,"brak danych",IF(COUNTIFS($A$10:$A$89,$C633,$H$10:$H$89,"&lt;&gt;")=0,"brak danych",VLOOKUP($C633,$A$10:$J$89,8,FALSE)*$F633)))))</x:f>
      </x:c>
      <x:c r="O633" s="25" t="str">
        <x:f>IF($A633="","",IF($F633="","",IF($F633=0,0,IF(COUNTIFS($A$10:$A$89,$C633)&lt;&gt;1,"brak danych",IF(COUNTIFS($A$10:$A$89,$C633,$I$10:$I$89,"&lt;&gt;")=0,"brak danych",VLOOKUP($C633,$A$10:$J$89,9,FALSE)*$F633)))))</x:f>
      </x:c>
      <x:c r="P633" s="25" t="str">
        <x:f>IF($A633="","",IF($F633="","",IF($F633=0,0,IF(COUNTIFS($A$10:$A$89,$C633)&lt;&gt;1,"brak danych",IF(COUNTIFS($A$10:$A$89,$C633,$J$10:$J$89,"&lt;&gt;")=0,"brak danych",VLOOKUP($C633,$A$10:$J$89,10,FALSE)*$F633)))))</x:f>
      </x:c>
      <x:c r="Q633" s="18"/>
    </x:row>
    <x:row r="634" ht="25" customHeight="1">
      <x:c r="A634" s="6"/>
      <x:c r="B634" s="30"/>
      <x:c r="C634" s="5"/>
      <x:c r="D634" s="5"/>
      <x:c r="E634" s="32"/>
      <x:c r="F634" s="32"/>
      <x:c r="G634" s="24" t="str">
        <x:f>IF($A634="","",IF(AND($C634="",$E634=""),"",IF($E634="","brak danych",IF($E634=0,0,IF(COUNTIFS($A$10:$A$89,$C634)&lt;&gt;1,"brak danych",IF(COUNTIFS($A$10:$A$89,$C634,$F$10:$F$89,"&lt;&gt;")=0,"brak danych",VLOOKUP($C634,$A$10:$J$89,6,FALSE)*$E634))))))</x:f>
      </x:c>
      <x:c r="H634" s="25" t="str">
        <x:f>IF($A634="","",IF(AND($C634="",$E634=""),"",IF($E634="","brak danych",IF($E634=0,0,IF(COUNTIFS($A$10:$A$89,$C634)&lt;&gt;1,"brak danych",IF(COUNTIFS($A$10:$A$89,$C634,$G$10:$G$89,"&lt;&gt;")=0,"brak danych",VLOOKUP($C634,$A$10:$J$89,7,FALSE)*$E634))))))</x:f>
      </x:c>
      <x:c r="I634" s="25" t="str">
        <x:f>IF($A634="","",IF(AND($C634="",$E634=""),"",IF($E634="","brak danych",IF($E634=0,0,IF(COUNTIFS($A$10:$A$89,$C634)&lt;&gt;1,"brak danych",IF(COUNTIFS($A$10:$A$89,$C634,$H$10:$H$89,"&lt;&gt;")=0,"brak danych",VLOOKUP($C634,$A$10:$J$89,8,FALSE)*$E634))))))</x:f>
      </x:c>
      <x:c r="J634" s="25" t="str">
        <x:f>IF($A634="","",IF(AND($C634="",$E634=""),"",IF($E634="","brak danych",IF($E634=0,0,IF(COUNTIFS($A$10:$A$89,$C634)&lt;&gt;1,"brak danych",IF(COUNTIFS($A$10:$A$89,$C634,$I$10:$I$89,"&lt;&gt;")=0,"brak danych",VLOOKUP($C634,$A$10:$J$89,9,FALSE)*$E634))))))</x:f>
      </x:c>
      <x:c r="K634" s="25" t="str">
        <x:f>IF($A634="","",IF(AND($C634="",$E634=""),"",IF($E634="","brak danych",IF($E634=0,0,IF(COUNTIFS($A$10:$A$89,$C634)&lt;&gt;1,"brak danych",IF(COUNTIFS($A$10:$A$89,$C634,$J$10:$J$89,"&lt;&gt;")=0,"brak danych",VLOOKUP($C634,$A$10:$J$89,10,FALSE)*$E634))))))</x:f>
      </x:c>
      <x:c r="L634" s="24" t="str">
        <x:f>IF($A634="","",IF($F634="","",IF($F634=0,0,IF(COUNTIFS($A$10:$A$89,$C634)&lt;&gt;1,"brak danych",IF(COUNTIFS($A$10:$A$89,$C634,$F$10:$F$89,"&lt;&gt;")=0,"brak danych",VLOOKUP($C634,$A$10:$J$89,6,FALSE)*$F634)))))</x:f>
      </x:c>
      <x:c r="M634" s="25" t="str">
        <x:f>IF($A634="","",IF($F634="","",IF($F634=0,0,IF(COUNTIFS($A$10:$A$89,$C634)&lt;&gt;1,"brak danych",IF(COUNTIFS($A$10:$A$89,$C634,$G$10:$G$89,"&lt;&gt;")=0,"brak danych",VLOOKUP($C634,$A$10:$J$89,7,FALSE)*$F634)))))</x:f>
      </x:c>
      <x:c r="N634" s="25" t="str">
        <x:f>IF($A634="","",IF($F634="","",IF($F634=0,0,IF(COUNTIFS($A$10:$A$89,$C634)&lt;&gt;1,"brak danych",IF(COUNTIFS($A$10:$A$89,$C634,$H$10:$H$89,"&lt;&gt;")=0,"brak danych",VLOOKUP($C634,$A$10:$J$89,8,FALSE)*$F634)))))</x:f>
      </x:c>
      <x:c r="O634" s="25" t="str">
        <x:f>IF($A634="","",IF($F634="","",IF($F634=0,0,IF(COUNTIFS($A$10:$A$89,$C634)&lt;&gt;1,"brak danych",IF(COUNTIFS($A$10:$A$89,$C634,$I$10:$I$89,"&lt;&gt;")=0,"brak danych",VLOOKUP($C634,$A$10:$J$89,9,FALSE)*$F634)))))</x:f>
      </x:c>
      <x:c r="P634" s="25" t="str">
        <x:f>IF($A634="","",IF($F634="","",IF($F634=0,0,IF(COUNTIFS($A$10:$A$89,$C634)&lt;&gt;1,"brak danych",IF(COUNTIFS($A$10:$A$89,$C634,$J$10:$J$89,"&lt;&gt;")=0,"brak danych",VLOOKUP($C634,$A$10:$J$89,10,FALSE)*$F634)))))</x:f>
      </x:c>
      <x:c r="Q634" s="18"/>
    </x:row>
    <x:row r="635" ht="25" customHeight="1">
      <x:c r="A635" s="6"/>
      <x:c r="B635" s="30"/>
      <x:c r="C635" s="5"/>
      <x:c r="D635" s="5"/>
      <x:c r="E635" s="32"/>
      <x:c r="F635" s="32"/>
      <x:c r="G635" s="24" t="str">
        <x:f>IF($A635="","",IF(AND($C635="",$E635=""),"",IF($E635="","brak danych",IF($E635=0,0,IF(COUNTIFS($A$10:$A$89,$C635)&lt;&gt;1,"brak danych",IF(COUNTIFS($A$10:$A$89,$C635,$F$10:$F$89,"&lt;&gt;")=0,"brak danych",VLOOKUP($C635,$A$10:$J$89,6,FALSE)*$E635))))))</x:f>
      </x:c>
      <x:c r="H635" s="25" t="str">
        <x:f>IF($A635="","",IF(AND($C635="",$E635=""),"",IF($E635="","brak danych",IF($E635=0,0,IF(COUNTIFS($A$10:$A$89,$C635)&lt;&gt;1,"brak danych",IF(COUNTIFS($A$10:$A$89,$C635,$G$10:$G$89,"&lt;&gt;")=0,"brak danych",VLOOKUP($C635,$A$10:$J$89,7,FALSE)*$E635))))))</x:f>
      </x:c>
      <x:c r="I635" s="25" t="str">
        <x:f>IF($A635="","",IF(AND($C635="",$E635=""),"",IF($E635="","brak danych",IF($E635=0,0,IF(COUNTIFS($A$10:$A$89,$C635)&lt;&gt;1,"brak danych",IF(COUNTIFS($A$10:$A$89,$C635,$H$10:$H$89,"&lt;&gt;")=0,"brak danych",VLOOKUP($C635,$A$10:$J$89,8,FALSE)*$E635))))))</x:f>
      </x:c>
      <x:c r="J635" s="25" t="str">
        <x:f>IF($A635="","",IF(AND($C635="",$E635=""),"",IF($E635="","brak danych",IF($E635=0,0,IF(COUNTIFS($A$10:$A$89,$C635)&lt;&gt;1,"brak danych",IF(COUNTIFS($A$10:$A$89,$C635,$I$10:$I$89,"&lt;&gt;")=0,"brak danych",VLOOKUP($C635,$A$10:$J$89,9,FALSE)*$E635))))))</x:f>
      </x:c>
      <x:c r="K635" s="25" t="str">
        <x:f>IF($A635="","",IF(AND($C635="",$E635=""),"",IF($E635="","brak danych",IF($E635=0,0,IF(COUNTIFS($A$10:$A$89,$C635)&lt;&gt;1,"brak danych",IF(COUNTIFS($A$10:$A$89,$C635,$J$10:$J$89,"&lt;&gt;")=0,"brak danych",VLOOKUP($C635,$A$10:$J$89,10,FALSE)*$E635))))))</x:f>
      </x:c>
      <x:c r="L635" s="24" t="str">
        <x:f>IF($A635="","",IF($F635="","",IF($F635=0,0,IF(COUNTIFS($A$10:$A$89,$C635)&lt;&gt;1,"brak danych",IF(COUNTIFS($A$10:$A$89,$C635,$F$10:$F$89,"&lt;&gt;")=0,"brak danych",VLOOKUP($C635,$A$10:$J$89,6,FALSE)*$F635)))))</x:f>
      </x:c>
      <x:c r="M635" s="25" t="str">
        <x:f>IF($A635="","",IF($F635="","",IF($F635=0,0,IF(COUNTIFS($A$10:$A$89,$C635)&lt;&gt;1,"brak danych",IF(COUNTIFS($A$10:$A$89,$C635,$G$10:$G$89,"&lt;&gt;")=0,"brak danych",VLOOKUP($C635,$A$10:$J$89,7,FALSE)*$F635)))))</x:f>
      </x:c>
      <x:c r="N635" s="25" t="str">
        <x:f>IF($A635="","",IF($F635="","",IF($F635=0,0,IF(COUNTIFS($A$10:$A$89,$C635)&lt;&gt;1,"brak danych",IF(COUNTIFS($A$10:$A$89,$C635,$H$10:$H$89,"&lt;&gt;")=0,"brak danych",VLOOKUP($C635,$A$10:$J$89,8,FALSE)*$F635)))))</x:f>
      </x:c>
      <x:c r="O635" s="25" t="str">
        <x:f>IF($A635="","",IF($F635="","",IF($F635=0,0,IF(COUNTIFS($A$10:$A$89,$C635)&lt;&gt;1,"brak danych",IF(COUNTIFS($A$10:$A$89,$C635,$I$10:$I$89,"&lt;&gt;")=0,"brak danych",VLOOKUP($C635,$A$10:$J$89,9,FALSE)*$F635)))))</x:f>
      </x:c>
      <x:c r="P635" s="25" t="str">
        <x:f>IF($A635="","",IF($F635="","",IF($F635=0,0,IF(COUNTIFS($A$10:$A$89,$C635)&lt;&gt;1,"brak danych",IF(COUNTIFS($A$10:$A$89,$C635,$J$10:$J$89,"&lt;&gt;")=0,"brak danych",VLOOKUP($C635,$A$10:$J$89,10,FALSE)*$F635)))))</x:f>
      </x:c>
      <x:c r="Q635" s="18"/>
    </x:row>
    <x:row r="636" ht="25" customHeight="1">
      <x:c r="A636" s="6"/>
      <x:c r="B636" s="30"/>
      <x:c r="C636" s="5"/>
      <x:c r="D636" s="5"/>
      <x:c r="E636" s="32"/>
      <x:c r="F636" s="32"/>
      <x:c r="G636" s="24" t="str">
        <x:f>IF($A636="","",IF(AND($C636="",$E636=""),"",IF($E636="","brak danych",IF($E636=0,0,IF(COUNTIFS($A$10:$A$89,$C636)&lt;&gt;1,"brak danych",IF(COUNTIFS($A$10:$A$89,$C636,$F$10:$F$89,"&lt;&gt;")=0,"brak danych",VLOOKUP($C636,$A$10:$J$89,6,FALSE)*$E636))))))</x:f>
      </x:c>
      <x:c r="H636" s="25" t="str">
        <x:f>IF($A636="","",IF(AND($C636="",$E636=""),"",IF($E636="","brak danych",IF($E636=0,0,IF(COUNTIFS($A$10:$A$89,$C636)&lt;&gt;1,"brak danych",IF(COUNTIFS($A$10:$A$89,$C636,$G$10:$G$89,"&lt;&gt;")=0,"brak danych",VLOOKUP($C636,$A$10:$J$89,7,FALSE)*$E636))))))</x:f>
      </x:c>
      <x:c r="I636" s="25" t="str">
        <x:f>IF($A636="","",IF(AND($C636="",$E636=""),"",IF($E636="","brak danych",IF($E636=0,0,IF(COUNTIFS($A$10:$A$89,$C636)&lt;&gt;1,"brak danych",IF(COUNTIFS($A$10:$A$89,$C636,$H$10:$H$89,"&lt;&gt;")=0,"brak danych",VLOOKUP($C636,$A$10:$J$89,8,FALSE)*$E636))))))</x:f>
      </x:c>
      <x:c r="J636" s="25" t="str">
        <x:f>IF($A636="","",IF(AND($C636="",$E636=""),"",IF($E636="","brak danych",IF($E636=0,0,IF(COUNTIFS($A$10:$A$89,$C636)&lt;&gt;1,"brak danych",IF(COUNTIFS($A$10:$A$89,$C636,$I$10:$I$89,"&lt;&gt;")=0,"brak danych",VLOOKUP($C636,$A$10:$J$89,9,FALSE)*$E636))))))</x:f>
      </x:c>
      <x:c r="K636" s="25" t="str">
        <x:f>IF($A636="","",IF(AND($C636="",$E636=""),"",IF($E636="","brak danych",IF($E636=0,0,IF(COUNTIFS($A$10:$A$89,$C636)&lt;&gt;1,"brak danych",IF(COUNTIFS($A$10:$A$89,$C636,$J$10:$J$89,"&lt;&gt;")=0,"brak danych",VLOOKUP($C636,$A$10:$J$89,10,FALSE)*$E636))))))</x:f>
      </x:c>
      <x:c r="L636" s="24" t="str">
        <x:f>IF($A636="","",IF($F636="","",IF($F636=0,0,IF(COUNTIFS($A$10:$A$89,$C636)&lt;&gt;1,"brak danych",IF(COUNTIFS($A$10:$A$89,$C636,$F$10:$F$89,"&lt;&gt;")=0,"brak danych",VLOOKUP($C636,$A$10:$J$89,6,FALSE)*$F636)))))</x:f>
      </x:c>
      <x:c r="M636" s="25" t="str">
        <x:f>IF($A636="","",IF($F636="","",IF($F636=0,0,IF(COUNTIFS($A$10:$A$89,$C636)&lt;&gt;1,"brak danych",IF(COUNTIFS($A$10:$A$89,$C636,$G$10:$G$89,"&lt;&gt;")=0,"brak danych",VLOOKUP($C636,$A$10:$J$89,7,FALSE)*$F636)))))</x:f>
      </x:c>
      <x:c r="N636" s="25" t="str">
        <x:f>IF($A636="","",IF($F636="","",IF($F636=0,0,IF(COUNTIFS($A$10:$A$89,$C636)&lt;&gt;1,"brak danych",IF(COUNTIFS($A$10:$A$89,$C636,$H$10:$H$89,"&lt;&gt;")=0,"brak danych",VLOOKUP($C636,$A$10:$J$89,8,FALSE)*$F636)))))</x:f>
      </x:c>
      <x:c r="O636" s="25" t="str">
        <x:f>IF($A636="","",IF($F636="","",IF($F636=0,0,IF(COUNTIFS($A$10:$A$89,$C636)&lt;&gt;1,"brak danych",IF(COUNTIFS($A$10:$A$89,$C636,$I$10:$I$89,"&lt;&gt;")=0,"brak danych",VLOOKUP($C636,$A$10:$J$89,9,FALSE)*$F636)))))</x:f>
      </x:c>
      <x:c r="P636" s="25" t="str">
        <x:f>IF($A636="","",IF($F636="","",IF($F636=0,0,IF(COUNTIFS($A$10:$A$89,$C636)&lt;&gt;1,"brak danych",IF(COUNTIFS($A$10:$A$89,$C636,$J$10:$J$89,"&lt;&gt;")=0,"brak danych",VLOOKUP($C636,$A$10:$J$89,10,FALSE)*$F636)))))</x:f>
      </x:c>
      <x:c r="Q636" s="18"/>
    </x:row>
    <x:row r="637" ht="25" customHeight="1">
      <x:c r="A637" s="6"/>
      <x:c r="B637" s="30"/>
      <x:c r="C637" s="5"/>
      <x:c r="D637" s="5"/>
      <x:c r="E637" s="32"/>
      <x:c r="F637" s="32"/>
      <x:c r="G637" s="24" t="str">
        <x:f>IF($A637="","",IF(AND($C637="",$E637=""),"",IF($E637="","brak danych",IF($E637=0,0,IF(COUNTIFS($A$10:$A$89,$C637)&lt;&gt;1,"brak danych",IF(COUNTIFS($A$10:$A$89,$C637,$F$10:$F$89,"&lt;&gt;")=0,"brak danych",VLOOKUP($C637,$A$10:$J$89,6,FALSE)*$E637))))))</x:f>
      </x:c>
      <x:c r="H637" s="25" t="str">
        <x:f>IF($A637="","",IF(AND($C637="",$E637=""),"",IF($E637="","brak danych",IF($E637=0,0,IF(COUNTIFS($A$10:$A$89,$C637)&lt;&gt;1,"brak danych",IF(COUNTIFS($A$10:$A$89,$C637,$G$10:$G$89,"&lt;&gt;")=0,"brak danych",VLOOKUP($C637,$A$10:$J$89,7,FALSE)*$E637))))))</x:f>
      </x:c>
      <x:c r="I637" s="25" t="str">
        <x:f>IF($A637="","",IF(AND($C637="",$E637=""),"",IF($E637="","brak danych",IF($E637=0,0,IF(COUNTIFS($A$10:$A$89,$C637)&lt;&gt;1,"brak danych",IF(COUNTIFS($A$10:$A$89,$C637,$H$10:$H$89,"&lt;&gt;")=0,"brak danych",VLOOKUP($C637,$A$10:$J$89,8,FALSE)*$E637))))))</x:f>
      </x:c>
      <x:c r="J637" s="25" t="str">
        <x:f>IF($A637="","",IF(AND($C637="",$E637=""),"",IF($E637="","brak danych",IF($E637=0,0,IF(COUNTIFS($A$10:$A$89,$C637)&lt;&gt;1,"brak danych",IF(COUNTIFS($A$10:$A$89,$C637,$I$10:$I$89,"&lt;&gt;")=0,"brak danych",VLOOKUP($C637,$A$10:$J$89,9,FALSE)*$E637))))))</x:f>
      </x:c>
      <x:c r="K637" s="25" t="str">
        <x:f>IF($A637="","",IF(AND($C637="",$E637=""),"",IF($E637="","brak danych",IF($E637=0,0,IF(COUNTIFS($A$10:$A$89,$C637)&lt;&gt;1,"brak danych",IF(COUNTIFS($A$10:$A$89,$C637,$J$10:$J$89,"&lt;&gt;")=0,"brak danych",VLOOKUP($C637,$A$10:$J$89,10,FALSE)*$E637))))))</x:f>
      </x:c>
      <x:c r="L637" s="24" t="str">
        <x:f>IF($A637="","",IF($F637="","",IF($F637=0,0,IF(COUNTIFS($A$10:$A$89,$C637)&lt;&gt;1,"brak danych",IF(COUNTIFS($A$10:$A$89,$C637,$F$10:$F$89,"&lt;&gt;")=0,"brak danych",VLOOKUP($C637,$A$10:$J$89,6,FALSE)*$F637)))))</x:f>
      </x:c>
      <x:c r="M637" s="25" t="str">
        <x:f>IF($A637="","",IF($F637="","",IF($F637=0,0,IF(COUNTIFS($A$10:$A$89,$C637)&lt;&gt;1,"brak danych",IF(COUNTIFS($A$10:$A$89,$C637,$G$10:$G$89,"&lt;&gt;")=0,"brak danych",VLOOKUP($C637,$A$10:$J$89,7,FALSE)*$F637)))))</x:f>
      </x:c>
      <x:c r="N637" s="25" t="str">
        <x:f>IF($A637="","",IF($F637="","",IF($F637=0,0,IF(COUNTIFS($A$10:$A$89,$C637)&lt;&gt;1,"brak danych",IF(COUNTIFS($A$10:$A$89,$C637,$H$10:$H$89,"&lt;&gt;")=0,"brak danych",VLOOKUP($C637,$A$10:$J$89,8,FALSE)*$F637)))))</x:f>
      </x:c>
      <x:c r="O637" s="25" t="str">
        <x:f>IF($A637="","",IF($F637="","",IF($F637=0,0,IF(COUNTIFS($A$10:$A$89,$C637)&lt;&gt;1,"brak danych",IF(COUNTIFS($A$10:$A$89,$C637,$I$10:$I$89,"&lt;&gt;")=0,"brak danych",VLOOKUP($C637,$A$10:$J$89,9,FALSE)*$F637)))))</x:f>
      </x:c>
      <x:c r="P637" s="25" t="str">
        <x:f>IF($A637="","",IF($F637="","",IF($F637=0,0,IF(COUNTIFS($A$10:$A$89,$C637)&lt;&gt;1,"brak danych",IF(COUNTIFS($A$10:$A$89,$C637,$J$10:$J$89,"&lt;&gt;")=0,"brak danych",VLOOKUP($C637,$A$10:$J$89,10,FALSE)*$F637)))))</x:f>
      </x:c>
      <x:c r="Q637" s="18"/>
    </x:row>
    <x:row r="638" ht="25" customHeight="1">
      <x:c r="A638" s="6"/>
      <x:c r="B638" s="30"/>
      <x:c r="C638" s="5"/>
      <x:c r="D638" s="5"/>
      <x:c r="E638" s="32"/>
      <x:c r="F638" s="32"/>
      <x:c r="G638" s="24" t="str">
        <x:f>IF($A638="","",IF(AND($C638="",$E638=""),"",IF($E638="","brak danych",IF($E638=0,0,IF(COUNTIFS($A$10:$A$89,$C638)&lt;&gt;1,"brak danych",IF(COUNTIFS($A$10:$A$89,$C638,$F$10:$F$89,"&lt;&gt;")=0,"brak danych",VLOOKUP($C638,$A$10:$J$89,6,FALSE)*$E638))))))</x:f>
      </x:c>
      <x:c r="H638" s="25" t="str">
        <x:f>IF($A638="","",IF(AND($C638="",$E638=""),"",IF($E638="","brak danych",IF($E638=0,0,IF(COUNTIFS($A$10:$A$89,$C638)&lt;&gt;1,"brak danych",IF(COUNTIFS($A$10:$A$89,$C638,$G$10:$G$89,"&lt;&gt;")=0,"brak danych",VLOOKUP($C638,$A$10:$J$89,7,FALSE)*$E638))))))</x:f>
      </x:c>
      <x:c r="I638" s="25" t="str">
        <x:f>IF($A638="","",IF(AND($C638="",$E638=""),"",IF($E638="","brak danych",IF($E638=0,0,IF(COUNTIFS($A$10:$A$89,$C638)&lt;&gt;1,"brak danych",IF(COUNTIFS($A$10:$A$89,$C638,$H$10:$H$89,"&lt;&gt;")=0,"brak danych",VLOOKUP($C638,$A$10:$J$89,8,FALSE)*$E638))))))</x:f>
      </x:c>
      <x:c r="J638" s="25" t="str">
        <x:f>IF($A638="","",IF(AND($C638="",$E638=""),"",IF($E638="","brak danych",IF($E638=0,0,IF(COUNTIFS($A$10:$A$89,$C638)&lt;&gt;1,"brak danych",IF(COUNTIFS($A$10:$A$89,$C638,$I$10:$I$89,"&lt;&gt;")=0,"brak danych",VLOOKUP($C638,$A$10:$J$89,9,FALSE)*$E638))))))</x:f>
      </x:c>
      <x:c r="K638" s="25" t="str">
        <x:f>IF($A638="","",IF(AND($C638="",$E638=""),"",IF($E638="","brak danych",IF($E638=0,0,IF(COUNTIFS($A$10:$A$89,$C638)&lt;&gt;1,"brak danych",IF(COUNTIFS($A$10:$A$89,$C638,$J$10:$J$89,"&lt;&gt;")=0,"brak danych",VLOOKUP($C638,$A$10:$J$89,10,FALSE)*$E638))))))</x:f>
      </x:c>
      <x:c r="L638" s="24" t="str">
        <x:f>IF($A638="","",IF($F638="","",IF($F638=0,0,IF(COUNTIFS($A$10:$A$89,$C638)&lt;&gt;1,"brak danych",IF(COUNTIFS($A$10:$A$89,$C638,$F$10:$F$89,"&lt;&gt;")=0,"brak danych",VLOOKUP($C638,$A$10:$J$89,6,FALSE)*$F638)))))</x:f>
      </x:c>
      <x:c r="M638" s="25" t="str">
        <x:f>IF($A638="","",IF($F638="","",IF($F638=0,0,IF(COUNTIFS($A$10:$A$89,$C638)&lt;&gt;1,"brak danych",IF(COUNTIFS($A$10:$A$89,$C638,$G$10:$G$89,"&lt;&gt;")=0,"brak danych",VLOOKUP($C638,$A$10:$J$89,7,FALSE)*$F638)))))</x:f>
      </x:c>
      <x:c r="N638" s="25" t="str">
        <x:f>IF($A638="","",IF($F638="","",IF($F638=0,0,IF(COUNTIFS($A$10:$A$89,$C638)&lt;&gt;1,"brak danych",IF(COUNTIFS($A$10:$A$89,$C638,$H$10:$H$89,"&lt;&gt;")=0,"brak danych",VLOOKUP($C638,$A$10:$J$89,8,FALSE)*$F638)))))</x:f>
      </x:c>
      <x:c r="O638" s="25" t="str">
        <x:f>IF($A638="","",IF($F638="","",IF($F638=0,0,IF(COUNTIFS($A$10:$A$89,$C638)&lt;&gt;1,"brak danych",IF(COUNTIFS($A$10:$A$89,$C638,$I$10:$I$89,"&lt;&gt;")=0,"brak danych",VLOOKUP($C638,$A$10:$J$89,9,FALSE)*$F638)))))</x:f>
      </x:c>
      <x:c r="P638" s="25" t="str">
        <x:f>IF($A638="","",IF($F638="","",IF($F638=0,0,IF(COUNTIFS($A$10:$A$89,$C638)&lt;&gt;1,"brak danych",IF(COUNTIFS($A$10:$A$89,$C638,$J$10:$J$89,"&lt;&gt;")=0,"brak danych",VLOOKUP($C638,$A$10:$J$89,10,FALSE)*$F638)))))</x:f>
      </x:c>
      <x:c r="Q638" s="18"/>
    </x:row>
    <x:row r="639" ht="25" customHeight="1">
      <x:c r="A639" s="6"/>
      <x:c r="B639" s="30"/>
      <x:c r="C639" s="5"/>
      <x:c r="D639" s="5"/>
      <x:c r="E639" s="32"/>
      <x:c r="F639" s="32"/>
      <x:c r="G639" s="24" t="str">
        <x:f>IF($A639="","",IF(AND($C639="",$E639=""),"",IF($E639="","brak danych",IF($E639=0,0,IF(COUNTIFS($A$10:$A$89,$C639)&lt;&gt;1,"brak danych",IF(COUNTIFS($A$10:$A$89,$C639,$F$10:$F$89,"&lt;&gt;")=0,"brak danych",VLOOKUP($C639,$A$10:$J$89,6,FALSE)*$E639))))))</x:f>
      </x:c>
      <x:c r="H639" s="25" t="str">
        <x:f>IF($A639="","",IF(AND($C639="",$E639=""),"",IF($E639="","brak danych",IF($E639=0,0,IF(COUNTIFS($A$10:$A$89,$C639)&lt;&gt;1,"brak danych",IF(COUNTIFS($A$10:$A$89,$C639,$G$10:$G$89,"&lt;&gt;")=0,"brak danych",VLOOKUP($C639,$A$10:$J$89,7,FALSE)*$E639))))))</x:f>
      </x:c>
      <x:c r="I639" s="25" t="str">
        <x:f>IF($A639="","",IF(AND($C639="",$E639=""),"",IF($E639="","brak danych",IF($E639=0,0,IF(COUNTIFS($A$10:$A$89,$C639)&lt;&gt;1,"brak danych",IF(COUNTIFS($A$10:$A$89,$C639,$H$10:$H$89,"&lt;&gt;")=0,"brak danych",VLOOKUP($C639,$A$10:$J$89,8,FALSE)*$E639))))))</x:f>
      </x:c>
      <x:c r="J639" s="25" t="str">
        <x:f>IF($A639="","",IF(AND($C639="",$E639=""),"",IF($E639="","brak danych",IF($E639=0,0,IF(COUNTIFS($A$10:$A$89,$C639)&lt;&gt;1,"brak danych",IF(COUNTIFS($A$10:$A$89,$C639,$I$10:$I$89,"&lt;&gt;")=0,"brak danych",VLOOKUP($C639,$A$10:$J$89,9,FALSE)*$E639))))))</x:f>
      </x:c>
      <x:c r="K639" s="25" t="str">
        <x:f>IF($A639="","",IF(AND($C639="",$E639=""),"",IF($E639="","brak danych",IF($E639=0,0,IF(COUNTIFS($A$10:$A$89,$C639)&lt;&gt;1,"brak danych",IF(COUNTIFS($A$10:$A$89,$C639,$J$10:$J$89,"&lt;&gt;")=0,"brak danych",VLOOKUP($C639,$A$10:$J$89,10,FALSE)*$E639))))))</x:f>
      </x:c>
      <x:c r="L639" s="24" t="str">
        <x:f>IF($A639="","",IF($F639="","",IF($F639=0,0,IF(COUNTIFS($A$10:$A$89,$C639)&lt;&gt;1,"brak danych",IF(COUNTIFS($A$10:$A$89,$C639,$F$10:$F$89,"&lt;&gt;")=0,"brak danych",VLOOKUP($C639,$A$10:$J$89,6,FALSE)*$F639)))))</x:f>
      </x:c>
      <x:c r="M639" s="25" t="str">
        <x:f>IF($A639="","",IF($F639="","",IF($F639=0,0,IF(COUNTIFS($A$10:$A$89,$C639)&lt;&gt;1,"brak danych",IF(COUNTIFS($A$10:$A$89,$C639,$G$10:$G$89,"&lt;&gt;")=0,"brak danych",VLOOKUP($C639,$A$10:$J$89,7,FALSE)*$F639)))))</x:f>
      </x:c>
      <x:c r="N639" s="25" t="str">
        <x:f>IF($A639="","",IF($F639="","",IF($F639=0,0,IF(COUNTIFS($A$10:$A$89,$C639)&lt;&gt;1,"brak danych",IF(COUNTIFS($A$10:$A$89,$C639,$H$10:$H$89,"&lt;&gt;")=0,"brak danych",VLOOKUP($C639,$A$10:$J$89,8,FALSE)*$F639)))))</x:f>
      </x:c>
      <x:c r="O639" s="25" t="str">
        <x:f>IF($A639="","",IF($F639="","",IF($F639=0,0,IF(COUNTIFS($A$10:$A$89,$C639)&lt;&gt;1,"brak danych",IF(COUNTIFS($A$10:$A$89,$C639,$I$10:$I$89,"&lt;&gt;")=0,"brak danych",VLOOKUP($C639,$A$10:$J$89,9,FALSE)*$F639)))))</x:f>
      </x:c>
      <x:c r="P639" s="25" t="str">
        <x:f>IF($A639="","",IF($F639="","",IF($F639=0,0,IF(COUNTIFS($A$10:$A$89,$C639)&lt;&gt;1,"brak danych",IF(COUNTIFS($A$10:$A$89,$C639,$J$10:$J$89,"&lt;&gt;")=0,"brak danych",VLOOKUP($C639,$A$10:$J$89,10,FALSE)*$F639)))))</x:f>
      </x:c>
      <x:c r="Q639" s="18"/>
    </x:row>
    <x:row r="640" ht="25" customHeight="1">
      <x:c r="A640" s="6"/>
      <x:c r="B640" s="30"/>
      <x:c r="C640" s="5"/>
      <x:c r="D640" s="5"/>
      <x:c r="E640" s="32"/>
      <x:c r="F640" s="32"/>
      <x:c r="G640" s="24" t="str">
        <x:f>IF($A640="","",IF(AND($C640="",$E640=""),"",IF($E640="","brak danych",IF($E640=0,0,IF(COUNTIFS($A$10:$A$89,$C640)&lt;&gt;1,"brak danych",IF(COUNTIFS($A$10:$A$89,$C640,$F$10:$F$89,"&lt;&gt;")=0,"brak danych",VLOOKUP($C640,$A$10:$J$89,6,FALSE)*$E640))))))</x:f>
      </x:c>
      <x:c r="H640" s="25" t="str">
        <x:f>IF($A640="","",IF(AND($C640="",$E640=""),"",IF($E640="","brak danych",IF($E640=0,0,IF(COUNTIFS($A$10:$A$89,$C640)&lt;&gt;1,"brak danych",IF(COUNTIFS($A$10:$A$89,$C640,$G$10:$G$89,"&lt;&gt;")=0,"brak danych",VLOOKUP($C640,$A$10:$J$89,7,FALSE)*$E640))))))</x:f>
      </x:c>
      <x:c r="I640" s="25" t="str">
        <x:f>IF($A640="","",IF(AND($C640="",$E640=""),"",IF($E640="","brak danych",IF($E640=0,0,IF(COUNTIFS($A$10:$A$89,$C640)&lt;&gt;1,"brak danych",IF(COUNTIFS($A$10:$A$89,$C640,$H$10:$H$89,"&lt;&gt;")=0,"brak danych",VLOOKUP($C640,$A$10:$J$89,8,FALSE)*$E640))))))</x:f>
      </x:c>
      <x:c r="J640" s="25" t="str">
        <x:f>IF($A640="","",IF(AND($C640="",$E640=""),"",IF($E640="","brak danych",IF($E640=0,0,IF(COUNTIFS($A$10:$A$89,$C640)&lt;&gt;1,"brak danych",IF(COUNTIFS($A$10:$A$89,$C640,$I$10:$I$89,"&lt;&gt;")=0,"brak danych",VLOOKUP($C640,$A$10:$J$89,9,FALSE)*$E640))))))</x:f>
      </x:c>
      <x:c r="K640" s="25" t="str">
        <x:f>IF($A640="","",IF(AND($C640="",$E640=""),"",IF($E640="","brak danych",IF($E640=0,0,IF(COUNTIFS($A$10:$A$89,$C640)&lt;&gt;1,"brak danych",IF(COUNTIFS($A$10:$A$89,$C640,$J$10:$J$89,"&lt;&gt;")=0,"brak danych",VLOOKUP($C640,$A$10:$J$89,10,FALSE)*$E640))))))</x:f>
      </x:c>
      <x:c r="L640" s="24" t="str">
        <x:f>IF($A640="","",IF($F640="","",IF($F640=0,0,IF(COUNTIFS($A$10:$A$89,$C640)&lt;&gt;1,"brak danych",IF(COUNTIFS($A$10:$A$89,$C640,$F$10:$F$89,"&lt;&gt;")=0,"brak danych",VLOOKUP($C640,$A$10:$J$89,6,FALSE)*$F640)))))</x:f>
      </x:c>
      <x:c r="M640" s="25" t="str">
        <x:f>IF($A640="","",IF($F640="","",IF($F640=0,0,IF(COUNTIFS($A$10:$A$89,$C640)&lt;&gt;1,"brak danych",IF(COUNTIFS($A$10:$A$89,$C640,$G$10:$G$89,"&lt;&gt;")=0,"brak danych",VLOOKUP($C640,$A$10:$J$89,7,FALSE)*$F640)))))</x:f>
      </x:c>
      <x:c r="N640" s="25" t="str">
        <x:f>IF($A640="","",IF($F640="","",IF($F640=0,0,IF(COUNTIFS($A$10:$A$89,$C640)&lt;&gt;1,"brak danych",IF(COUNTIFS($A$10:$A$89,$C640,$H$10:$H$89,"&lt;&gt;")=0,"brak danych",VLOOKUP($C640,$A$10:$J$89,8,FALSE)*$F640)))))</x:f>
      </x:c>
      <x:c r="O640" s="25" t="str">
        <x:f>IF($A640="","",IF($F640="","",IF($F640=0,0,IF(COUNTIFS($A$10:$A$89,$C640)&lt;&gt;1,"brak danych",IF(COUNTIFS($A$10:$A$89,$C640,$I$10:$I$89,"&lt;&gt;")=0,"brak danych",VLOOKUP($C640,$A$10:$J$89,9,FALSE)*$F640)))))</x:f>
      </x:c>
      <x:c r="P640" s="25" t="str">
        <x:f>IF($A640="","",IF($F640="","",IF($F640=0,0,IF(COUNTIFS($A$10:$A$89,$C640)&lt;&gt;1,"brak danych",IF(COUNTIFS($A$10:$A$89,$C640,$J$10:$J$89,"&lt;&gt;")=0,"brak danych",VLOOKUP($C640,$A$10:$J$89,10,FALSE)*$F640)))))</x:f>
      </x:c>
      <x:c r="Q640" s="18"/>
    </x:row>
    <x:row r="641" ht="25" customHeight="1">
      <x:c r="A641" s="6"/>
      <x:c r="B641" s="30"/>
      <x:c r="C641" s="5"/>
      <x:c r="D641" s="5"/>
      <x:c r="E641" s="32"/>
      <x:c r="F641" s="32"/>
      <x:c r="G641" s="24" t="str">
        <x:f>IF($A641="","",IF(AND($C641="",$E641=""),"",IF($E641="","brak danych",IF($E641=0,0,IF(COUNTIFS($A$10:$A$89,$C641)&lt;&gt;1,"brak danych",IF(COUNTIFS($A$10:$A$89,$C641,$F$10:$F$89,"&lt;&gt;")=0,"brak danych",VLOOKUP($C641,$A$10:$J$89,6,FALSE)*$E641))))))</x:f>
      </x:c>
      <x:c r="H641" s="25" t="str">
        <x:f>IF($A641="","",IF(AND($C641="",$E641=""),"",IF($E641="","brak danych",IF($E641=0,0,IF(COUNTIFS($A$10:$A$89,$C641)&lt;&gt;1,"brak danych",IF(COUNTIFS($A$10:$A$89,$C641,$G$10:$G$89,"&lt;&gt;")=0,"brak danych",VLOOKUP($C641,$A$10:$J$89,7,FALSE)*$E641))))))</x:f>
      </x:c>
      <x:c r="I641" s="25" t="str">
        <x:f>IF($A641="","",IF(AND($C641="",$E641=""),"",IF($E641="","brak danych",IF($E641=0,0,IF(COUNTIFS($A$10:$A$89,$C641)&lt;&gt;1,"brak danych",IF(COUNTIFS($A$10:$A$89,$C641,$H$10:$H$89,"&lt;&gt;")=0,"brak danych",VLOOKUP($C641,$A$10:$J$89,8,FALSE)*$E641))))))</x:f>
      </x:c>
      <x:c r="J641" s="25" t="str">
        <x:f>IF($A641="","",IF(AND($C641="",$E641=""),"",IF($E641="","brak danych",IF($E641=0,0,IF(COUNTIFS($A$10:$A$89,$C641)&lt;&gt;1,"brak danych",IF(COUNTIFS($A$10:$A$89,$C641,$I$10:$I$89,"&lt;&gt;")=0,"brak danych",VLOOKUP($C641,$A$10:$J$89,9,FALSE)*$E641))))))</x:f>
      </x:c>
      <x:c r="K641" s="25" t="str">
        <x:f>IF($A641="","",IF(AND($C641="",$E641=""),"",IF($E641="","brak danych",IF($E641=0,0,IF(COUNTIFS($A$10:$A$89,$C641)&lt;&gt;1,"brak danych",IF(COUNTIFS($A$10:$A$89,$C641,$J$10:$J$89,"&lt;&gt;")=0,"brak danych",VLOOKUP($C641,$A$10:$J$89,10,FALSE)*$E641))))))</x:f>
      </x:c>
      <x:c r="L641" s="24" t="str">
        <x:f>IF($A641="","",IF($F641="","",IF($F641=0,0,IF(COUNTIFS($A$10:$A$89,$C641)&lt;&gt;1,"brak danych",IF(COUNTIFS($A$10:$A$89,$C641,$F$10:$F$89,"&lt;&gt;")=0,"brak danych",VLOOKUP($C641,$A$10:$J$89,6,FALSE)*$F641)))))</x:f>
      </x:c>
      <x:c r="M641" s="25" t="str">
        <x:f>IF($A641="","",IF($F641="","",IF($F641=0,0,IF(COUNTIFS($A$10:$A$89,$C641)&lt;&gt;1,"brak danych",IF(COUNTIFS($A$10:$A$89,$C641,$G$10:$G$89,"&lt;&gt;")=0,"brak danych",VLOOKUP($C641,$A$10:$J$89,7,FALSE)*$F641)))))</x:f>
      </x:c>
      <x:c r="N641" s="25" t="str">
        <x:f>IF($A641="","",IF($F641="","",IF($F641=0,0,IF(COUNTIFS($A$10:$A$89,$C641)&lt;&gt;1,"brak danych",IF(COUNTIFS($A$10:$A$89,$C641,$H$10:$H$89,"&lt;&gt;")=0,"brak danych",VLOOKUP($C641,$A$10:$J$89,8,FALSE)*$F641)))))</x:f>
      </x:c>
      <x:c r="O641" s="25" t="str">
        <x:f>IF($A641="","",IF($F641="","",IF($F641=0,0,IF(COUNTIFS($A$10:$A$89,$C641)&lt;&gt;1,"brak danych",IF(COUNTIFS($A$10:$A$89,$C641,$I$10:$I$89,"&lt;&gt;")=0,"brak danych",VLOOKUP($C641,$A$10:$J$89,9,FALSE)*$F641)))))</x:f>
      </x:c>
      <x:c r="P641" s="25" t="str">
        <x:f>IF($A641="","",IF($F641="","",IF($F641=0,0,IF(COUNTIFS($A$10:$A$89,$C641)&lt;&gt;1,"brak danych",IF(COUNTIFS($A$10:$A$89,$C641,$J$10:$J$89,"&lt;&gt;")=0,"brak danych",VLOOKUP($C641,$A$10:$J$89,10,FALSE)*$F641)))))</x:f>
      </x:c>
      <x:c r="Q641" s="18"/>
    </x:row>
    <x:row r="642" ht="25" customHeight="1">
      <x:c r="A642" s="6"/>
      <x:c r="B642" s="30"/>
      <x:c r="C642" s="5"/>
      <x:c r="D642" s="5"/>
      <x:c r="E642" s="32"/>
      <x:c r="F642" s="32"/>
      <x:c r="G642" s="24" t="str">
        <x:f>IF($A642="","",IF(AND($C642="",$E642=""),"",IF($E642="","brak danych",IF($E642=0,0,IF(COUNTIFS($A$10:$A$89,$C642)&lt;&gt;1,"brak danych",IF(COUNTIFS($A$10:$A$89,$C642,$F$10:$F$89,"&lt;&gt;")=0,"brak danych",VLOOKUP($C642,$A$10:$J$89,6,FALSE)*$E642))))))</x:f>
      </x:c>
      <x:c r="H642" s="25" t="str">
        <x:f>IF($A642="","",IF(AND($C642="",$E642=""),"",IF($E642="","brak danych",IF($E642=0,0,IF(COUNTIFS($A$10:$A$89,$C642)&lt;&gt;1,"brak danych",IF(COUNTIFS($A$10:$A$89,$C642,$G$10:$G$89,"&lt;&gt;")=0,"brak danych",VLOOKUP($C642,$A$10:$J$89,7,FALSE)*$E642))))))</x:f>
      </x:c>
      <x:c r="I642" s="25" t="str">
        <x:f>IF($A642="","",IF(AND($C642="",$E642=""),"",IF($E642="","brak danych",IF($E642=0,0,IF(COUNTIFS($A$10:$A$89,$C642)&lt;&gt;1,"brak danych",IF(COUNTIFS($A$10:$A$89,$C642,$H$10:$H$89,"&lt;&gt;")=0,"brak danych",VLOOKUP($C642,$A$10:$J$89,8,FALSE)*$E642))))))</x:f>
      </x:c>
      <x:c r="J642" s="25" t="str">
        <x:f>IF($A642="","",IF(AND($C642="",$E642=""),"",IF($E642="","brak danych",IF($E642=0,0,IF(COUNTIFS($A$10:$A$89,$C642)&lt;&gt;1,"brak danych",IF(COUNTIFS($A$10:$A$89,$C642,$I$10:$I$89,"&lt;&gt;")=0,"brak danych",VLOOKUP($C642,$A$10:$J$89,9,FALSE)*$E642))))))</x:f>
      </x:c>
      <x:c r="K642" s="25" t="str">
        <x:f>IF($A642="","",IF(AND($C642="",$E642=""),"",IF($E642="","brak danych",IF($E642=0,0,IF(COUNTIFS($A$10:$A$89,$C642)&lt;&gt;1,"brak danych",IF(COUNTIFS($A$10:$A$89,$C642,$J$10:$J$89,"&lt;&gt;")=0,"brak danych",VLOOKUP($C642,$A$10:$J$89,10,FALSE)*$E642))))))</x:f>
      </x:c>
      <x:c r="L642" s="24" t="str">
        <x:f>IF($A642="","",IF($F642="","",IF($F642=0,0,IF(COUNTIFS($A$10:$A$89,$C642)&lt;&gt;1,"brak danych",IF(COUNTIFS($A$10:$A$89,$C642,$F$10:$F$89,"&lt;&gt;")=0,"brak danych",VLOOKUP($C642,$A$10:$J$89,6,FALSE)*$F642)))))</x:f>
      </x:c>
      <x:c r="M642" s="25" t="str">
        <x:f>IF($A642="","",IF($F642="","",IF($F642=0,0,IF(COUNTIFS($A$10:$A$89,$C642)&lt;&gt;1,"brak danych",IF(COUNTIFS($A$10:$A$89,$C642,$G$10:$G$89,"&lt;&gt;")=0,"brak danych",VLOOKUP($C642,$A$10:$J$89,7,FALSE)*$F642)))))</x:f>
      </x:c>
      <x:c r="N642" s="25" t="str">
        <x:f>IF($A642="","",IF($F642="","",IF($F642=0,0,IF(COUNTIFS($A$10:$A$89,$C642)&lt;&gt;1,"brak danych",IF(COUNTIFS($A$10:$A$89,$C642,$H$10:$H$89,"&lt;&gt;")=0,"brak danych",VLOOKUP($C642,$A$10:$J$89,8,FALSE)*$F642)))))</x:f>
      </x:c>
      <x:c r="O642" s="25" t="str">
        <x:f>IF($A642="","",IF($F642="","",IF($F642=0,0,IF(COUNTIFS($A$10:$A$89,$C642)&lt;&gt;1,"brak danych",IF(COUNTIFS($A$10:$A$89,$C642,$I$10:$I$89,"&lt;&gt;")=0,"brak danych",VLOOKUP($C642,$A$10:$J$89,9,FALSE)*$F642)))))</x:f>
      </x:c>
      <x:c r="P642" s="25" t="str">
        <x:f>IF($A642="","",IF($F642="","",IF($F642=0,0,IF(COUNTIFS($A$10:$A$89,$C642)&lt;&gt;1,"brak danych",IF(COUNTIFS($A$10:$A$89,$C642,$J$10:$J$89,"&lt;&gt;")=0,"brak danych",VLOOKUP($C642,$A$10:$J$89,10,FALSE)*$F642)))))</x:f>
      </x:c>
      <x:c r="Q642" s="18"/>
    </x:row>
    <x:row r="643" ht="25" customHeight="1">
      <x:c r="A643" s="6"/>
      <x:c r="B643" s="30"/>
      <x:c r="C643" s="5"/>
      <x:c r="D643" s="5"/>
      <x:c r="E643" s="32"/>
      <x:c r="F643" s="32"/>
      <x:c r="G643" s="24" t="str">
        <x:f>IF($A643="","",IF(AND($C643="",$E643=""),"",IF($E643="","brak danych",IF($E643=0,0,IF(COUNTIFS($A$10:$A$89,$C643)&lt;&gt;1,"brak danych",IF(COUNTIFS($A$10:$A$89,$C643,$F$10:$F$89,"&lt;&gt;")=0,"brak danych",VLOOKUP($C643,$A$10:$J$89,6,FALSE)*$E643))))))</x:f>
      </x:c>
      <x:c r="H643" s="25" t="str">
        <x:f>IF($A643="","",IF(AND($C643="",$E643=""),"",IF($E643="","brak danych",IF($E643=0,0,IF(COUNTIFS($A$10:$A$89,$C643)&lt;&gt;1,"brak danych",IF(COUNTIFS($A$10:$A$89,$C643,$G$10:$G$89,"&lt;&gt;")=0,"brak danych",VLOOKUP($C643,$A$10:$J$89,7,FALSE)*$E643))))))</x:f>
      </x:c>
      <x:c r="I643" s="25" t="str">
        <x:f>IF($A643="","",IF(AND($C643="",$E643=""),"",IF($E643="","brak danych",IF($E643=0,0,IF(COUNTIFS($A$10:$A$89,$C643)&lt;&gt;1,"brak danych",IF(COUNTIFS($A$10:$A$89,$C643,$H$10:$H$89,"&lt;&gt;")=0,"brak danych",VLOOKUP($C643,$A$10:$J$89,8,FALSE)*$E643))))))</x:f>
      </x:c>
      <x:c r="J643" s="25" t="str">
        <x:f>IF($A643="","",IF(AND($C643="",$E643=""),"",IF($E643="","brak danych",IF($E643=0,0,IF(COUNTIFS($A$10:$A$89,$C643)&lt;&gt;1,"brak danych",IF(COUNTIFS($A$10:$A$89,$C643,$I$10:$I$89,"&lt;&gt;")=0,"brak danych",VLOOKUP($C643,$A$10:$J$89,9,FALSE)*$E643))))))</x:f>
      </x:c>
      <x:c r="K643" s="25" t="str">
        <x:f>IF($A643="","",IF(AND($C643="",$E643=""),"",IF($E643="","brak danych",IF($E643=0,0,IF(COUNTIFS($A$10:$A$89,$C643)&lt;&gt;1,"brak danych",IF(COUNTIFS($A$10:$A$89,$C643,$J$10:$J$89,"&lt;&gt;")=0,"brak danych",VLOOKUP($C643,$A$10:$J$89,10,FALSE)*$E643))))))</x:f>
      </x:c>
      <x:c r="L643" s="24" t="str">
        <x:f>IF($A643="","",IF($F643="","",IF($F643=0,0,IF(COUNTIFS($A$10:$A$89,$C643)&lt;&gt;1,"brak danych",IF(COUNTIFS($A$10:$A$89,$C643,$F$10:$F$89,"&lt;&gt;")=0,"brak danych",VLOOKUP($C643,$A$10:$J$89,6,FALSE)*$F643)))))</x:f>
      </x:c>
      <x:c r="M643" s="25" t="str">
        <x:f>IF($A643="","",IF($F643="","",IF($F643=0,0,IF(COUNTIFS($A$10:$A$89,$C643)&lt;&gt;1,"brak danych",IF(COUNTIFS($A$10:$A$89,$C643,$G$10:$G$89,"&lt;&gt;")=0,"brak danych",VLOOKUP($C643,$A$10:$J$89,7,FALSE)*$F643)))))</x:f>
      </x:c>
      <x:c r="N643" s="25" t="str">
        <x:f>IF($A643="","",IF($F643="","",IF($F643=0,0,IF(COUNTIFS($A$10:$A$89,$C643)&lt;&gt;1,"brak danych",IF(COUNTIFS($A$10:$A$89,$C643,$H$10:$H$89,"&lt;&gt;")=0,"brak danych",VLOOKUP($C643,$A$10:$J$89,8,FALSE)*$F643)))))</x:f>
      </x:c>
      <x:c r="O643" s="25" t="str">
        <x:f>IF($A643="","",IF($F643="","",IF($F643=0,0,IF(COUNTIFS($A$10:$A$89,$C643)&lt;&gt;1,"brak danych",IF(COUNTIFS($A$10:$A$89,$C643,$I$10:$I$89,"&lt;&gt;")=0,"brak danych",VLOOKUP($C643,$A$10:$J$89,9,FALSE)*$F643)))))</x:f>
      </x:c>
      <x:c r="P643" s="25" t="str">
        <x:f>IF($A643="","",IF($F643="","",IF($F643=0,0,IF(COUNTIFS($A$10:$A$89,$C643)&lt;&gt;1,"brak danych",IF(COUNTIFS($A$10:$A$89,$C643,$J$10:$J$89,"&lt;&gt;")=0,"brak danych",VLOOKUP($C643,$A$10:$J$89,10,FALSE)*$F643)))))</x:f>
      </x:c>
      <x:c r="Q643" s="18"/>
    </x:row>
    <x:row r="644" ht="25" customHeight="1">
      <x:c r="A644" s="6"/>
      <x:c r="B644" s="30"/>
      <x:c r="C644" s="5"/>
      <x:c r="D644" s="5"/>
      <x:c r="E644" s="32"/>
      <x:c r="F644" s="32"/>
      <x:c r="G644" s="24" t="str">
        <x:f>IF($A644="","",IF(AND($C644="",$E644=""),"",IF($E644="","brak danych",IF($E644=0,0,IF(COUNTIFS($A$10:$A$89,$C644)&lt;&gt;1,"brak danych",IF(COUNTIFS($A$10:$A$89,$C644,$F$10:$F$89,"&lt;&gt;")=0,"brak danych",VLOOKUP($C644,$A$10:$J$89,6,FALSE)*$E644))))))</x:f>
      </x:c>
      <x:c r="H644" s="25" t="str">
        <x:f>IF($A644="","",IF(AND($C644="",$E644=""),"",IF($E644="","brak danych",IF($E644=0,0,IF(COUNTIFS($A$10:$A$89,$C644)&lt;&gt;1,"brak danych",IF(COUNTIFS($A$10:$A$89,$C644,$G$10:$G$89,"&lt;&gt;")=0,"brak danych",VLOOKUP($C644,$A$10:$J$89,7,FALSE)*$E644))))))</x:f>
      </x:c>
      <x:c r="I644" s="25" t="str">
        <x:f>IF($A644="","",IF(AND($C644="",$E644=""),"",IF($E644="","brak danych",IF($E644=0,0,IF(COUNTIFS($A$10:$A$89,$C644)&lt;&gt;1,"brak danych",IF(COUNTIFS($A$10:$A$89,$C644,$H$10:$H$89,"&lt;&gt;")=0,"brak danych",VLOOKUP($C644,$A$10:$J$89,8,FALSE)*$E644))))))</x:f>
      </x:c>
      <x:c r="J644" s="25" t="str">
        <x:f>IF($A644="","",IF(AND($C644="",$E644=""),"",IF($E644="","brak danych",IF($E644=0,0,IF(COUNTIFS($A$10:$A$89,$C644)&lt;&gt;1,"brak danych",IF(COUNTIFS($A$10:$A$89,$C644,$I$10:$I$89,"&lt;&gt;")=0,"brak danych",VLOOKUP($C644,$A$10:$J$89,9,FALSE)*$E644))))))</x:f>
      </x:c>
      <x:c r="K644" s="25" t="str">
        <x:f>IF($A644="","",IF(AND($C644="",$E644=""),"",IF($E644="","brak danych",IF($E644=0,0,IF(COUNTIFS($A$10:$A$89,$C644)&lt;&gt;1,"brak danych",IF(COUNTIFS($A$10:$A$89,$C644,$J$10:$J$89,"&lt;&gt;")=0,"brak danych",VLOOKUP($C644,$A$10:$J$89,10,FALSE)*$E644))))))</x:f>
      </x:c>
      <x:c r="L644" s="24" t="str">
        <x:f>IF($A644="","",IF($F644="","",IF($F644=0,0,IF(COUNTIFS($A$10:$A$89,$C644)&lt;&gt;1,"brak danych",IF(COUNTIFS($A$10:$A$89,$C644,$F$10:$F$89,"&lt;&gt;")=0,"brak danych",VLOOKUP($C644,$A$10:$J$89,6,FALSE)*$F644)))))</x:f>
      </x:c>
      <x:c r="M644" s="25" t="str">
        <x:f>IF($A644="","",IF($F644="","",IF($F644=0,0,IF(COUNTIFS($A$10:$A$89,$C644)&lt;&gt;1,"brak danych",IF(COUNTIFS($A$10:$A$89,$C644,$G$10:$G$89,"&lt;&gt;")=0,"brak danych",VLOOKUP($C644,$A$10:$J$89,7,FALSE)*$F644)))))</x:f>
      </x:c>
      <x:c r="N644" s="25" t="str">
        <x:f>IF($A644="","",IF($F644="","",IF($F644=0,0,IF(COUNTIFS($A$10:$A$89,$C644)&lt;&gt;1,"brak danych",IF(COUNTIFS($A$10:$A$89,$C644,$H$10:$H$89,"&lt;&gt;")=0,"brak danych",VLOOKUP($C644,$A$10:$J$89,8,FALSE)*$F644)))))</x:f>
      </x:c>
      <x:c r="O644" s="25" t="str">
        <x:f>IF($A644="","",IF($F644="","",IF($F644=0,0,IF(COUNTIFS($A$10:$A$89,$C644)&lt;&gt;1,"brak danych",IF(COUNTIFS($A$10:$A$89,$C644,$I$10:$I$89,"&lt;&gt;")=0,"brak danych",VLOOKUP($C644,$A$10:$J$89,9,FALSE)*$F644)))))</x:f>
      </x:c>
      <x:c r="P644" s="25" t="str">
        <x:f>IF($A644="","",IF($F644="","",IF($F644=0,0,IF(COUNTIFS($A$10:$A$89,$C644)&lt;&gt;1,"brak danych",IF(COUNTIFS($A$10:$A$89,$C644,$J$10:$J$89,"&lt;&gt;")=0,"brak danych",VLOOKUP($C644,$A$10:$J$89,10,FALSE)*$F644)))))</x:f>
      </x:c>
      <x:c r="Q644" s="18"/>
    </x:row>
    <x:row r="645" ht="25" customHeight="1">
      <x:c r="A645" s="6"/>
      <x:c r="B645" s="30"/>
      <x:c r="C645" s="5"/>
      <x:c r="D645" s="5"/>
      <x:c r="E645" s="32"/>
      <x:c r="F645" s="32"/>
      <x:c r="G645" s="24" t="str">
        <x:f>IF($A645="","",IF(AND($C645="",$E645=""),"",IF($E645="","brak danych",IF($E645=0,0,IF(COUNTIFS($A$10:$A$89,$C645)&lt;&gt;1,"brak danych",IF(COUNTIFS($A$10:$A$89,$C645,$F$10:$F$89,"&lt;&gt;")=0,"brak danych",VLOOKUP($C645,$A$10:$J$89,6,FALSE)*$E645))))))</x:f>
      </x:c>
      <x:c r="H645" s="25" t="str">
        <x:f>IF($A645="","",IF(AND($C645="",$E645=""),"",IF($E645="","brak danych",IF($E645=0,0,IF(COUNTIFS($A$10:$A$89,$C645)&lt;&gt;1,"brak danych",IF(COUNTIFS($A$10:$A$89,$C645,$G$10:$G$89,"&lt;&gt;")=0,"brak danych",VLOOKUP($C645,$A$10:$J$89,7,FALSE)*$E645))))))</x:f>
      </x:c>
      <x:c r="I645" s="25" t="str">
        <x:f>IF($A645="","",IF(AND($C645="",$E645=""),"",IF($E645="","brak danych",IF($E645=0,0,IF(COUNTIFS($A$10:$A$89,$C645)&lt;&gt;1,"brak danych",IF(COUNTIFS($A$10:$A$89,$C645,$H$10:$H$89,"&lt;&gt;")=0,"brak danych",VLOOKUP($C645,$A$10:$J$89,8,FALSE)*$E645))))))</x:f>
      </x:c>
      <x:c r="J645" s="25" t="str">
        <x:f>IF($A645="","",IF(AND($C645="",$E645=""),"",IF($E645="","brak danych",IF($E645=0,0,IF(COUNTIFS($A$10:$A$89,$C645)&lt;&gt;1,"brak danych",IF(COUNTIFS($A$10:$A$89,$C645,$I$10:$I$89,"&lt;&gt;")=0,"brak danych",VLOOKUP($C645,$A$10:$J$89,9,FALSE)*$E645))))))</x:f>
      </x:c>
      <x:c r="K645" s="25" t="str">
        <x:f>IF($A645="","",IF(AND($C645="",$E645=""),"",IF($E645="","brak danych",IF($E645=0,0,IF(COUNTIFS($A$10:$A$89,$C645)&lt;&gt;1,"brak danych",IF(COUNTIFS($A$10:$A$89,$C645,$J$10:$J$89,"&lt;&gt;")=0,"brak danych",VLOOKUP($C645,$A$10:$J$89,10,FALSE)*$E645))))))</x:f>
      </x:c>
      <x:c r="L645" s="24" t="str">
        <x:f>IF($A645="","",IF($F645="","",IF($F645=0,0,IF(COUNTIFS($A$10:$A$89,$C645)&lt;&gt;1,"brak danych",IF(COUNTIFS($A$10:$A$89,$C645,$F$10:$F$89,"&lt;&gt;")=0,"brak danych",VLOOKUP($C645,$A$10:$J$89,6,FALSE)*$F645)))))</x:f>
      </x:c>
      <x:c r="M645" s="25" t="str">
        <x:f>IF($A645="","",IF($F645="","",IF($F645=0,0,IF(COUNTIFS($A$10:$A$89,$C645)&lt;&gt;1,"brak danych",IF(COUNTIFS($A$10:$A$89,$C645,$G$10:$G$89,"&lt;&gt;")=0,"brak danych",VLOOKUP($C645,$A$10:$J$89,7,FALSE)*$F645)))))</x:f>
      </x:c>
      <x:c r="N645" s="25" t="str">
        <x:f>IF($A645="","",IF($F645="","",IF($F645=0,0,IF(COUNTIFS($A$10:$A$89,$C645)&lt;&gt;1,"brak danych",IF(COUNTIFS($A$10:$A$89,$C645,$H$10:$H$89,"&lt;&gt;")=0,"brak danych",VLOOKUP($C645,$A$10:$J$89,8,FALSE)*$F645)))))</x:f>
      </x:c>
      <x:c r="O645" s="25" t="str">
        <x:f>IF($A645="","",IF($F645="","",IF($F645=0,0,IF(COUNTIFS($A$10:$A$89,$C645)&lt;&gt;1,"brak danych",IF(COUNTIFS($A$10:$A$89,$C645,$I$10:$I$89,"&lt;&gt;")=0,"brak danych",VLOOKUP($C645,$A$10:$J$89,9,FALSE)*$F645)))))</x:f>
      </x:c>
      <x:c r="P645" s="25" t="str">
        <x:f>IF($A645="","",IF($F645="","",IF($F645=0,0,IF(COUNTIFS($A$10:$A$89,$C645)&lt;&gt;1,"brak danych",IF(COUNTIFS($A$10:$A$89,$C645,$J$10:$J$89,"&lt;&gt;")=0,"brak danych",VLOOKUP($C645,$A$10:$J$89,10,FALSE)*$F645)))))</x:f>
      </x:c>
      <x:c r="Q645" s="18"/>
    </x:row>
    <x:row r="646" ht="25" customHeight="1">
      <x:c r="A646" s="6"/>
      <x:c r="B646" s="30"/>
      <x:c r="C646" s="5"/>
      <x:c r="D646" s="5"/>
      <x:c r="E646" s="32"/>
      <x:c r="F646" s="32"/>
      <x:c r="G646" s="24" t="str">
        <x:f>IF($A646="","",IF(AND($C646="",$E646=""),"",IF($E646="","brak danych",IF($E646=0,0,IF(COUNTIFS($A$10:$A$89,$C646)&lt;&gt;1,"brak danych",IF(COUNTIFS($A$10:$A$89,$C646,$F$10:$F$89,"&lt;&gt;")=0,"brak danych",VLOOKUP($C646,$A$10:$J$89,6,FALSE)*$E646))))))</x:f>
      </x:c>
      <x:c r="H646" s="25" t="str">
        <x:f>IF($A646="","",IF(AND($C646="",$E646=""),"",IF($E646="","brak danych",IF($E646=0,0,IF(COUNTIFS($A$10:$A$89,$C646)&lt;&gt;1,"brak danych",IF(COUNTIFS($A$10:$A$89,$C646,$G$10:$G$89,"&lt;&gt;")=0,"brak danych",VLOOKUP($C646,$A$10:$J$89,7,FALSE)*$E646))))))</x:f>
      </x:c>
      <x:c r="I646" s="25" t="str">
        <x:f>IF($A646="","",IF(AND($C646="",$E646=""),"",IF($E646="","brak danych",IF($E646=0,0,IF(COUNTIFS($A$10:$A$89,$C646)&lt;&gt;1,"brak danych",IF(COUNTIFS($A$10:$A$89,$C646,$H$10:$H$89,"&lt;&gt;")=0,"brak danych",VLOOKUP($C646,$A$10:$J$89,8,FALSE)*$E646))))))</x:f>
      </x:c>
      <x:c r="J646" s="25" t="str">
        <x:f>IF($A646="","",IF(AND($C646="",$E646=""),"",IF($E646="","brak danych",IF($E646=0,0,IF(COUNTIFS($A$10:$A$89,$C646)&lt;&gt;1,"brak danych",IF(COUNTIFS($A$10:$A$89,$C646,$I$10:$I$89,"&lt;&gt;")=0,"brak danych",VLOOKUP($C646,$A$10:$J$89,9,FALSE)*$E646))))))</x:f>
      </x:c>
      <x:c r="K646" s="25" t="str">
        <x:f>IF($A646="","",IF(AND($C646="",$E646=""),"",IF($E646="","brak danych",IF($E646=0,0,IF(COUNTIFS($A$10:$A$89,$C646)&lt;&gt;1,"brak danych",IF(COUNTIFS($A$10:$A$89,$C646,$J$10:$J$89,"&lt;&gt;")=0,"brak danych",VLOOKUP($C646,$A$10:$J$89,10,FALSE)*$E646))))))</x:f>
      </x:c>
      <x:c r="L646" s="24" t="str">
        <x:f>IF($A646="","",IF($F646="","",IF($F646=0,0,IF(COUNTIFS($A$10:$A$89,$C646)&lt;&gt;1,"brak danych",IF(COUNTIFS($A$10:$A$89,$C646,$F$10:$F$89,"&lt;&gt;")=0,"brak danych",VLOOKUP($C646,$A$10:$J$89,6,FALSE)*$F646)))))</x:f>
      </x:c>
      <x:c r="M646" s="25" t="str">
        <x:f>IF($A646="","",IF($F646="","",IF($F646=0,0,IF(COUNTIFS($A$10:$A$89,$C646)&lt;&gt;1,"brak danych",IF(COUNTIFS($A$10:$A$89,$C646,$G$10:$G$89,"&lt;&gt;")=0,"brak danych",VLOOKUP($C646,$A$10:$J$89,7,FALSE)*$F646)))))</x:f>
      </x:c>
      <x:c r="N646" s="25" t="str">
        <x:f>IF($A646="","",IF($F646="","",IF($F646=0,0,IF(COUNTIFS($A$10:$A$89,$C646)&lt;&gt;1,"brak danych",IF(COUNTIFS($A$10:$A$89,$C646,$H$10:$H$89,"&lt;&gt;")=0,"brak danych",VLOOKUP($C646,$A$10:$J$89,8,FALSE)*$F646)))))</x:f>
      </x:c>
      <x:c r="O646" s="25" t="str">
        <x:f>IF($A646="","",IF($F646="","",IF($F646=0,0,IF(COUNTIFS($A$10:$A$89,$C646)&lt;&gt;1,"brak danych",IF(COUNTIFS($A$10:$A$89,$C646,$I$10:$I$89,"&lt;&gt;")=0,"brak danych",VLOOKUP($C646,$A$10:$J$89,9,FALSE)*$F646)))))</x:f>
      </x:c>
      <x:c r="P646" s="25" t="str">
        <x:f>IF($A646="","",IF($F646="","",IF($F646=0,0,IF(COUNTIFS($A$10:$A$89,$C646)&lt;&gt;1,"brak danych",IF(COUNTIFS($A$10:$A$89,$C646,$J$10:$J$89,"&lt;&gt;")=0,"brak danych",VLOOKUP($C646,$A$10:$J$89,10,FALSE)*$F646)))))</x:f>
      </x:c>
      <x:c r="Q646" s="18"/>
    </x:row>
    <x:row r="647" ht="25" customHeight="1">
      <x:c r="A647" s="6"/>
      <x:c r="B647" s="30"/>
      <x:c r="C647" s="5"/>
      <x:c r="D647" s="5"/>
      <x:c r="E647" s="32"/>
      <x:c r="F647" s="32"/>
      <x:c r="G647" s="24" t="str">
        <x:f>IF($A647="","",IF(AND($C647="",$E647=""),"",IF($E647="","brak danych",IF($E647=0,0,IF(COUNTIFS($A$10:$A$89,$C647)&lt;&gt;1,"brak danych",IF(COUNTIFS($A$10:$A$89,$C647,$F$10:$F$89,"&lt;&gt;")=0,"brak danych",VLOOKUP($C647,$A$10:$J$89,6,FALSE)*$E647))))))</x:f>
      </x:c>
      <x:c r="H647" s="25" t="str">
        <x:f>IF($A647="","",IF(AND($C647="",$E647=""),"",IF($E647="","brak danych",IF($E647=0,0,IF(COUNTIFS($A$10:$A$89,$C647)&lt;&gt;1,"brak danych",IF(COUNTIFS($A$10:$A$89,$C647,$G$10:$G$89,"&lt;&gt;")=0,"brak danych",VLOOKUP($C647,$A$10:$J$89,7,FALSE)*$E647))))))</x:f>
      </x:c>
      <x:c r="I647" s="25" t="str">
        <x:f>IF($A647="","",IF(AND($C647="",$E647=""),"",IF($E647="","brak danych",IF($E647=0,0,IF(COUNTIFS($A$10:$A$89,$C647)&lt;&gt;1,"brak danych",IF(COUNTIFS($A$10:$A$89,$C647,$H$10:$H$89,"&lt;&gt;")=0,"brak danych",VLOOKUP($C647,$A$10:$J$89,8,FALSE)*$E647))))))</x:f>
      </x:c>
      <x:c r="J647" s="25" t="str">
        <x:f>IF($A647="","",IF(AND($C647="",$E647=""),"",IF($E647="","brak danych",IF($E647=0,0,IF(COUNTIFS($A$10:$A$89,$C647)&lt;&gt;1,"brak danych",IF(COUNTIFS($A$10:$A$89,$C647,$I$10:$I$89,"&lt;&gt;")=0,"brak danych",VLOOKUP($C647,$A$10:$J$89,9,FALSE)*$E647))))))</x:f>
      </x:c>
      <x:c r="K647" s="25" t="str">
        <x:f>IF($A647="","",IF(AND($C647="",$E647=""),"",IF($E647="","brak danych",IF($E647=0,0,IF(COUNTIFS($A$10:$A$89,$C647)&lt;&gt;1,"brak danych",IF(COUNTIFS($A$10:$A$89,$C647,$J$10:$J$89,"&lt;&gt;")=0,"brak danych",VLOOKUP($C647,$A$10:$J$89,10,FALSE)*$E647))))))</x:f>
      </x:c>
      <x:c r="L647" s="24" t="str">
        <x:f>IF($A647="","",IF($F647="","",IF($F647=0,0,IF(COUNTIFS($A$10:$A$89,$C647)&lt;&gt;1,"brak danych",IF(COUNTIFS($A$10:$A$89,$C647,$F$10:$F$89,"&lt;&gt;")=0,"brak danych",VLOOKUP($C647,$A$10:$J$89,6,FALSE)*$F647)))))</x:f>
      </x:c>
      <x:c r="M647" s="25" t="str">
        <x:f>IF($A647="","",IF($F647="","",IF($F647=0,0,IF(COUNTIFS($A$10:$A$89,$C647)&lt;&gt;1,"brak danych",IF(COUNTIFS($A$10:$A$89,$C647,$G$10:$G$89,"&lt;&gt;")=0,"brak danych",VLOOKUP($C647,$A$10:$J$89,7,FALSE)*$F647)))))</x:f>
      </x:c>
      <x:c r="N647" s="25" t="str">
        <x:f>IF($A647="","",IF($F647="","",IF($F647=0,0,IF(COUNTIFS($A$10:$A$89,$C647)&lt;&gt;1,"brak danych",IF(COUNTIFS($A$10:$A$89,$C647,$H$10:$H$89,"&lt;&gt;")=0,"brak danych",VLOOKUP($C647,$A$10:$J$89,8,FALSE)*$F647)))))</x:f>
      </x:c>
      <x:c r="O647" s="25" t="str">
        <x:f>IF($A647="","",IF($F647="","",IF($F647=0,0,IF(COUNTIFS($A$10:$A$89,$C647)&lt;&gt;1,"brak danych",IF(COUNTIFS($A$10:$A$89,$C647,$I$10:$I$89,"&lt;&gt;")=0,"brak danych",VLOOKUP($C647,$A$10:$J$89,9,FALSE)*$F647)))))</x:f>
      </x:c>
      <x:c r="P647" s="25" t="str">
        <x:f>IF($A647="","",IF($F647="","",IF($F647=0,0,IF(COUNTIFS($A$10:$A$89,$C647)&lt;&gt;1,"brak danych",IF(COUNTIFS($A$10:$A$89,$C647,$J$10:$J$89,"&lt;&gt;")=0,"brak danych",VLOOKUP($C647,$A$10:$J$89,10,FALSE)*$F647)))))</x:f>
      </x:c>
      <x:c r="Q647" s="18"/>
    </x:row>
    <x:row r="648" ht="25" customHeight="1">
      <x:c r="A648" s="6"/>
      <x:c r="B648" s="30"/>
      <x:c r="C648" s="5"/>
      <x:c r="D648" s="5"/>
      <x:c r="E648" s="32"/>
      <x:c r="F648" s="32"/>
      <x:c r="G648" s="24" t="str">
        <x:f>IF($A648="","",IF(AND($C648="",$E648=""),"",IF($E648="","brak danych",IF($E648=0,0,IF(COUNTIFS($A$10:$A$89,$C648)&lt;&gt;1,"brak danych",IF(COUNTIFS($A$10:$A$89,$C648,$F$10:$F$89,"&lt;&gt;")=0,"brak danych",VLOOKUP($C648,$A$10:$J$89,6,FALSE)*$E648))))))</x:f>
      </x:c>
      <x:c r="H648" s="25" t="str">
        <x:f>IF($A648="","",IF(AND($C648="",$E648=""),"",IF($E648="","brak danych",IF($E648=0,0,IF(COUNTIFS($A$10:$A$89,$C648)&lt;&gt;1,"brak danych",IF(COUNTIFS($A$10:$A$89,$C648,$G$10:$G$89,"&lt;&gt;")=0,"brak danych",VLOOKUP($C648,$A$10:$J$89,7,FALSE)*$E648))))))</x:f>
      </x:c>
      <x:c r="I648" s="25" t="str">
        <x:f>IF($A648="","",IF(AND($C648="",$E648=""),"",IF($E648="","brak danych",IF($E648=0,0,IF(COUNTIFS($A$10:$A$89,$C648)&lt;&gt;1,"brak danych",IF(COUNTIFS($A$10:$A$89,$C648,$H$10:$H$89,"&lt;&gt;")=0,"brak danych",VLOOKUP($C648,$A$10:$J$89,8,FALSE)*$E648))))))</x:f>
      </x:c>
      <x:c r="J648" s="25" t="str">
        <x:f>IF($A648="","",IF(AND($C648="",$E648=""),"",IF($E648="","brak danych",IF($E648=0,0,IF(COUNTIFS($A$10:$A$89,$C648)&lt;&gt;1,"brak danych",IF(COUNTIFS($A$10:$A$89,$C648,$I$10:$I$89,"&lt;&gt;")=0,"brak danych",VLOOKUP($C648,$A$10:$J$89,9,FALSE)*$E648))))))</x:f>
      </x:c>
      <x:c r="K648" s="25" t="str">
        <x:f>IF($A648="","",IF(AND($C648="",$E648=""),"",IF($E648="","brak danych",IF($E648=0,0,IF(COUNTIFS($A$10:$A$89,$C648)&lt;&gt;1,"brak danych",IF(COUNTIFS($A$10:$A$89,$C648,$J$10:$J$89,"&lt;&gt;")=0,"brak danych",VLOOKUP($C648,$A$10:$J$89,10,FALSE)*$E648))))))</x:f>
      </x:c>
      <x:c r="L648" s="24" t="str">
        <x:f>IF($A648="","",IF($F648="","",IF($F648=0,0,IF(COUNTIFS($A$10:$A$89,$C648)&lt;&gt;1,"brak danych",IF(COUNTIFS($A$10:$A$89,$C648,$F$10:$F$89,"&lt;&gt;")=0,"brak danych",VLOOKUP($C648,$A$10:$J$89,6,FALSE)*$F648)))))</x:f>
      </x:c>
      <x:c r="M648" s="25" t="str">
        <x:f>IF($A648="","",IF($F648="","",IF($F648=0,0,IF(COUNTIFS($A$10:$A$89,$C648)&lt;&gt;1,"brak danych",IF(COUNTIFS($A$10:$A$89,$C648,$G$10:$G$89,"&lt;&gt;")=0,"brak danych",VLOOKUP($C648,$A$10:$J$89,7,FALSE)*$F648)))))</x:f>
      </x:c>
      <x:c r="N648" s="25" t="str">
        <x:f>IF($A648="","",IF($F648="","",IF($F648=0,0,IF(COUNTIFS($A$10:$A$89,$C648)&lt;&gt;1,"brak danych",IF(COUNTIFS($A$10:$A$89,$C648,$H$10:$H$89,"&lt;&gt;")=0,"brak danych",VLOOKUP($C648,$A$10:$J$89,8,FALSE)*$F648)))))</x:f>
      </x:c>
      <x:c r="O648" s="25" t="str">
        <x:f>IF($A648="","",IF($F648="","",IF($F648=0,0,IF(COUNTIFS($A$10:$A$89,$C648)&lt;&gt;1,"brak danych",IF(COUNTIFS($A$10:$A$89,$C648,$I$10:$I$89,"&lt;&gt;")=0,"brak danych",VLOOKUP($C648,$A$10:$J$89,9,FALSE)*$F648)))))</x:f>
      </x:c>
      <x:c r="P648" s="25" t="str">
        <x:f>IF($A648="","",IF($F648="","",IF($F648=0,0,IF(COUNTIFS($A$10:$A$89,$C648)&lt;&gt;1,"brak danych",IF(COUNTIFS($A$10:$A$89,$C648,$J$10:$J$89,"&lt;&gt;")=0,"brak danych",VLOOKUP($C648,$A$10:$J$89,10,FALSE)*$F648)))))</x:f>
      </x:c>
      <x:c r="Q648" s="18"/>
    </x:row>
    <x:row r="649" ht="25" customHeight="1">
      <x:c r="A649" s="6"/>
      <x:c r="B649" s="30"/>
      <x:c r="C649" s="5"/>
      <x:c r="D649" s="5"/>
      <x:c r="E649" s="32"/>
      <x:c r="F649" s="32"/>
      <x:c r="G649" s="24" t="str">
        <x:f>IF($A649="","",IF(AND($C649="",$E649=""),"",IF($E649="","brak danych",IF($E649=0,0,IF(COUNTIFS($A$10:$A$89,$C649)&lt;&gt;1,"brak danych",IF(COUNTIFS($A$10:$A$89,$C649,$F$10:$F$89,"&lt;&gt;")=0,"brak danych",VLOOKUP($C649,$A$10:$J$89,6,FALSE)*$E649))))))</x:f>
      </x:c>
      <x:c r="H649" s="25" t="str">
        <x:f>IF($A649="","",IF(AND($C649="",$E649=""),"",IF($E649="","brak danych",IF($E649=0,0,IF(COUNTIFS($A$10:$A$89,$C649)&lt;&gt;1,"brak danych",IF(COUNTIFS($A$10:$A$89,$C649,$G$10:$G$89,"&lt;&gt;")=0,"brak danych",VLOOKUP($C649,$A$10:$J$89,7,FALSE)*$E649))))))</x:f>
      </x:c>
      <x:c r="I649" s="25" t="str">
        <x:f>IF($A649="","",IF(AND($C649="",$E649=""),"",IF($E649="","brak danych",IF($E649=0,0,IF(COUNTIFS($A$10:$A$89,$C649)&lt;&gt;1,"brak danych",IF(COUNTIFS($A$10:$A$89,$C649,$H$10:$H$89,"&lt;&gt;")=0,"brak danych",VLOOKUP($C649,$A$10:$J$89,8,FALSE)*$E649))))))</x:f>
      </x:c>
      <x:c r="J649" s="25" t="str">
        <x:f>IF($A649="","",IF(AND($C649="",$E649=""),"",IF($E649="","brak danych",IF($E649=0,0,IF(COUNTIFS($A$10:$A$89,$C649)&lt;&gt;1,"brak danych",IF(COUNTIFS($A$10:$A$89,$C649,$I$10:$I$89,"&lt;&gt;")=0,"brak danych",VLOOKUP($C649,$A$10:$J$89,9,FALSE)*$E649))))))</x:f>
      </x:c>
      <x:c r="K649" s="25" t="str">
        <x:f>IF($A649="","",IF(AND($C649="",$E649=""),"",IF($E649="","brak danych",IF($E649=0,0,IF(COUNTIFS($A$10:$A$89,$C649)&lt;&gt;1,"brak danych",IF(COUNTIFS($A$10:$A$89,$C649,$J$10:$J$89,"&lt;&gt;")=0,"brak danych",VLOOKUP($C649,$A$10:$J$89,10,FALSE)*$E649))))))</x:f>
      </x:c>
      <x:c r="L649" s="24" t="str">
        <x:f>IF($A649="","",IF($F649="","",IF($F649=0,0,IF(COUNTIFS($A$10:$A$89,$C649)&lt;&gt;1,"brak danych",IF(COUNTIFS($A$10:$A$89,$C649,$F$10:$F$89,"&lt;&gt;")=0,"brak danych",VLOOKUP($C649,$A$10:$J$89,6,FALSE)*$F649)))))</x:f>
      </x:c>
      <x:c r="M649" s="25" t="str">
        <x:f>IF($A649="","",IF($F649="","",IF($F649=0,0,IF(COUNTIFS($A$10:$A$89,$C649)&lt;&gt;1,"brak danych",IF(COUNTIFS($A$10:$A$89,$C649,$G$10:$G$89,"&lt;&gt;")=0,"brak danych",VLOOKUP($C649,$A$10:$J$89,7,FALSE)*$F649)))))</x:f>
      </x:c>
      <x:c r="N649" s="25" t="str">
        <x:f>IF($A649="","",IF($F649="","",IF($F649=0,0,IF(COUNTIFS($A$10:$A$89,$C649)&lt;&gt;1,"brak danych",IF(COUNTIFS($A$10:$A$89,$C649,$H$10:$H$89,"&lt;&gt;")=0,"brak danych",VLOOKUP($C649,$A$10:$J$89,8,FALSE)*$F649)))))</x:f>
      </x:c>
      <x:c r="O649" s="25" t="str">
        <x:f>IF($A649="","",IF($F649="","",IF($F649=0,0,IF(COUNTIFS($A$10:$A$89,$C649)&lt;&gt;1,"brak danych",IF(COUNTIFS($A$10:$A$89,$C649,$I$10:$I$89,"&lt;&gt;")=0,"brak danych",VLOOKUP($C649,$A$10:$J$89,9,FALSE)*$F649)))))</x:f>
      </x:c>
      <x:c r="P649" s="25" t="str">
        <x:f>IF($A649="","",IF($F649="","",IF($F649=0,0,IF(COUNTIFS($A$10:$A$89,$C649)&lt;&gt;1,"brak danych",IF(COUNTIFS($A$10:$A$89,$C649,$J$10:$J$89,"&lt;&gt;")=0,"brak danych",VLOOKUP($C649,$A$10:$J$89,10,FALSE)*$F649)))))</x:f>
      </x:c>
      <x:c r="Q649" s="18"/>
    </x:row>
    <x:row r="650" ht="25" customHeight="1">
      <x:c r="A650" s="6"/>
      <x:c r="B650" s="30"/>
      <x:c r="C650" s="5"/>
      <x:c r="D650" s="5"/>
      <x:c r="E650" s="32"/>
      <x:c r="F650" s="32"/>
      <x:c r="G650" s="24" t="str">
        <x:f>IF($A650="","",IF(AND($C650="",$E650=""),"",IF($E650="","brak danych",IF($E650=0,0,IF(COUNTIFS($A$10:$A$89,$C650)&lt;&gt;1,"brak danych",IF(COUNTIFS($A$10:$A$89,$C650,$F$10:$F$89,"&lt;&gt;")=0,"brak danych",VLOOKUP($C650,$A$10:$J$89,6,FALSE)*$E650))))))</x:f>
      </x:c>
      <x:c r="H650" s="25" t="str">
        <x:f>IF($A650="","",IF(AND($C650="",$E650=""),"",IF($E650="","brak danych",IF($E650=0,0,IF(COUNTIFS($A$10:$A$89,$C650)&lt;&gt;1,"brak danych",IF(COUNTIFS($A$10:$A$89,$C650,$G$10:$G$89,"&lt;&gt;")=0,"brak danych",VLOOKUP($C650,$A$10:$J$89,7,FALSE)*$E650))))))</x:f>
      </x:c>
      <x:c r="I650" s="25" t="str">
        <x:f>IF($A650="","",IF(AND($C650="",$E650=""),"",IF($E650="","brak danych",IF($E650=0,0,IF(COUNTIFS($A$10:$A$89,$C650)&lt;&gt;1,"brak danych",IF(COUNTIFS($A$10:$A$89,$C650,$H$10:$H$89,"&lt;&gt;")=0,"brak danych",VLOOKUP($C650,$A$10:$J$89,8,FALSE)*$E650))))))</x:f>
      </x:c>
      <x:c r="J650" s="25" t="str">
        <x:f>IF($A650="","",IF(AND($C650="",$E650=""),"",IF($E650="","brak danych",IF($E650=0,0,IF(COUNTIFS($A$10:$A$89,$C650)&lt;&gt;1,"brak danych",IF(COUNTIFS($A$10:$A$89,$C650,$I$10:$I$89,"&lt;&gt;")=0,"brak danych",VLOOKUP($C650,$A$10:$J$89,9,FALSE)*$E650))))))</x:f>
      </x:c>
      <x:c r="K650" s="25" t="str">
        <x:f>IF($A650="","",IF(AND($C650="",$E650=""),"",IF($E650="","brak danych",IF($E650=0,0,IF(COUNTIFS($A$10:$A$89,$C650)&lt;&gt;1,"brak danych",IF(COUNTIFS($A$10:$A$89,$C650,$J$10:$J$89,"&lt;&gt;")=0,"brak danych",VLOOKUP($C650,$A$10:$J$89,10,FALSE)*$E650))))))</x:f>
      </x:c>
      <x:c r="L650" s="24" t="str">
        <x:f>IF($A650="","",IF($F650="","",IF($F650=0,0,IF(COUNTIFS($A$10:$A$89,$C650)&lt;&gt;1,"brak danych",IF(COUNTIFS($A$10:$A$89,$C650,$F$10:$F$89,"&lt;&gt;")=0,"brak danych",VLOOKUP($C650,$A$10:$J$89,6,FALSE)*$F650)))))</x:f>
      </x:c>
      <x:c r="M650" s="25" t="str">
        <x:f>IF($A650="","",IF($F650="","",IF($F650=0,0,IF(COUNTIFS($A$10:$A$89,$C650)&lt;&gt;1,"brak danych",IF(COUNTIFS($A$10:$A$89,$C650,$G$10:$G$89,"&lt;&gt;")=0,"brak danych",VLOOKUP($C650,$A$10:$J$89,7,FALSE)*$F650)))))</x:f>
      </x:c>
      <x:c r="N650" s="25" t="str">
        <x:f>IF($A650="","",IF($F650="","",IF($F650=0,0,IF(COUNTIFS($A$10:$A$89,$C650)&lt;&gt;1,"brak danych",IF(COUNTIFS($A$10:$A$89,$C650,$H$10:$H$89,"&lt;&gt;")=0,"brak danych",VLOOKUP($C650,$A$10:$J$89,8,FALSE)*$F650)))))</x:f>
      </x:c>
      <x:c r="O650" s="25" t="str">
        <x:f>IF($A650="","",IF($F650="","",IF($F650=0,0,IF(COUNTIFS($A$10:$A$89,$C650)&lt;&gt;1,"brak danych",IF(COUNTIFS($A$10:$A$89,$C650,$I$10:$I$89,"&lt;&gt;")=0,"brak danych",VLOOKUP($C650,$A$10:$J$89,9,FALSE)*$F650)))))</x:f>
      </x:c>
      <x:c r="P650" s="25" t="str">
        <x:f>IF($A650="","",IF($F650="","",IF($F650=0,0,IF(COUNTIFS($A$10:$A$89,$C650)&lt;&gt;1,"brak danych",IF(COUNTIFS($A$10:$A$89,$C650,$J$10:$J$89,"&lt;&gt;")=0,"brak danych",VLOOKUP($C650,$A$10:$J$89,10,FALSE)*$F650)))))</x:f>
      </x:c>
      <x:c r="Q650" s="18"/>
    </x:row>
    <x:row r="651" ht="25" customHeight="1">
      <x:c r="A651" s="6"/>
      <x:c r="B651" s="30"/>
      <x:c r="C651" s="5"/>
      <x:c r="D651" s="5"/>
      <x:c r="E651" s="32"/>
      <x:c r="F651" s="32"/>
      <x:c r="G651" s="24" t="str">
        <x:f>IF($A651="","",IF(AND($C651="",$E651=""),"",IF($E651="","brak danych",IF($E651=0,0,IF(COUNTIFS($A$10:$A$89,$C651)&lt;&gt;1,"brak danych",IF(COUNTIFS($A$10:$A$89,$C651,$F$10:$F$89,"&lt;&gt;")=0,"brak danych",VLOOKUP($C651,$A$10:$J$89,6,FALSE)*$E651))))))</x:f>
      </x:c>
      <x:c r="H651" s="25" t="str">
        <x:f>IF($A651="","",IF(AND($C651="",$E651=""),"",IF($E651="","brak danych",IF($E651=0,0,IF(COUNTIFS($A$10:$A$89,$C651)&lt;&gt;1,"brak danych",IF(COUNTIFS($A$10:$A$89,$C651,$G$10:$G$89,"&lt;&gt;")=0,"brak danych",VLOOKUP($C651,$A$10:$J$89,7,FALSE)*$E651))))))</x:f>
      </x:c>
      <x:c r="I651" s="25" t="str">
        <x:f>IF($A651="","",IF(AND($C651="",$E651=""),"",IF($E651="","brak danych",IF($E651=0,0,IF(COUNTIFS($A$10:$A$89,$C651)&lt;&gt;1,"brak danych",IF(COUNTIFS($A$10:$A$89,$C651,$H$10:$H$89,"&lt;&gt;")=0,"brak danych",VLOOKUP($C651,$A$10:$J$89,8,FALSE)*$E651))))))</x:f>
      </x:c>
      <x:c r="J651" s="25" t="str">
        <x:f>IF($A651="","",IF(AND($C651="",$E651=""),"",IF($E651="","brak danych",IF($E651=0,0,IF(COUNTIFS($A$10:$A$89,$C651)&lt;&gt;1,"brak danych",IF(COUNTIFS($A$10:$A$89,$C651,$I$10:$I$89,"&lt;&gt;")=0,"brak danych",VLOOKUP($C651,$A$10:$J$89,9,FALSE)*$E651))))))</x:f>
      </x:c>
      <x:c r="K651" s="25" t="str">
        <x:f>IF($A651="","",IF(AND($C651="",$E651=""),"",IF($E651="","brak danych",IF($E651=0,0,IF(COUNTIFS($A$10:$A$89,$C651)&lt;&gt;1,"brak danych",IF(COUNTIFS($A$10:$A$89,$C651,$J$10:$J$89,"&lt;&gt;")=0,"brak danych",VLOOKUP($C651,$A$10:$J$89,10,FALSE)*$E651))))))</x:f>
      </x:c>
      <x:c r="L651" s="24" t="str">
        <x:f>IF($A651="","",IF($F651="","",IF($F651=0,0,IF(COUNTIFS($A$10:$A$89,$C651)&lt;&gt;1,"brak danych",IF(COUNTIFS($A$10:$A$89,$C651,$F$10:$F$89,"&lt;&gt;")=0,"brak danych",VLOOKUP($C651,$A$10:$J$89,6,FALSE)*$F651)))))</x:f>
      </x:c>
      <x:c r="M651" s="25" t="str">
        <x:f>IF($A651="","",IF($F651="","",IF($F651=0,0,IF(COUNTIFS($A$10:$A$89,$C651)&lt;&gt;1,"brak danych",IF(COUNTIFS($A$10:$A$89,$C651,$G$10:$G$89,"&lt;&gt;")=0,"brak danych",VLOOKUP($C651,$A$10:$J$89,7,FALSE)*$F651)))))</x:f>
      </x:c>
      <x:c r="N651" s="25" t="str">
        <x:f>IF($A651="","",IF($F651="","",IF($F651=0,0,IF(COUNTIFS($A$10:$A$89,$C651)&lt;&gt;1,"brak danych",IF(COUNTIFS($A$10:$A$89,$C651,$H$10:$H$89,"&lt;&gt;")=0,"brak danych",VLOOKUP($C651,$A$10:$J$89,8,FALSE)*$F651)))))</x:f>
      </x:c>
      <x:c r="O651" s="25" t="str">
        <x:f>IF($A651="","",IF($F651="","",IF($F651=0,0,IF(COUNTIFS($A$10:$A$89,$C651)&lt;&gt;1,"brak danych",IF(COUNTIFS($A$10:$A$89,$C651,$I$10:$I$89,"&lt;&gt;")=0,"brak danych",VLOOKUP($C651,$A$10:$J$89,9,FALSE)*$F651)))))</x:f>
      </x:c>
      <x:c r="P651" s="25" t="str">
        <x:f>IF($A651="","",IF($F651="","",IF($F651=0,0,IF(COUNTIFS($A$10:$A$89,$C651)&lt;&gt;1,"brak danych",IF(COUNTIFS($A$10:$A$89,$C651,$J$10:$J$89,"&lt;&gt;")=0,"brak danych",VLOOKUP($C651,$A$10:$J$89,10,FALSE)*$F651)))))</x:f>
      </x:c>
      <x:c r="Q651" s="18"/>
    </x:row>
    <x:row r="652" ht="25" customHeight="1">
      <x:c r="A652" s="6"/>
      <x:c r="B652" s="30"/>
      <x:c r="C652" s="5"/>
      <x:c r="D652" s="5"/>
      <x:c r="E652" s="32"/>
      <x:c r="F652" s="32"/>
      <x:c r="G652" s="24" t="str">
        <x:f>IF($A652="","",IF(AND($C652="",$E652=""),"",IF($E652="","brak danych",IF($E652=0,0,IF(COUNTIFS($A$10:$A$89,$C652)&lt;&gt;1,"brak danych",IF(COUNTIFS($A$10:$A$89,$C652,$F$10:$F$89,"&lt;&gt;")=0,"brak danych",VLOOKUP($C652,$A$10:$J$89,6,FALSE)*$E652))))))</x:f>
      </x:c>
      <x:c r="H652" s="25" t="str">
        <x:f>IF($A652="","",IF(AND($C652="",$E652=""),"",IF($E652="","brak danych",IF($E652=0,0,IF(COUNTIFS($A$10:$A$89,$C652)&lt;&gt;1,"brak danych",IF(COUNTIFS($A$10:$A$89,$C652,$G$10:$G$89,"&lt;&gt;")=0,"brak danych",VLOOKUP($C652,$A$10:$J$89,7,FALSE)*$E652))))))</x:f>
      </x:c>
      <x:c r="I652" s="25" t="str">
        <x:f>IF($A652="","",IF(AND($C652="",$E652=""),"",IF($E652="","brak danych",IF($E652=0,0,IF(COUNTIFS($A$10:$A$89,$C652)&lt;&gt;1,"brak danych",IF(COUNTIFS($A$10:$A$89,$C652,$H$10:$H$89,"&lt;&gt;")=0,"brak danych",VLOOKUP($C652,$A$10:$J$89,8,FALSE)*$E652))))))</x:f>
      </x:c>
      <x:c r="J652" s="25" t="str">
        <x:f>IF($A652="","",IF(AND($C652="",$E652=""),"",IF($E652="","brak danych",IF($E652=0,0,IF(COUNTIFS($A$10:$A$89,$C652)&lt;&gt;1,"brak danych",IF(COUNTIFS($A$10:$A$89,$C652,$I$10:$I$89,"&lt;&gt;")=0,"brak danych",VLOOKUP($C652,$A$10:$J$89,9,FALSE)*$E652))))))</x:f>
      </x:c>
      <x:c r="K652" s="25" t="str">
        <x:f>IF($A652="","",IF(AND($C652="",$E652=""),"",IF($E652="","brak danych",IF($E652=0,0,IF(COUNTIFS($A$10:$A$89,$C652)&lt;&gt;1,"brak danych",IF(COUNTIFS($A$10:$A$89,$C652,$J$10:$J$89,"&lt;&gt;")=0,"brak danych",VLOOKUP($C652,$A$10:$J$89,10,FALSE)*$E652))))))</x:f>
      </x:c>
      <x:c r="L652" s="24" t="str">
        <x:f>IF($A652="","",IF($F652="","",IF($F652=0,0,IF(COUNTIFS($A$10:$A$89,$C652)&lt;&gt;1,"brak danych",IF(COUNTIFS($A$10:$A$89,$C652,$F$10:$F$89,"&lt;&gt;")=0,"brak danych",VLOOKUP($C652,$A$10:$J$89,6,FALSE)*$F652)))))</x:f>
      </x:c>
      <x:c r="M652" s="25" t="str">
        <x:f>IF($A652="","",IF($F652="","",IF($F652=0,0,IF(COUNTIFS($A$10:$A$89,$C652)&lt;&gt;1,"brak danych",IF(COUNTIFS($A$10:$A$89,$C652,$G$10:$G$89,"&lt;&gt;")=0,"brak danych",VLOOKUP($C652,$A$10:$J$89,7,FALSE)*$F652)))))</x:f>
      </x:c>
      <x:c r="N652" s="25" t="str">
        <x:f>IF($A652="","",IF($F652="","",IF($F652=0,0,IF(COUNTIFS($A$10:$A$89,$C652)&lt;&gt;1,"brak danych",IF(COUNTIFS($A$10:$A$89,$C652,$H$10:$H$89,"&lt;&gt;")=0,"brak danych",VLOOKUP($C652,$A$10:$J$89,8,FALSE)*$F652)))))</x:f>
      </x:c>
      <x:c r="O652" s="25" t="str">
        <x:f>IF($A652="","",IF($F652="","",IF($F652=0,0,IF(COUNTIFS($A$10:$A$89,$C652)&lt;&gt;1,"brak danych",IF(COUNTIFS($A$10:$A$89,$C652,$I$10:$I$89,"&lt;&gt;")=0,"brak danych",VLOOKUP($C652,$A$10:$J$89,9,FALSE)*$F652)))))</x:f>
      </x:c>
      <x:c r="P652" s="25" t="str">
        <x:f>IF($A652="","",IF($F652="","",IF($F652=0,0,IF(COUNTIFS($A$10:$A$89,$C652)&lt;&gt;1,"brak danych",IF(COUNTIFS($A$10:$A$89,$C652,$J$10:$J$89,"&lt;&gt;")=0,"brak danych",VLOOKUP($C652,$A$10:$J$89,10,FALSE)*$F652)))))</x:f>
      </x:c>
      <x:c r="Q652" s="18"/>
    </x:row>
    <x:row r="653" ht="25" customHeight="1">
      <x:c r="A653" s="6"/>
      <x:c r="B653" s="30"/>
      <x:c r="C653" s="5"/>
      <x:c r="D653" s="5"/>
      <x:c r="E653" s="32"/>
      <x:c r="F653" s="32"/>
      <x:c r="G653" s="24" t="str">
        <x:f>IF($A653="","",IF(AND($C653="",$E653=""),"",IF($E653="","brak danych",IF($E653=0,0,IF(COUNTIFS($A$10:$A$89,$C653)&lt;&gt;1,"brak danych",IF(COUNTIFS($A$10:$A$89,$C653,$F$10:$F$89,"&lt;&gt;")=0,"brak danych",VLOOKUP($C653,$A$10:$J$89,6,FALSE)*$E653))))))</x:f>
      </x:c>
      <x:c r="H653" s="25" t="str">
        <x:f>IF($A653="","",IF(AND($C653="",$E653=""),"",IF($E653="","brak danych",IF($E653=0,0,IF(COUNTIFS($A$10:$A$89,$C653)&lt;&gt;1,"brak danych",IF(COUNTIFS($A$10:$A$89,$C653,$G$10:$G$89,"&lt;&gt;")=0,"brak danych",VLOOKUP($C653,$A$10:$J$89,7,FALSE)*$E653))))))</x:f>
      </x:c>
      <x:c r="I653" s="25" t="str">
        <x:f>IF($A653="","",IF(AND($C653="",$E653=""),"",IF($E653="","brak danych",IF($E653=0,0,IF(COUNTIFS($A$10:$A$89,$C653)&lt;&gt;1,"brak danych",IF(COUNTIFS($A$10:$A$89,$C653,$H$10:$H$89,"&lt;&gt;")=0,"brak danych",VLOOKUP($C653,$A$10:$J$89,8,FALSE)*$E653))))))</x:f>
      </x:c>
      <x:c r="J653" s="25" t="str">
        <x:f>IF($A653="","",IF(AND($C653="",$E653=""),"",IF($E653="","brak danych",IF($E653=0,0,IF(COUNTIFS($A$10:$A$89,$C653)&lt;&gt;1,"brak danych",IF(COUNTIFS($A$10:$A$89,$C653,$I$10:$I$89,"&lt;&gt;")=0,"brak danych",VLOOKUP($C653,$A$10:$J$89,9,FALSE)*$E653))))))</x:f>
      </x:c>
      <x:c r="K653" s="25" t="str">
        <x:f>IF($A653="","",IF(AND($C653="",$E653=""),"",IF($E653="","brak danych",IF($E653=0,0,IF(COUNTIFS($A$10:$A$89,$C653)&lt;&gt;1,"brak danych",IF(COUNTIFS($A$10:$A$89,$C653,$J$10:$J$89,"&lt;&gt;")=0,"brak danych",VLOOKUP($C653,$A$10:$J$89,10,FALSE)*$E653))))))</x:f>
      </x:c>
      <x:c r="L653" s="24" t="str">
        <x:f>IF($A653="","",IF($F653="","",IF($F653=0,0,IF(COUNTIFS($A$10:$A$89,$C653)&lt;&gt;1,"brak danych",IF(COUNTIFS($A$10:$A$89,$C653,$F$10:$F$89,"&lt;&gt;")=0,"brak danych",VLOOKUP($C653,$A$10:$J$89,6,FALSE)*$F653)))))</x:f>
      </x:c>
      <x:c r="M653" s="25" t="str">
        <x:f>IF($A653="","",IF($F653="","",IF($F653=0,0,IF(COUNTIFS($A$10:$A$89,$C653)&lt;&gt;1,"brak danych",IF(COUNTIFS($A$10:$A$89,$C653,$G$10:$G$89,"&lt;&gt;")=0,"brak danych",VLOOKUP($C653,$A$10:$J$89,7,FALSE)*$F653)))))</x:f>
      </x:c>
      <x:c r="N653" s="25" t="str">
        <x:f>IF($A653="","",IF($F653="","",IF($F653=0,0,IF(COUNTIFS($A$10:$A$89,$C653)&lt;&gt;1,"brak danych",IF(COUNTIFS($A$10:$A$89,$C653,$H$10:$H$89,"&lt;&gt;")=0,"brak danych",VLOOKUP($C653,$A$10:$J$89,8,FALSE)*$F653)))))</x:f>
      </x:c>
      <x:c r="O653" s="25" t="str">
        <x:f>IF($A653="","",IF($F653="","",IF($F653=0,0,IF(COUNTIFS($A$10:$A$89,$C653)&lt;&gt;1,"brak danych",IF(COUNTIFS($A$10:$A$89,$C653,$I$10:$I$89,"&lt;&gt;")=0,"brak danych",VLOOKUP($C653,$A$10:$J$89,9,FALSE)*$F653)))))</x:f>
      </x:c>
      <x:c r="P653" s="25" t="str">
        <x:f>IF($A653="","",IF($F653="","",IF($F653=0,0,IF(COUNTIFS($A$10:$A$89,$C653)&lt;&gt;1,"brak danych",IF(COUNTIFS($A$10:$A$89,$C653,$J$10:$J$89,"&lt;&gt;")=0,"brak danych",VLOOKUP($C653,$A$10:$J$89,10,FALSE)*$F653)))))</x:f>
      </x:c>
      <x:c r="Q653" s="18"/>
    </x:row>
    <x:row r="654" ht="25" customHeight="1">
      <x:c r="A654" s="6"/>
      <x:c r="B654" s="30"/>
      <x:c r="C654" s="5"/>
      <x:c r="D654" s="5"/>
      <x:c r="E654" s="32"/>
      <x:c r="F654" s="32"/>
      <x:c r="G654" s="24" t="str">
        <x:f>IF($A654="","",IF(AND($C654="",$E654=""),"",IF($E654="","brak danych",IF($E654=0,0,IF(COUNTIFS($A$10:$A$89,$C654)&lt;&gt;1,"brak danych",IF(COUNTIFS($A$10:$A$89,$C654,$F$10:$F$89,"&lt;&gt;")=0,"brak danych",VLOOKUP($C654,$A$10:$J$89,6,FALSE)*$E654))))))</x:f>
      </x:c>
      <x:c r="H654" s="25" t="str">
        <x:f>IF($A654="","",IF(AND($C654="",$E654=""),"",IF($E654="","brak danych",IF($E654=0,0,IF(COUNTIFS($A$10:$A$89,$C654)&lt;&gt;1,"brak danych",IF(COUNTIFS($A$10:$A$89,$C654,$G$10:$G$89,"&lt;&gt;")=0,"brak danych",VLOOKUP($C654,$A$10:$J$89,7,FALSE)*$E654))))))</x:f>
      </x:c>
      <x:c r="I654" s="25" t="str">
        <x:f>IF($A654="","",IF(AND($C654="",$E654=""),"",IF($E654="","brak danych",IF($E654=0,0,IF(COUNTIFS($A$10:$A$89,$C654)&lt;&gt;1,"brak danych",IF(COUNTIFS($A$10:$A$89,$C654,$H$10:$H$89,"&lt;&gt;")=0,"brak danych",VLOOKUP($C654,$A$10:$J$89,8,FALSE)*$E654))))))</x:f>
      </x:c>
      <x:c r="J654" s="25" t="str">
        <x:f>IF($A654="","",IF(AND($C654="",$E654=""),"",IF($E654="","brak danych",IF($E654=0,0,IF(COUNTIFS($A$10:$A$89,$C654)&lt;&gt;1,"brak danych",IF(COUNTIFS($A$10:$A$89,$C654,$I$10:$I$89,"&lt;&gt;")=0,"brak danych",VLOOKUP($C654,$A$10:$J$89,9,FALSE)*$E654))))))</x:f>
      </x:c>
      <x:c r="K654" s="25" t="str">
        <x:f>IF($A654="","",IF(AND($C654="",$E654=""),"",IF($E654="","brak danych",IF($E654=0,0,IF(COUNTIFS($A$10:$A$89,$C654)&lt;&gt;1,"brak danych",IF(COUNTIFS($A$10:$A$89,$C654,$J$10:$J$89,"&lt;&gt;")=0,"brak danych",VLOOKUP($C654,$A$10:$J$89,10,FALSE)*$E654))))))</x:f>
      </x:c>
      <x:c r="L654" s="24" t="str">
        <x:f>IF($A654="","",IF($F654="","",IF($F654=0,0,IF(COUNTIFS($A$10:$A$89,$C654)&lt;&gt;1,"brak danych",IF(COUNTIFS($A$10:$A$89,$C654,$F$10:$F$89,"&lt;&gt;")=0,"brak danych",VLOOKUP($C654,$A$10:$J$89,6,FALSE)*$F654)))))</x:f>
      </x:c>
      <x:c r="M654" s="25" t="str">
        <x:f>IF($A654="","",IF($F654="","",IF($F654=0,0,IF(COUNTIFS($A$10:$A$89,$C654)&lt;&gt;1,"brak danych",IF(COUNTIFS($A$10:$A$89,$C654,$G$10:$G$89,"&lt;&gt;")=0,"brak danych",VLOOKUP($C654,$A$10:$J$89,7,FALSE)*$F654)))))</x:f>
      </x:c>
      <x:c r="N654" s="25" t="str">
        <x:f>IF($A654="","",IF($F654="","",IF($F654=0,0,IF(COUNTIFS($A$10:$A$89,$C654)&lt;&gt;1,"brak danych",IF(COUNTIFS($A$10:$A$89,$C654,$H$10:$H$89,"&lt;&gt;")=0,"brak danych",VLOOKUP($C654,$A$10:$J$89,8,FALSE)*$F654)))))</x:f>
      </x:c>
      <x:c r="O654" s="25" t="str">
        <x:f>IF($A654="","",IF($F654="","",IF($F654=0,0,IF(COUNTIFS($A$10:$A$89,$C654)&lt;&gt;1,"brak danych",IF(COUNTIFS($A$10:$A$89,$C654,$I$10:$I$89,"&lt;&gt;")=0,"brak danych",VLOOKUP($C654,$A$10:$J$89,9,FALSE)*$F654)))))</x:f>
      </x:c>
      <x:c r="P654" s="25" t="str">
        <x:f>IF($A654="","",IF($F654="","",IF($F654=0,0,IF(COUNTIFS($A$10:$A$89,$C654)&lt;&gt;1,"brak danych",IF(COUNTIFS($A$10:$A$89,$C654,$J$10:$J$89,"&lt;&gt;")=0,"brak danych",VLOOKUP($C654,$A$10:$J$89,10,FALSE)*$F654)))))</x:f>
      </x:c>
      <x:c r="Q654" s="18"/>
    </x:row>
    <x:row r="655" ht="25" customHeight="1">
      <x:c r="A655" s="6"/>
      <x:c r="B655" s="30"/>
      <x:c r="C655" s="5"/>
      <x:c r="D655" s="5"/>
      <x:c r="E655" s="32"/>
      <x:c r="F655" s="32"/>
      <x:c r="G655" s="24" t="str">
        <x:f>IF($A655="","",IF(AND($C655="",$E655=""),"",IF($E655="","brak danych",IF($E655=0,0,IF(COUNTIFS($A$10:$A$89,$C655)&lt;&gt;1,"brak danych",IF(COUNTIFS($A$10:$A$89,$C655,$F$10:$F$89,"&lt;&gt;")=0,"brak danych",VLOOKUP($C655,$A$10:$J$89,6,FALSE)*$E655))))))</x:f>
      </x:c>
      <x:c r="H655" s="25" t="str">
        <x:f>IF($A655="","",IF(AND($C655="",$E655=""),"",IF($E655="","brak danych",IF($E655=0,0,IF(COUNTIFS($A$10:$A$89,$C655)&lt;&gt;1,"brak danych",IF(COUNTIFS($A$10:$A$89,$C655,$G$10:$G$89,"&lt;&gt;")=0,"brak danych",VLOOKUP($C655,$A$10:$J$89,7,FALSE)*$E655))))))</x:f>
      </x:c>
      <x:c r="I655" s="25" t="str">
        <x:f>IF($A655="","",IF(AND($C655="",$E655=""),"",IF($E655="","brak danych",IF($E655=0,0,IF(COUNTIFS($A$10:$A$89,$C655)&lt;&gt;1,"brak danych",IF(COUNTIFS($A$10:$A$89,$C655,$H$10:$H$89,"&lt;&gt;")=0,"brak danych",VLOOKUP($C655,$A$10:$J$89,8,FALSE)*$E655))))))</x:f>
      </x:c>
      <x:c r="J655" s="25" t="str">
        <x:f>IF($A655="","",IF(AND($C655="",$E655=""),"",IF($E655="","brak danych",IF($E655=0,0,IF(COUNTIFS($A$10:$A$89,$C655)&lt;&gt;1,"brak danych",IF(COUNTIFS($A$10:$A$89,$C655,$I$10:$I$89,"&lt;&gt;")=0,"brak danych",VLOOKUP($C655,$A$10:$J$89,9,FALSE)*$E655))))))</x:f>
      </x:c>
      <x:c r="K655" s="25" t="str">
        <x:f>IF($A655="","",IF(AND($C655="",$E655=""),"",IF($E655="","brak danych",IF($E655=0,0,IF(COUNTIFS($A$10:$A$89,$C655)&lt;&gt;1,"brak danych",IF(COUNTIFS($A$10:$A$89,$C655,$J$10:$J$89,"&lt;&gt;")=0,"brak danych",VLOOKUP($C655,$A$10:$J$89,10,FALSE)*$E655))))))</x:f>
      </x:c>
      <x:c r="L655" s="24" t="str">
        <x:f>IF($A655="","",IF($F655="","",IF($F655=0,0,IF(COUNTIFS($A$10:$A$89,$C655)&lt;&gt;1,"brak danych",IF(COUNTIFS($A$10:$A$89,$C655,$F$10:$F$89,"&lt;&gt;")=0,"brak danych",VLOOKUP($C655,$A$10:$J$89,6,FALSE)*$F655)))))</x:f>
      </x:c>
      <x:c r="M655" s="25" t="str">
        <x:f>IF($A655="","",IF($F655="","",IF($F655=0,0,IF(COUNTIFS($A$10:$A$89,$C655)&lt;&gt;1,"brak danych",IF(COUNTIFS($A$10:$A$89,$C655,$G$10:$G$89,"&lt;&gt;")=0,"brak danych",VLOOKUP($C655,$A$10:$J$89,7,FALSE)*$F655)))))</x:f>
      </x:c>
      <x:c r="N655" s="25" t="str">
        <x:f>IF($A655="","",IF($F655="","",IF($F655=0,0,IF(COUNTIFS($A$10:$A$89,$C655)&lt;&gt;1,"brak danych",IF(COUNTIFS($A$10:$A$89,$C655,$H$10:$H$89,"&lt;&gt;")=0,"brak danych",VLOOKUP($C655,$A$10:$J$89,8,FALSE)*$F655)))))</x:f>
      </x:c>
      <x:c r="O655" s="25" t="str">
        <x:f>IF($A655="","",IF($F655="","",IF($F655=0,0,IF(COUNTIFS($A$10:$A$89,$C655)&lt;&gt;1,"brak danych",IF(COUNTIFS($A$10:$A$89,$C655,$I$10:$I$89,"&lt;&gt;")=0,"brak danych",VLOOKUP($C655,$A$10:$J$89,9,FALSE)*$F655)))))</x:f>
      </x:c>
      <x:c r="P655" s="25" t="str">
        <x:f>IF($A655="","",IF($F655="","",IF($F655=0,0,IF(COUNTIFS($A$10:$A$89,$C655)&lt;&gt;1,"brak danych",IF(COUNTIFS($A$10:$A$89,$C655,$J$10:$J$89,"&lt;&gt;")=0,"brak danych",VLOOKUP($C655,$A$10:$J$89,10,FALSE)*$F655)))))</x:f>
      </x:c>
      <x:c r="Q655" s="18"/>
    </x:row>
    <x:row r="656" ht="25" customHeight="1">
      <x:c r="A656" s="6"/>
      <x:c r="B656" s="30"/>
      <x:c r="C656" s="5"/>
      <x:c r="D656" s="5"/>
      <x:c r="E656" s="32"/>
      <x:c r="F656" s="32"/>
      <x:c r="G656" s="24" t="str">
        <x:f>IF($A656="","",IF(AND($C656="",$E656=""),"",IF($E656="","brak danych",IF($E656=0,0,IF(COUNTIFS($A$10:$A$89,$C656)&lt;&gt;1,"brak danych",IF(COUNTIFS($A$10:$A$89,$C656,$F$10:$F$89,"&lt;&gt;")=0,"brak danych",VLOOKUP($C656,$A$10:$J$89,6,FALSE)*$E656))))))</x:f>
      </x:c>
      <x:c r="H656" s="25" t="str">
        <x:f>IF($A656="","",IF(AND($C656="",$E656=""),"",IF($E656="","brak danych",IF($E656=0,0,IF(COUNTIFS($A$10:$A$89,$C656)&lt;&gt;1,"brak danych",IF(COUNTIFS($A$10:$A$89,$C656,$G$10:$G$89,"&lt;&gt;")=0,"brak danych",VLOOKUP($C656,$A$10:$J$89,7,FALSE)*$E656))))))</x:f>
      </x:c>
      <x:c r="I656" s="25" t="str">
        <x:f>IF($A656="","",IF(AND($C656="",$E656=""),"",IF($E656="","brak danych",IF($E656=0,0,IF(COUNTIFS($A$10:$A$89,$C656)&lt;&gt;1,"brak danych",IF(COUNTIFS($A$10:$A$89,$C656,$H$10:$H$89,"&lt;&gt;")=0,"brak danych",VLOOKUP($C656,$A$10:$J$89,8,FALSE)*$E656))))))</x:f>
      </x:c>
      <x:c r="J656" s="25" t="str">
        <x:f>IF($A656="","",IF(AND($C656="",$E656=""),"",IF($E656="","brak danych",IF($E656=0,0,IF(COUNTIFS($A$10:$A$89,$C656)&lt;&gt;1,"brak danych",IF(COUNTIFS($A$10:$A$89,$C656,$I$10:$I$89,"&lt;&gt;")=0,"brak danych",VLOOKUP($C656,$A$10:$J$89,9,FALSE)*$E656))))))</x:f>
      </x:c>
      <x:c r="K656" s="25" t="str">
        <x:f>IF($A656="","",IF(AND($C656="",$E656=""),"",IF($E656="","brak danych",IF($E656=0,0,IF(COUNTIFS($A$10:$A$89,$C656)&lt;&gt;1,"brak danych",IF(COUNTIFS($A$10:$A$89,$C656,$J$10:$J$89,"&lt;&gt;")=0,"brak danych",VLOOKUP($C656,$A$10:$J$89,10,FALSE)*$E656))))))</x:f>
      </x:c>
      <x:c r="L656" s="24" t="str">
        <x:f>IF($A656="","",IF($F656="","",IF($F656=0,0,IF(COUNTIFS($A$10:$A$89,$C656)&lt;&gt;1,"brak danych",IF(COUNTIFS($A$10:$A$89,$C656,$F$10:$F$89,"&lt;&gt;")=0,"brak danych",VLOOKUP($C656,$A$10:$J$89,6,FALSE)*$F656)))))</x:f>
      </x:c>
      <x:c r="M656" s="25" t="str">
        <x:f>IF($A656="","",IF($F656="","",IF($F656=0,0,IF(COUNTIFS($A$10:$A$89,$C656)&lt;&gt;1,"brak danych",IF(COUNTIFS($A$10:$A$89,$C656,$G$10:$G$89,"&lt;&gt;")=0,"brak danych",VLOOKUP($C656,$A$10:$J$89,7,FALSE)*$F656)))))</x:f>
      </x:c>
      <x:c r="N656" s="25" t="str">
        <x:f>IF($A656="","",IF($F656="","",IF($F656=0,0,IF(COUNTIFS($A$10:$A$89,$C656)&lt;&gt;1,"brak danych",IF(COUNTIFS($A$10:$A$89,$C656,$H$10:$H$89,"&lt;&gt;")=0,"brak danych",VLOOKUP($C656,$A$10:$J$89,8,FALSE)*$F656)))))</x:f>
      </x:c>
      <x:c r="O656" s="25" t="str">
        <x:f>IF($A656="","",IF($F656="","",IF($F656=0,0,IF(COUNTIFS($A$10:$A$89,$C656)&lt;&gt;1,"brak danych",IF(COUNTIFS($A$10:$A$89,$C656,$I$10:$I$89,"&lt;&gt;")=0,"brak danych",VLOOKUP($C656,$A$10:$J$89,9,FALSE)*$F656)))))</x:f>
      </x:c>
      <x:c r="P656" s="25" t="str">
        <x:f>IF($A656="","",IF($F656="","",IF($F656=0,0,IF(COUNTIFS($A$10:$A$89,$C656)&lt;&gt;1,"brak danych",IF(COUNTIFS($A$10:$A$89,$C656,$J$10:$J$89,"&lt;&gt;")=0,"brak danych",VLOOKUP($C656,$A$10:$J$89,10,FALSE)*$F656)))))</x:f>
      </x:c>
      <x:c r="Q656" s="18"/>
    </x:row>
    <x:row r="657" ht="25" customHeight="1">
      <x:c r="A657" s="6"/>
      <x:c r="B657" s="30"/>
      <x:c r="C657" s="5"/>
      <x:c r="D657" s="5"/>
      <x:c r="E657" s="32"/>
      <x:c r="F657" s="32"/>
      <x:c r="G657" s="24" t="str">
        <x:f>IF($A657="","",IF(AND($C657="",$E657=""),"",IF($E657="","brak danych",IF($E657=0,0,IF(COUNTIFS($A$10:$A$89,$C657)&lt;&gt;1,"brak danych",IF(COUNTIFS($A$10:$A$89,$C657,$F$10:$F$89,"&lt;&gt;")=0,"brak danych",VLOOKUP($C657,$A$10:$J$89,6,FALSE)*$E657))))))</x:f>
      </x:c>
      <x:c r="H657" s="25" t="str">
        <x:f>IF($A657="","",IF(AND($C657="",$E657=""),"",IF($E657="","brak danych",IF($E657=0,0,IF(COUNTIFS($A$10:$A$89,$C657)&lt;&gt;1,"brak danych",IF(COUNTIFS($A$10:$A$89,$C657,$G$10:$G$89,"&lt;&gt;")=0,"brak danych",VLOOKUP($C657,$A$10:$J$89,7,FALSE)*$E657))))))</x:f>
      </x:c>
      <x:c r="I657" s="25" t="str">
        <x:f>IF($A657="","",IF(AND($C657="",$E657=""),"",IF($E657="","brak danych",IF($E657=0,0,IF(COUNTIFS($A$10:$A$89,$C657)&lt;&gt;1,"brak danych",IF(COUNTIFS($A$10:$A$89,$C657,$H$10:$H$89,"&lt;&gt;")=0,"brak danych",VLOOKUP($C657,$A$10:$J$89,8,FALSE)*$E657))))))</x:f>
      </x:c>
      <x:c r="J657" s="25" t="str">
        <x:f>IF($A657="","",IF(AND($C657="",$E657=""),"",IF($E657="","brak danych",IF($E657=0,0,IF(COUNTIFS($A$10:$A$89,$C657)&lt;&gt;1,"brak danych",IF(COUNTIFS($A$10:$A$89,$C657,$I$10:$I$89,"&lt;&gt;")=0,"brak danych",VLOOKUP($C657,$A$10:$J$89,9,FALSE)*$E657))))))</x:f>
      </x:c>
      <x:c r="K657" s="25" t="str">
        <x:f>IF($A657="","",IF(AND($C657="",$E657=""),"",IF($E657="","brak danych",IF($E657=0,0,IF(COUNTIFS($A$10:$A$89,$C657)&lt;&gt;1,"brak danych",IF(COUNTIFS($A$10:$A$89,$C657,$J$10:$J$89,"&lt;&gt;")=0,"brak danych",VLOOKUP($C657,$A$10:$J$89,10,FALSE)*$E657))))))</x:f>
      </x:c>
      <x:c r="L657" s="24" t="str">
        <x:f>IF($A657="","",IF($F657="","",IF($F657=0,0,IF(COUNTIFS($A$10:$A$89,$C657)&lt;&gt;1,"brak danych",IF(COUNTIFS($A$10:$A$89,$C657,$F$10:$F$89,"&lt;&gt;")=0,"brak danych",VLOOKUP($C657,$A$10:$J$89,6,FALSE)*$F657)))))</x:f>
      </x:c>
      <x:c r="M657" s="25" t="str">
        <x:f>IF($A657="","",IF($F657="","",IF($F657=0,0,IF(COUNTIFS($A$10:$A$89,$C657)&lt;&gt;1,"brak danych",IF(COUNTIFS($A$10:$A$89,$C657,$G$10:$G$89,"&lt;&gt;")=0,"brak danych",VLOOKUP($C657,$A$10:$J$89,7,FALSE)*$F657)))))</x:f>
      </x:c>
      <x:c r="N657" s="25" t="str">
        <x:f>IF($A657="","",IF($F657="","",IF($F657=0,0,IF(COUNTIFS($A$10:$A$89,$C657)&lt;&gt;1,"brak danych",IF(COUNTIFS($A$10:$A$89,$C657,$H$10:$H$89,"&lt;&gt;")=0,"brak danych",VLOOKUP($C657,$A$10:$J$89,8,FALSE)*$F657)))))</x:f>
      </x:c>
      <x:c r="O657" s="25" t="str">
        <x:f>IF($A657="","",IF($F657="","",IF($F657=0,0,IF(COUNTIFS($A$10:$A$89,$C657)&lt;&gt;1,"brak danych",IF(COUNTIFS($A$10:$A$89,$C657,$I$10:$I$89,"&lt;&gt;")=0,"brak danych",VLOOKUP($C657,$A$10:$J$89,9,FALSE)*$F657)))))</x:f>
      </x:c>
      <x:c r="P657" s="25" t="str">
        <x:f>IF($A657="","",IF($F657="","",IF($F657=0,0,IF(COUNTIFS($A$10:$A$89,$C657)&lt;&gt;1,"brak danych",IF(COUNTIFS($A$10:$A$89,$C657,$J$10:$J$89,"&lt;&gt;")=0,"brak danych",VLOOKUP($C657,$A$10:$J$89,10,FALSE)*$F657)))))</x:f>
      </x:c>
      <x:c r="Q657" s="18"/>
    </x:row>
    <x:row r="658" ht="25" customHeight="1">
      <x:c r="A658" s="6"/>
      <x:c r="B658" s="30"/>
      <x:c r="C658" s="5"/>
      <x:c r="D658" s="5"/>
      <x:c r="E658" s="32"/>
      <x:c r="F658" s="32"/>
      <x:c r="G658" s="24" t="str">
        <x:f>IF($A658="","",IF(AND($C658="",$E658=""),"",IF($E658="","brak danych",IF($E658=0,0,IF(COUNTIFS($A$10:$A$89,$C658)&lt;&gt;1,"brak danych",IF(COUNTIFS($A$10:$A$89,$C658,$F$10:$F$89,"&lt;&gt;")=0,"brak danych",VLOOKUP($C658,$A$10:$J$89,6,FALSE)*$E658))))))</x:f>
      </x:c>
      <x:c r="H658" s="25" t="str">
        <x:f>IF($A658="","",IF(AND($C658="",$E658=""),"",IF($E658="","brak danych",IF($E658=0,0,IF(COUNTIFS($A$10:$A$89,$C658)&lt;&gt;1,"brak danych",IF(COUNTIFS($A$10:$A$89,$C658,$G$10:$G$89,"&lt;&gt;")=0,"brak danych",VLOOKUP($C658,$A$10:$J$89,7,FALSE)*$E658))))))</x:f>
      </x:c>
      <x:c r="I658" s="25" t="str">
        <x:f>IF($A658="","",IF(AND($C658="",$E658=""),"",IF($E658="","brak danych",IF($E658=0,0,IF(COUNTIFS($A$10:$A$89,$C658)&lt;&gt;1,"brak danych",IF(COUNTIFS($A$10:$A$89,$C658,$H$10:$H$89,"&lt;&gt;")=0,"brak danych",VLOOKUP($C658,$A$10:$J$89,8,FALSE)*$E658))))))</x:f>
      </x:c>
      <x:c r="J658" s="25" t="str">
        <x:f>IF($A658="","",IF(AND($C658="",$E658=""),"",IF($E658="","brak danych",IF($E658=0,0,IF(COUNTIFS($A$10:$A$89,$C658)&lt;&gt;1,"brak danych",IF(COUNTIFS($A$10:$A$89,$C658,$I$10:$I$89,"&lt;&gt;")=0,"brak danych",VLOOKUP($C658,$A$10:$J$89,9,FALSE)*$E658))))))</x:f>
      </x:c>
      <x:c r="K658" s="25" t="str">
        <x:f>IF($A658="","",IF(AND($C658="",$E658=""),"",IF($E658="","brak danych",IF($E658=0,0,IF(COUNTIFS($A$10:$A$89,$C658)&lt;&gt;1,"brak danych",IF(COUNTIFS($A$10:$A$89,$C658,$J$10:$J$89,"&lt;&gt;")=0,"brak danych",VLOOKUP($C658,$A$10:$J$89,10,FALSE)*$E658))))))</x:f>
      </x:c>
      <x:c r="L658" s="24" t="str">
        <x:f>IF($A658="","",IF($F658="","",IF($F658=0,0,IF(COUNTIFS($A$10:$A$89,$C658)&lt;&gt;1,"brak danych",IF(COUNTIFS($A$10:$A$89,$C658,$F$10:$F$89,"&lt;&gt;")=0,"brak danych",VLOOKUP($C658,$A$10:$J$89,6,FALSE)*$F658)))))</x:f>
      </x:c>
      <x:c r="M658" s="25" t="str">
        <x:f>IF($A658="","",IF($F658="","",IF($F658=0,0,IF(COUNTIFS($A$10:$A$89,$C658)&lt;&gt;1,"brak danych",IF(COUNTIFS($A$10:$A$89,$C658,$G$10:$G$89,"&lt;&gt;")=0,"brak danych",VLOOKUP($C658,$A$10:$J$89,7,FALSE)*$F658)))))</x:f>
      </x:c>
      <x:c r="N658" s="25" t="str">
        <x:f>IF($A658="","",IF($F658="","",IF($F658=0,0,IF(COUNTIFS($A$10:$A$89,$C658)&lt;&gt;1,"brak danych",IF(COUNTIFS($A$10:$A$89,$C658,$H$10:$H$89,"&lt;&gt;")=0,"brak danych",VLOOKUP($C658,$A$10:$J$89,8,FALSE)*$F658)))))</x:f>
      </x:c>
      <x:c r="O658" s="25" t="str">
        <x:f>IF($A658="","",IF($F658="","",IF($F658=0,0,IF(COUNTIFS($A$10:$A$89,$C658)&lt;&gt;1,"brak danych",IF(COUNTIFS($A$10:$A$89,$C658,$I$10:$I$89,"&lt;&gt;")=0,"brak danych",VLOOKUP($C658,$A$10:$J$89,9,FALSE)*$F658)))))</x:f>
      </x:c>
      <x:c r="P658" s="25" t="str">
        <x:f>IF($A658="","",IF($F658="","",IF($F658=0,0,IF(COUNTIFS($A$10:$A$89,$C658)&lt;&gt;1,"brak danych",IF(COUNTIFS($A$10:$A$89,$C658,$J$10:$J$89,"&lt;&gt;")=0,"brak danych",VLOOKUP($C658,$A$10:$J$89,10,FALSE)*$F658)))))</x:f>
      </x:c>
      <x:c r="Q658" s="18"/>
    </x:row>
    <x:row r="659" ht="25" customHeight="1">
      <x:c r="A659" s="6"/>
      <x:c r="B659" s="30"/>
      <x:c r="C659" s="5"/>
      <x:c r="D659" s="5"/>
      <x:c r="E659" s="32"/>
      <x:c r="F659" s="32"/>
      <x:c r="G659" s="24" t="str">
        <x:f>IF($A659="","",IF(AND($C659="",$E659=""),"",IF($E659="","brak danych",IF($E659=0,0,IF(COUNTIFS($A$10:$A$89,$C659)&lt;&gt;1,"brak danych",IF(COUNTIFS($A$10:$A$89,$C659,$F$10:$F$89,"&lt;&gt;")=0,"brak danych",VLOOKUP($C659,$A$10:$J$89,6,FALSE)*$E659))))))</x:f>
      </x:c>
      <x:c r="H659" s="25" t="str">
        <x:f>IF($A659="","",IF(AND($C659="",$E659=""),"",IF($E659="","brak danych",IF($E659=0,0,IF(COUNTIFS($A$10:$A$89,$C659)&lt;&gt;1,"brak danych",IF(COUNTIFS($A$10:$A$89,$C659,$G$10:$G$89,"&lt;&gt;")=0,"brak danych",VLOOKUP($C659,$A$10:$J$89,7,FALSE)*$E659))))))</x:f>
      </x:c>
      <x:c r="I659" s="25" t="str">
        <x:f>IF($A659="","",IF(AND($C659="",$E659=""),"",IF($E659="","brak danych",IF($E659=0,0,IF(COUNTIFS($A$10:$A$89,$C659)&lt;&gt;1,"brak danych",IF(COUNTIFS($A$10:$A$89,$C659,$H$10:$H$89,"&lt;&gt;")=0,"brak danych",VLOOKUP($C659,$A$10:$J$89,8,FALSE)*$E659))))))</x:f>
      </x:c>
      <x:c r="J659" s="25" t="str">
        <x:f>IF($A659="","",IF(AND($C659="",$E659=""),"",IF($E659="","brak danych",IF($E659=0,0,IF(COUNTIFS($A$10:$A$89,$C659)&lt;&gt;1,"brak danych",IF(COUNTIFS($A$10:$A$89,$C659,$I$10:$I$89,"&lt;&gt;")=0,"brak danych",VLOOKUP($C659,$A$10:$J$89,9,FALSE)*$E659))))))</x:f>
      </x:c>
      <x:c r="K659" s="25" t="str">
        <x:f>IF($A659="","",IF(AND($C659="",$E659=""),"",IF($E659="","brak danych",IF($E659=0,0,IF(COUNTIFS($A$10:$A$89,$C659)&lt;&gt;1,"brak danych",IF(COUNTIFS($A$10:$A$89,$C659,$J$10:$J$89,"&lt;&gt;")=0,"brak danych",VLOOKUP($C659,$A$10:$J$89,10,FALSE)*$E659))))))</x:f>
      </x:c>
      <x:c r="L659" s="24" t="str">
        <x:f>IF($A659="","",IF($F659="","",IF($F659=0,0,IF(COUNTIFS($A$10:$A$89,$C659)&lt;&gt;1,"brak danych",IF(COUNTIFS($A$10:$A$89,$C659,$F$10:$F$89,"&lt;&gt;")=0,"brak danych",VLOOKUP($C659,$A$10:$J$89,6,FALSE)*$F659)))))</x:f>
      </x:c>
      <x:c r="M659" s="25" t="str">
        <x:f>IF($A659="","",IF($F659="","",IF($F659=0,0,IF(COUNTIFS($A$10:$A$89,$C659)&lt;&gt;1,"brak danych",IF(COUNTIFS($A$10:$A$89,$C659,$G$10:$G$89,"&lt;&gt;")=0,"brak danych",VLOOKUP($C659,$A$10:$J$89,7,FALSE)*$F659)))))</x:f>
      </x:c>
      <x:c r="N659" s="25" t="str">
        <x:f>IF($A659="","",IF($F659="","",IF($F659=0,0,IF(COUNTIFS($A$10:$A$89,$C659)&lt;&gt;1,"brak danych",IF(COUNTIFS($A$10:$A$89,$C659,$H$10:$H$89,"&lt;&gt;")=0,"brak danych",VLOOKUP($C659,$A$10:$J$89,8,FALSE)*$F659)))))</x:f>
      </x:c>
      <x:c r="O659" s="25" t="str">
        <x:f>IF($A659="","",IF($F659="","",IF($F659=0,0,IF(COUNTIFS($A$10:$A$89,$C659)&lt;&gt;1,"brak danych",IF(COUNTIFS($A$10:$A$89,$C659,$I$10:$I$89,"&lt;&gt;")=0,"brak danych",VLOOKUP($C659,$A$10:$J$89,9,FALSE)*$F659)))))</x:f>
      </x:c>
      <x:c r="P659" s="25" t="str">
        <x:f>IF($A659="","",IF($F659="","",IF($F659=0,0,IF(COUNTIFS($A$10:$A$89,$C659)&lt;&gt;1,"brak danych",IF(COUNTIFS($A$10:$A$89,$C659,$J$10:$J$89,"&lt;&gt;")=0,"brak danych",VLOOKUP($C659,$A$10:$J$89,10,FALSE)*$F659)))))</x:f>
      </x:c>
      <x:c r="Q659" s="18"/>
    </x:row>
    <x:row r="660" ht="25" customHeight="1">
      <x:c r="A660" s="6"/>
      <x:c r="B660" s="30"/>
      <x:c r="C660" s="5"/>
      <x:c r="D660" s="5"/>
      <x:c r="E660" s="32"/>
      <x:c r="F660" s="32"/>
      <x:c r="G660" s="24" t="str">
        <x:f>IF($A660="","",IF(AND($C660="",$E660=""),"",IF($E660="","brak danych",IF($E660=0,0,IF(COUNTIFS($A$10:$A$89,$C660)&lt;&gt;1,"brak danych",IF(COUNTIFS($A$10:$A$89,$C660,$F$10:$F$89,"&lt;&gt;")=0,"brak danych",VLOOKUP($C660,$A$10:$J$89,6,FALSE)*$E660))))))</x:f>
      </x:c>
      <x:c r="H660" s="25" t="str">
        <x:f>IF($A660="","",IF(AND($C660="",$E660=""),"",IF($E660="","brak danych",IF($E660=0,0,IF(COUNTIFS($A$10:$A$89,$C660)&lt;&gt;1,"brak danych",IF(COUNTIFS($A$10:$A$89,$C660,$G$10:$G$89,"&lt;&gt;")=0,"brak danych",VLOOKUP($C660,$A$10:$J$89,7,FALSE)*$E660))))))</x:f>
      </x:c>
      <x:c r="I660" s="25" t="str">
        <x:f>IF($A660="","",IF(AND($C660="",$E660=""),"",IF($E660="","brak danych",IF($E660=0,0,IF(COUNTIFS($A$10:$A$89,$C660)&lt;&gt;1,"brak danych",IF(COUNTIFS($A$10:$A$89,$C660,$H$10:$H$89,"&lt;&gt;")=0,"brak danych",VLOOKUP($C660,$A$10:$J$89,8,FALSE)*$E660))))))</x:f>
      </x:c>
      <x:c r="J660" s="25" t="str">
        <x:f>IF($A660="","",IF(AND($C660="",$E660=""),"",IF($E660="","brak danych",IF($E660=0,0,IF(COUNTIFS($A$10:$A$89,$C660)&lt;&gt;1,"brak danych",IF(COUNTIFS($A$10:$A$89,$C660,$I$10:$I$89,"&lt;&gt;")=0,"brak danych",VLOOKUP($C660,$A$10:$J$89,9,FALSE)*$E660))))))</x:f>
      </x:c>
      <x:c r="K660" s="25" t="str">
        <x:f>IF($A660="","",IF(AND($C660="",$E660=""),"",IF($E660="","brak danych",IF($E660=0,0,IF(COUNTIFS($A$10:$A$89,$C660)&lt;&gt;1,"brak danych",IF(COUNTIFS($A$10:$A$89,$C660,$J$10:$J$89,"&lt;&gt;")=0,"brak danych",VLOOKUP($C660,$A$10:$J$89,10,FALSE)*$E660))))))</x:f>
      </x:c>
      <x:c r="L660" s="24" t="str">
        <x:f>IF($A660="","",IF($F660="","",IF($F660=0,0,IF(COUNTIFS($A$10:$A$89,$C660)&lt;&gt;1,"brak danych",IF(COUNTIFS($A$10:$A$89,$C660,$F$10:$F$89,"&lt;&gt;")=0,"brak danych",VLOOKUP($C660,$A$10:$J$89,6,FALSE)*$F660)))))</x:f>
      </x:c>
      <x:c r="M660" s="25" t="str">
        <x:f>IF($A660="","",IF($F660="","",IF($F660=0,0,IF(COUNTIFS($A$10:$A$89,$C660)&lt;&gt;1,"brak danych",IF(COUNTIFS($A$10:$A$89,$C660,$G$10:$G$89,"&lt;&gt;")=0,"brak danych",VLOOKUP($C660,$A$10:$J$89,7,FALSE)*$F660)))))</x:f>
      </x:c>
      <x:c r="N660" s="25" t="str">
        <x:f>IF($A660="","",IF($F660="","",IF($F660=0,0,IF(COUNTIFS($A$10:$A$89,$C660)&lt;&gt;1,"brak danych",IF(COUNTIFS($A$10:$A$89,$C660,$H$10:$H$89,"&lt;&gt;")=0,"brak danych",VLOOKUP($C660,$A$10:$J$89,8,FALSE)*$F660)))))</x:f>
      </x:c>
      <x:c r="O660" s="25" t="str">
        <x:f>IF($A660="","",IF($F660="","",IF($F660=0,0,IF(COUNTIFS($A$10:$A$89,$C660)&lt;&gt;1,"brak danych",IF(COUNTIFS($A$10:$A$89,$C660,$I$10:$I$89,"&lt;&gt;")=0,"brak danych",VLOOKUP($C660,$A$10:$J$89,9,FALSE)*$F660)))))</x:f>
      </x:c>
      <x:c r="P660" s="25" t="str">
        <x:f>IF($A660="","",IF($F660="","",IF($F660=0,0,IF(COUNTIFS($A$10:$A$89,$C660)&lt;&gt;1,"brak danych",IF(COUNTIFS($A$10:$A$89,$C660,$J$10:$J$89,"&lt;&gt;")=0,"brak danych",VLOOKUP($C660,$A$10:$J$89,10,FALSE)*$F660)))))</x:f>
      </x:c>
      <x:c r="Q660" s="18"/>
    </x:row>
    <x:row r="661" ht="25" customHeight="1">
      <x:c r="A661" s="6"/>
      <x:c r="B661" s="30"/>
      <x:c r="C661" s="5"/>
      <x:c r="D661" s="5"/>
      <x:c r="E661" s="32"/>
      <x:c r="F661" s="32"/>
      <x:c r="G661" s="24" t="str">
        <x:f>IF($A661="","",IF(AND($C661="",$E661=""),"",IF($E661="","brak danych",IF($E661=0,0,IF(COUNTIFS($A$10:$A$89,$C661)&lt;&gt;1,"brak danych",IF(COUNTIFS($A$10:$A$89,$C661,$F$10:$F$89,"&lt;&gt;")=0,"brak danych",VLOOKUP($C661,$A$10:$J$89,6,FALSE)*$E661))))))</x:f>
      </x:c>
      <x:c r="H661" s="25" t="str">
        <x:f>IF($A661="","",IF(AND($C661="",$E661=""),"",IF($E661="","brak danych",IF($E661=0,0,IF(COUNTIFS($A$10:$A$89,$C661)&lt;&gt;1,"brak danych",IF(COUNTIFS($A$10:$A$89,$C661,$G$10:$G$89,"&lt;&gt;")=0,"brak danych",VLOOKUP($C661,$A$10:$J$89,7,FALSE)*$E661))))))</x:f>
      </x:c>
      <x:c r="I661" s="25" t="str">
        <x:f>IF($A661="","",IF(AND($C661="",$E661=""),"",IF($E661="","brak danych",IF($E661=0,0,IF(COUNTIFS($A$10:$A$89,$C661)&lt;&gt;1,"brak danych",IF(COUNTIFS($A$10:$A$89,$C661,$H$10:$H$89,"&lt;&gt;")=0,"brak danych",VLOOKUP($C661,$A$10:$J$89,8,FALSE)*$E661))))))</x:f>
      </x:c>
      <x:c r="J661" s="25" t="str">
        <x:f>IF($A661="","",IF(AND($C661="",$E661=""),"",IF($E661="","brak danych",IF($E661=0,0,IF(COUNTIFS($A$10:$A$89,$C661)&lt;&gt;1,"brak danych",IF(COUNTIFS($A$10:$A$89,$C661,$I$10:$I$89,"&lt;&gt;")=0,"brak danych",VLOOKUP($C661,$A$10:$J$89,9,FALSE)*$E661))))))</x:f>
      </x:c>
      <x:c r="K661" s="25" t="str">
        <x:f>IF($A661="","",IF(AND($C661="",$E661=""),"",IF($E661="","brak danych",IF($E661=0,0,IF(COUNTIFS($A$10:$A$89,$C661)&lt;&gt;1,"brak danych",IF(COUNTIFS($A$10:$A$89,$C661,$J$10:$J$89,"&lt;&gt;")=0,"brak danych",VLOOKUP($C661,$A$10:$J$89,10,FALSE)*$E661))))))</x:f>
      </x:c>
      <x:c r="L661" s="24" t="str">
        <x:f>IF($A661="","",IF($F661="","",IF($F661=0,0,IF(COUNTIFS($A$10:$A$89,$C661)&lt;&gt;1,"brak danych",IF(COUNTIFS($A$10:$A$89,$C661,$F$10:$F$89,"&lt;&gt;")=0,"brak danych",VLOOKUP($C661,$A$10:$J$89,6,FALSE)*$F661)))))</x:f>
      </x:c>
      <x:c r="M661" s="25" t="str">
        <x:f>IF($A661="","",IF($F661="","",IF($F661=0,0,IF(COUNTIFS($A$10:$A$89,$C661)&lt;&gt;1,"brak danych",IF(COUNTIFS($A$10:$A$89,$C661,$G$10:$G$89,"&lt;&gt;")=0,"brak danych",VLOOKUP($C661,$A$10:$J$89,7,FALSE)*$F661)))))</x:f>
      </x:c>
      <x:c r="N661" s="25" t="str">
        <x:f>IF($A661="","",IF($F661="","",IF($F661=0,0,IF(COUNTIFS($A$10:$A$89,$C661)&lt;&gt;1,"brak danych",IF(COUNTIFS($A$10:$A$89,$C661,$H$10:$H$89,"&lt;&gt;")=0,"brak danych",VLOOKUP($C661,$A$10:$J$89,8,FALSE)*$F661)))))</x:f>
      </x:c>
      <x:c r="O661" s="25" t="str">
        <x:f>IF($A661="","",IF($F661="","",IF($F661=0,0,IF(COUNTIFS($A$10:$A$89,$C661)&lt;&gt;1,"brak danych",IF(COUNTIFS($A$10:$A$89,$C661,$I$10:$I$89,"&lt;&gt;")=0,"brak danych",VLOOKUP($C661,$A$10:$J$89,9,FALSE)*$F661)))))</x:f>
      </x:c>
      <x:c r="P661" s="25" t="str">
        <x:f>IF($A661="","",IF($F661="","",IF($F661=0,0,IF(COUNTIFS($A$10:$A$89,$C661)&lt;&gt;1,"brak danych",IF(COUNTIFS($A$10:$A$89,$C661,$J$10:$J$89,"&lt;&gt;")=0,"brak danych",VLOOKUP($C661,$A$10:$J$89,10,FALSE)*$F661)))))</x:f>
      </x:c>
      <x:c r="Q661" s="18"/>
    </x:row>
    <x:row r="662" ht="25" customHeight="1">
      <x:c r="A662" s="6"/>
      <x:c r="B662" s="30"/>
      <x:c r="C662" s="5"/>
      <x:c r="D662" s="5"/>
      <x:c r="E662" s="32"/>
      <x:c r="F662" s="32"/>
      <x:c r="G662" s="24" t="str">
        <x:f>IF($A662="","",IF(AND($C662="",$E662=""),"",IF($E662="","brak danych",IF($E662=0,0,IF(COUNTIFS($A$10:$A$89,$C662)&lt;&gt;1,"brak danych",IF(COUNTIFS($A$10:$A$89,$C662,$F$10:$F$89,"&lt;&gt;")=0,"brak danych",VLOOKUP($C662,$A$10:$J$89,6,FALSE)*$E662))))))</x:f>
      </x:c>
      <x:c r="H662" s="25" t="str">
        <x:f>IF($A662="","",IF(AND($C662="",$E662=""),"",IF($E662="","brak danych",IF($E662=0,0,IF(COUNTIFS($A$10:$A$89,$C662)&lt;&gt;1,"brak danych",IF(COUNTIFS($A$10:$A$89,$C662,$G$10:$G$89,"&lt;&gt;")=0,"brak danych",VLOOKUP($C662,$A$10:$J$89,7,FALSE)*$E662))))))</x:f>
      </x:c>
      <x:c r="I662" s="25" t="str">
        <x:f>IF($A662="","",IF(AND($C662="",$E662=""),"",IF($E662="","brak danych",IF($E662=0,0,IF(COUNTIFS($A$10:$A$89,$C662)&lt;&gt;1,"brak danych",IF(COUNTIFS($A$10:$A$89,$C662,$H$10:$H$89,"&lt;&gt;")=0,"brak danych",VLOOKUP($C662,$A$10:$J$89,8,FALSE)*$E662))))))</x:f>
      </x:c>
      <x:c r="J662" s="25" t="str">
        <x:f>IF($A662="","",IF(AND($C662="",$E662=""),"",IF($E662="","brak danych",IF($E662=0,0,IF(COUNTIFS($A$10:$A$89,$C662)&lt;&gt;1,"brak danych",IF(COUNTIFS($A$10:$A$89,$C662,$I$10:$I$89,"&lt;&gt;")=0,"brak danych",VLOOKUP($C662,$A$10:$J$89,9,FALSE)*$E662))))))</x:f>
      </x:c>
      <x:c r="K662" s="25" t="str">
        <x:f>IF($A662="","",IF(AND($C662="",$E662=""),"",IF($E662="","brak danych",IF($E662=0,0,IF(COUNTIFS($A$10:$A$89,$C662)&lt;&gt;1,"brak danych",IF(COUNTIFS($A$10:$A$89,$C662,$J$10:$J$89,"&lt;&gt;")=0,"brak danych",VLOOKUP($C662,$A$10:$J$89,10,FALSE)*$E662))))))</x:f>
      </x:c>
      <x:c r="L662" s="24" t="str">
        <x:f>IF($A662="","",IF($F662="","",IF($F662=0,0,IF(COUNTIFS($A$10:$A$89,$C662)&lt;&gt;1,"brak danych",IF(COUNTIFS($A$10:$A$89,$C662,$F$10:$F$89,"&lt;&gt;")=0,"brak danych",VLOOKUP($C662,$A$10:$J$89,6,FALSE)*$F662)))))</x:f>
      </x:c>
      <x:c r="M662" s="25" t="str">
        <x:f>IF($A662="","",IF($F662="","",IF($F662=0,0,IF(COUNTIFS($A$10:$A$89,$C662)&lt;&gt;1,"brak danych",IF(COUNTIFS($A$10:$A$89,$C662,$G$10:$G$89,"&lt;&gt;")=0,"brak danych",VLOOKUP($C662,$A$10:$J$89,7,FALSE)*$F662)))))</x:f>
      </x:c>
      <x:c r="N662" s="25" t="str">
        <x:f>IF($A662="","",IF($F662="","",IF($F662=0,0,IF(COUNTIFS($A$10:$A$89,$C662)&lt;&gt;1,"brak danych",IF(COUNTIFS($A$10:$A$89,$C662,$H$10:$H$89,"&lt;&gt;")=0,"brak danych",VLOOKUP($C662,$A$10:$J$89,8,FALSE)*$F662)))))</x:f>
      </x:c>
      <x:c r="O662" s="25" t="str">
        <x:f>IF($A662="","",IF($F662="","",IF($F662=0,0,IF(COUNTIFS($A$10:$A$89,$C662)&lt;&gt;1,"brak danych",IF(COUNTIFS($A$10:$A$89,$C662,$I$10:$I$89,"&lt;&gt;")=0,"brak danych",VLOOKUP($C662,$A$10:$J$89,9,FALSE)*$F662)))))</x:f>
      </x:c>
      <x:c r="P662" s="25" t="str">
        <x:f>IF($A662="","",IF($F662="","",IF($F662=0,0,IF(COUNTIFS($A$10:$A$89,$C662)&lt;&gt;1,"brak danych",IF(COUNTIFS($A$10:$A$89,$C662,$J$10:$J$89,"&lt;&gt;")=0,"brak danych",VLOOKUP($C662,$A$10:$J$89,10,FALSE)*$F662)))))</x:f>
      </x:c>
      <x:c r="Q662" s="18"/>
    </x:row>
    <x:row r="663" ht="25" customHeight="1">
      <x:c r="A663" s="6"/>
      <x:c r="B663" s="30"/>
      <x:c r="C663" s="5"/>
      <x:c r="D663" s="5"/>
      <x:c r="E663" s="32"/>
      <x:c r="F663" s="32"/>
      <x:c r="G663" s="24" t="str">
        <x:f>IF($A663="","",IF(AND($C663="",$E663=""),"",IF($E663="","brak danych",IF($E663=0,0,IF(COUNTIFS($A$10:$A$89,$C663)&lt;&gt;1,"brak danych",IF(COUNTIFS($A$10:$A$89,$C663,$F$10:$F$89,"&lt;&gt;")=0,"brak danych",VLOOKUP($C663,$A$10:$J$89,6,FALSE)*$E663))))))</x:f>
      </x:c>
      <x:c r="H663" s="25" t="str">
        <x:f>IF($A663="","",IF(AND($C663="",$E663=""),"",IF($E663="","brak danych",IF($E663=0,0,IF(COUNTIFS($A$10:$A$89,$C663)&lt;&gt;1,"brak danych",IF(COUNTIFS($A$10:$A$89,$C663,$G$10:$G$89,"&lt;&gt;")=0,"brak danych",VLOOKUP($C663,$A$10:$J$89,7,FALSE)*$E663))))))</x:f>
      </x:c>
      <x:c r="I663" s="25" t="str">
        <x:f>IF($A663="","",IF(AND($C663="",$E663=""),"",IF($E663="","brak danych",IF($E663=0,0,IF(COUNTIFS($A$10:$A$89,$C663)&lt;&gt;1,"brak danych",IF(COUNTIFS($A$10:$A$89,$C663,$H$10:$H$89,"&lt;&gt;")=0,"brak danych",VLOOKUP($C663,$A$10:$J$89,8,FALSE)*$E663))))))</x:f>
      </x:c>
      <x:c r="J663" s="25" t="str">
        <x:f>IF($A663="","",IF(AND($C663="",$E663=""),"",IF($E663="","brak danych",IF($E663=0,0,IF(COUNTIFS($A$10:$A$89,$C663)&lt;&gt;1,"brak danych",IF(COUNTIFS($A$10:$A$89,$C663,$I$10:$I$89,"&lt;&gt;")=0,"brak danych",VLOOKUP($C663,$A$10:$J$89,9,FALSE)*$E663))))))</x:f>
      </x:c>
      <x:c r="K663" s="25" t="str">
        <x:f>IF($A663="","",IF(AND($C663="",$E663=""),"",IF($E663="","brak danych",IF($E663=0,0,IF(COUNTIFS($A$10:$A$89,$C663)&lt;&gt;1,"brak danych",IF(COUNTIFS($A$10:$A$89,$C663,$J$10:$J$89,"&lt;&gt;")=0,"brak danych",VLOOKUP($C663,$A$10:$J$89,10,FALSE)*$E663))))))</x:f>
      </x:c>
      <x:c r="L663" s="24" t="str">
        <x:f>IF($A663="","",IF($F663="","",IF($F663=0,0,IF(COUNTIFS($A$10:$A$89,$C663)&lt;&gt;1,"brak danych",IF(COUNTIFS($A$10:$A$89,$C663,$F$10:$F$89,"&lt;&gt;")=0,"brak danych",VLOOKUP($C663,$A$10:$J$89,6,FALSE)*$F663)))))</x:f>
      </x:c>
      <x:c r="M663" s="25" t="str">
        <x:f>IF($A663="","",IF($F663="","",IF($F663=0,0,IF(COUNTIFS($A$10:$A$89,$C663)&lt;&gt;1,"brak danych",IF(COUNTIFS($A$10:$A$89,$C663,$G$10:$G$89,"&lt;&gt;")=0,"brak danych",VLOOKUP($C663,$A$10:$J$89,7,FALSE)*$F663)))))</x:f>
      </x:c>
      <x:c r="N663" s="25" t="str">
        <x:f>IF($A663="","",IF($F663="","",IF($F663=0,0,IF(COUNTIFS($A$10:$A$89,$C663)&lt;&gt;1,"brak danych",IF(COUNTIFS($A$10:$A$89,$C663,$H$10:$H$89,"&lt;&gt;")=0,"brak danych",VLOOKUP($C663,$A$10:$J$89,8,FALSE)*$F663)))))</x:f>
      </x:c>
      <x:c r="O663" s="25" t="str">
        <x:f>IF($A663="","",IF($F663="","",IF($F663=0,0,IF(COUNTIFS($A$10:$A$89,$C663)&lt;&gt;1,"brak danych",IF(COUNTIFS($A$10:$A$89,$C663,$I$10:$I$89,"&lt;&gt;")=0,"brak danych",VLOOKUP($C663,$A$10:$J$89,9,FALSE)*$F663)))))</x:f>
      </x:c>
      <x:c r="P663" s="25" t="str">
        <x:f>IF($A663="","",IF($F663="","",IF($F663=0,0,IF(COUNTIFS($A$10:$A$89,$C663)&lt;&gt;1,"brak danych",IF(COUNTIFS($A$10:$A$89,$C663,$J$10:$J$89,"&lt;&gt;")=0,"brak danych",VLOOKUP($C663,$A$10:$J$89,10,FALSE)*$F663)))))</x:f>
      </x:c>
      <x:c r="Q663" s="18"/>
    </x:row>
    <x:row r="664" ht="25" customHeight="1">
      <x:c r="A664" s="6"/>
      <x:c r="B664" s="30"/>
      <x:c r="C664" s="5"/>
      <x:c r="D664" s="5"/>
      <x:c r="E664" s="32"/>
      <x:c r="F664" s="32"/>
      <x:c r="G664" s="24" t="str">
        <x:f>IF($A664="","",IF(AND($C664="",$E664=""),"",IF($E664="","brak danych",IF($E664=0,0,IF(COUNTIFS($A$10:$A$89,$C664)&lt;&gt;1,"brak danych",IF(COUNTIFS($A$10:$A$89,$C664,$F$10:$F$89,"&lt;&gt;")=0,"brak danych",VLOOKUP($C664,$A$10:$J$89,6,FALSE)*$E664))))))</x:f>
      </x:c>
      <x:c r="H664" s="25" t="str">
        <x:f>IF($A664="","",IF(AND($C664="",$E664=""),"",IF($E664="","brak danych",IF($E664=0,0,IF(COUNTIFS($A$10:$A$89,$C664)&lt;&gt;1,"brak danych",IF(COUNTIFS($A$10:$A$89,$C664,$G$10:$G$89,"&lt;&gt;")=0,"brak danych",VLOOKUP($C664,$A$10:$J$89,7,FALSE)*$E664))))))</x:f>
      </x:c>
      <x:c r="I664" s="25" t="str">
        <x:f>IF($A664="","",IF(AND($C664="",$E664=""),"",IF($E664="","brak danych",IF($E664=0,0,IF(COUNTIFS($A$10:$A$89,$C664)&lt;&gt;1,"brak danych",IF(COUNTIFS($A$10:$A$89,$C664,$H$10:$H$89,"&lt;&gt;")=0,"brak danych",VLOOKUP($C664,$A$10:$J$89,8,FALSE)*$E664))))))</x:f>
      </x:c>
      <x:c r="J664" s="25" t="str">
        <x:f>IF($A664="","",IF(AND($C664="",$E664=""),"",IF($E664="","brak danych",IF($E664=0,0,IF(COUNTIFS($A$10:$A$89,$C664)&lt;&gt;1,"brak danych",IF(COUNTIFS($A$10:$A$89,$C664,$I$10:$I$89,"&lt;&gt;")=0,"brak danych",VLOOKUP($C664,$A$10:$J$89,9,FALSE)*$E664))))))</x:f>
      </x:c>
      <x:c r="K664" s="25" t="str">
        <x:f>IF($A664="","",IF(AND($C664="",$E664=""),"",IF($E664="","brak danych",IF($E664=0,0,IF(COUNTIFS($A$10:$A$89,$C664)&lt;&gt;1,"brak danych",IF(COUNTIFS($A$10:$A$89,$C664,$J$10:$J$89,"&lt;&gt;")=0,"brak danych",VLOOKUP($C664,$A$10:$J$89,10,FALSE)*$E664))))))</x:f>
      </x:c>
      <x:c r="L664" s="24" t="str">
        <x:f>IF($A664="","",IF($F664="","",IF($F664=0,0,IF(COUNTIFS($A$10:$A$89,$C664)&lt;&gt;1,"brak danych",IF(COUNTIFS($A$10:$A$89,$C664,$F$10:$F$89,"&lt;&gt;")=0,"brak danych",VLOOKUP($C664,$A$10:$J$89,6,FALSE)*$F664)))))</x:f>
      </x:c>
      <x:c r="M664" s="25" t="str">
        <x:f>IF($A664="","",IF($F664="","",IF($F664=0,0,IF(COUNTIFS($A$10:$A$89,$C664)&lt;&gt;1,"brak danych",IF(COUNTIFS($A$10:$A$89,$C664,$G$10:$G$89,"&lt;&gt;")=0,"brak danych",VLOOKUP($C664,$A$10:$J$89,7,FALSE)*$F664)))))</x:f>
      </x:c>
      <x:c r="N664" s="25" t="str">
        <x:f>IF($A664="","",IF($F664="","",IF($F664=0,0,IF(COUNTIFS($A$10:$A$89,$C664)&lt;&gt;1,"brak danych",IF(COUNTIFS($A$10:$A$89,$C664,$H$10:$H$89,"&lt;&gt;")=0,"brak danych",VLOOKUP($C664,$A$10:$J$89,8,FALSE)*$F664)))))</x:f>
      </x:c>
      <x:c r="O664" s="25" t="str">
        <x:f>IF($A664="","",IF($F664="","",IF($F664=0,0,IF(COUNTIFS($A$10:$A$89,$C664)&lt;&gt;1,"brak danych",IF(COUNTIFS($A$10:$A$89,$C664,$I$10:$I$89,"&lt;&gt;")=0,"brak danych",VLOOKUP($C664,$A$10:$J$89,9,FALSE)*$F664)))))</x:f>
      </x:c>
      <x:c r="P664" s="25" t="str">
        <x:f>IF($A664="","",IF($F664="","",IF($F664=0,0,IF(COUNTIFS($A$10:$A$89,$C664)&lt;&gt;1,"brak danych",IF(COUNTIFS($A$10:$A$89,$C664,$J$10:$J$89,"&lt;&gt;")=0,"brak danych",VLOOKUP($C664,$A$10:$J$89,10,FALSE)*$F664)))))</x:f>
      </x:c>
      <x:c r="Q664" s="18"/>
    </x:row>
    <x:row r="665" ht="25" customHeight="1">
      <x:c r="A665" s="6"/>
      <x:c r="B665" s="30"/>
      <x:c r="C665" s="5"/>
      <x:c r="D665" s="5"/>
      <x:c r="E665" s="32"/>
      <x:c r="F665" s="32"/>
      <x:c r="G665" s="24" t="str">
        <x:f>IF($A665="","",IF(AND($C665="",$E665=""),"",IF($E665="","brak danych",IF($E665=0,0,IF(COUNTIFS($A$10:$A$89,$C665)&lt;&gt;1,"brak danych",IF(COUNTIFS($A$10:$A$89,$C665,$F$10:$F$89,"&lt;&gt;")=0,"brak danych",VLOOKUP($C665,$A$10:$J$89,6,FALSE)*$E665))))))</x:f>
      </x:c>
      <x:c r="H665" s="25" t="str">
        <x:f>IF($A665="","",IF(AND($C665="",$E665=""),"",IF($E665="","brak danych",IF($E665=0,0,IF(COUNTIFS($A$10:$A$89,$C665)&lt;&gt;1,"brak danych",IF(COUNTIFS($A$10:$A$89,$C665,$G$10:$G$89,"&lt;&gt;")=0,"brak danych",VLOOKUP($C665,$A$10:$J$89,7,FALSE)*$E665))))))</x:f>
      </x:c>
      <x:c r="I665" s="25" t="str">
        <x:f>IF($A665="","",IF(AND($C665="",$E665=""),"",IF($E665="","brak danych",IF($E665=0,0,IF(COUNTIFS($A$10:$A$89,$C665)&lt;&gt;1,"brak danych",IF(COUNTIFS($A$10:$A$89,$C665,$H$10:$H$89,"&lt;&gt;")=0,"brak danych",VLOOKUP($C665,$A$10:$J$89,8,FALSE)*$E665))))))</x:f>
      </x:c>
      <x:c r="J665" s="25" t="str">
        <x:f>IF($A665="","",IF(AND($C665="",$E665=""),"",IF($E665="","brak danych",IF($E665=0,0,IF(COUNTIFS($A$10:$A$89,$C665)&lt;&gt;1,"brak danych",IF(COUNTIFS($A$10:$A$89,$C665,$I$10:$I$89,"&lt;&gt;")=0,"brak danych",VLOOKUP($C665,$A$10:$J$89,9,FALSE)*$E665))))))</x:f>
      </x:c>
      <x:c r="K665" s="25" t="str">
        <x:f>IF($A665="","",IF(AND($C665="",$E665=""),"",IF($E665="","brak danych",IF($E665=0,0,IF(COUNTIFS($A$10:$A$89,$C665)&lt;&gt;1,"brak danych",IF(COUNTIFS($A$10:$A$89,$C665,$J$10:$J$89,"&lt;&gt;")=0,"brak danych",VLOOKUP($C665,$A$10:$J$89,10,FALSE)*$E665))))))</x:f>
      </x:c>
      <x:c r="L665" s="24" t="str">
        <x:f>IF($A665="","",IF($F665="","",IF($F665=0,0,IF(COUNTIFS($A$10:$A$89,$C665)&lt;&gt;1,"brak danych",IF(COUNTIFS($A$10:$A$89,$C665,$F$10:$F$89,"&lt;&gt;")=0,"brak danych",VLOOKUP($C665,$A$10:$J$89,6,FALSE)*$F665)))))</x:f>
      </x:c>
      <x:c r="M665" s="25" t="str">
        <x:f>IF($A665="","",IF($F665="","",IF($F665=0,0,IF(COUNTIFS($A$10:$A$89,$C665)&lt;&gt;1,"brak danych",IF(COUNTIFS($A$10:$A$89,$C665,$G$10:$G$89,"&lt;&gt;")=0,"brak danych",VLOOKUP($C665,$A$10:$J$89,7,FALSE)*$F665)))))</x:f>
      </x:c>
      <x:c r="N665" s="25" t="str">
        <x:f>IF($A665="","",IF($F665="","",IF($F665=0,0,IF(COUNTIFS($A$10:$A$89,$C665)&lt;&gt;1,"brak danych",IF(COUNTIFS($A$10:$A$89,$C665,$H$10:$H$89,"&lt;&gt;")=0,"brak danych",VLOOKUP($C665,$A$10:$J$89,8,FALSE)*$F665)))))</x:f>
      </x:c>
      <x:c r="O665" s="25" t="str">
        <x:f>IF($A665="","",IF($F665="","",IF($F665=0,0,IF(COUNTIFS($A$10:$A$89,$C665)&lt;&gt;1,"brak danych",IF(COUNTIFS($A$10:$A$89,$C665,$I$10:$I$89,"&lt;&gt;")=0,"brak danych",VLOOKUP($C665,$A$10:$J$89,9,FALSE)*$F665)))))</x:f>
      </x:c>
      <x:c r="P665" s="25" t="str">
        <x:f>IF($A665="","",IF($F665="","",IF($F665=0,0,IF(COUNTIFS($A$10:$A$89,$C665)&lt;&gt;1,"brak danych",IF(COUNTIFS($A$10:$A$89,$C665,$J$10:$J$89,"&lt;&gt;")=0,"brak danych",VLOOKUP($C665,$A$10:$J$89,10,FALSE)*$F665)))))</x:f>
      </x:c>
      <x:c r="Q665" s="18"/>
    </x:row>
    <x:row r="666" ht="25" customHeight="1">
      <x:c r="A666" s="6"/>
      <x:c r="B666" s="30"/>
      <x:c r="C666" s="5"/>
      <x:c r="D666" s="5"/>
      <x:c r="E666" s="32"/>
      <x:c r="F666" s="32"/>
      <x:c r="G666" s="24" t="str">
        <x:f>IF($A666="","",IF(AND($C666="",$E666=""),"",IF($E666="","brak danych",IF($E666=0,0,IF(COUNTIFS($A$10:$A$89,$C666)&lt;&gt;1,"brak danych",IF(COUNTIFS($A$10:$A$89,$C666,$F$10:$F$89,"&lt;&gt;")=0,"brak danych",VLOOKUP($C666,$A$10:$J$89,6,FALSE)*$E666))))))</x:f>
      </x:c>
      <x:c r="H666" s="25" t="str">
        <x:f>IF($A666="","",IF(AND($C666="",$E666=""),"",IF($E666="","brak danych",IF($E666=0,0,IF(COUNTIFS($A$10:$A$89,$C666)&lt;&gt;1,"brak danych",IF(COUNTIFS($A$10:$A$89,$C666,$G$10:$G$89,"&lt;&gt;")=0,"brak danych",VLOOKUP($C666,$A$10:$J$89,7,FALSE)*$E666))))))</x:f>
      </x:c>
      <x:c r="I666" s="25" t="str">
        <x:f>IF($A666="","",IF(AND($C666="",$E666=""),"",IF($E666="","brak danych",IF($E666=0,0,IF(COUNTIFS($A$10:$A$89,$C666)&lt;&gt;1,"brak danych",IF(COUNTIFS($A$10:$A$89,$C666,$H$10:$H$89,"&lt;&gt;")=0,"brak danych",VLOOKUP($C666,$A$10:$J$89,8,FALSE)*$E666))))))</x:f>
      </x:c>
      <x:c r="J666" s="25" t="str">
        <x:f>IF($A666="","",IF(AND($C666="",$E666=""),"",IF($E666="","brak danych",IF($E666=0,0,IF(COUNTIFS($A$10:$A$89,$C666)&lt;&gt;1,"brak danych",IF(COUNTIFS($A$10:$A$89,$C666,$I$10:$I$89,"&lt;&gt;")=0,"brak danych",VLOOKUP($C666,$A$10:$J$89,9,FALSE)*$E666))))))</x:f>
      </x:c>
      <x:c r="K666" s="25" t="str">
        <x:f>IF($A666="","",IF(AND($C666="",$E666=""),"",IF($E666="","brak danych",IF($E666=0,0,IF(COUNTIFS($A$10:$A$89,$C666)&lt;&gt;1,"brak danych",IF(COUNTIFS($A$10:$A$89,$C666,$J$10:$J$89,"&lt;&gt;")=0,"brak danych",VLOOKUP($C666,$A$10:$J$89,10,FALSE)*$E666))))))</x:f>
      </x:c>
      <x:c r="L666" s="24" t="str">
        <x:f>IF($A666="","",IF($F666="","",IF($F666=0,0,IF(COUNTIFS($A$10:$A$89,$C666)&lt;&gt;1,"brak danych",IF(COUNTIFS($A$10:$A$89,$C666,$F$10:$F$89,"&lt;&gt;")=0,"brak danych",VLOOKUP($C666,$A$10:$J$89,6,FALSE)*$F666)))))</x:f>
      </x:c>
      <x:c r="M666" s="25" t="str">
        <x:f>IF($A666="","",IF($F666="","",IF($F666=0,0,IF(COUNTIFS($A$10:$A$89,$C666)&lt;&gt;1,"brak danych",IF(COUNTIFS($A$10:$A$89,$C666,$G$10:$G$89,"&lt;&gt;")=0,"brak danych",VLOOKUP($C666,$A$10:$J$89,7,FALSE)*$F666)))))</x:f>
      </x:c>
      <x:c r="N666" s="25" t="str">
        <x:f>IF($A666="","",IF($F666="","",IF($F666=0,0,IF(COUNTIFS($A$10:$A$89,$C666)&lt;&gt;1,"brak danych",IF(COUNTIFS($A$10:$A$89,$C666,$H$10:$H$89,"&lt;&gt;")=0,"brak danych",VLOOKUP($C666,$A$10:$J$89,8,FALSE)*$F666)))))</x:f>
      </x:c>
      <x:c r="O666" s="25" t="str">
        <x:f>IF($A666="","",IF($F666="","",IF($F666=0,0,IF(COUNTIFS($A$10:$A$89,$C666)&lt;&gt;1,"brak danych",IF(COUNTIFS($A$10:$A$89,$C666,$I$10:$I$89,"&lt;&gt;")=0,"brak danych",VLOOKUP($C666,$A$10:$J$89,9,FALSE)*$F666)))))</x:f>
      </x:c>
      <x:c r="P666" s="25" t="str">
        <x:f>IF($A666="","",IF($F666="","",IF($F666=0,0,IF(COUNTIFS($A$10:$A$89,$C666)&lt;&gt;1,"brak danych",IF(COUNTIFS($A$10:$A$89,$C666,$J$10:$J$89,"&lt;&gt;")=0,"brak danych",VLOOKUP($C666,$A$10:$J$89,10,FALSE)*$F666)))))</x:f>
      </x:c>
      <x:c r="Q666" s="18"/>
    </x:row>
    <x:row r="667" ht="25" customHeight="1">
      <x:c r="A667" s="6"/>
      <x:c r="B667" s="30"/>
      <x:c r="C667" s="5"/>
      <x:c r="D667" s="5"/>
      <x:c r="E667" s="32"/>
      <x:c r="F667" s="32"/>
      <x:c r="G667" s="24" t="str">
        <x:f>IF($A667="","",IF(AND($C667="",$E667=""),"",IF($E667="","brak danych",IF($E667=0,0,IF(COUNTIFS($A$10:$A$89,$C667)&lt;&gt;1,"brak danych",IF(COUNTIFS($A$10:$A$89,$C667,$F$10:$F$89,"&lt;&gt;")=0,"brak danych",VLOOKUP($C667,$A$10:$J$89,6,FALSE)*$E667))))))</x:f>
      </x:c>
      <x:c r="H667" s="25" t="str">
        <x:f>IF($A667="","",IF(AND($C667="",$E667=""),"",IF($E667="","brak danych",IF($E667=0,0,IF(COUNTIFS($A$10:$A$89,$C667)&lt;&gt;1,"brak danych",IF(COUNTIFS($A$10:$A$89,$C667,$G$10:$G$89,"&lt;&gt;")=0,"brak danych",VLOOKUP($C667,$A$10:$J$89,7,FALSE)*$E667))))))</x:f>
      </x:c>
      <x:c r="I667" s="25" t="str">
        <x:f>IF($A667="","",IF(AND($C667="",$E667=""),"",IF($E667="","brak danych",IF($E667=0,0,IF(COUNTIFS($A$10:$A$89,$C667)&lt;&gt;1,"brak danych",IF(COUNTIFS($A$10:$A$89,$C667,$H$10:$H$89,"&lt;&gt;")=0,"brak danych",VLOOKUP($C667,$A$10:$J$89,8,FALSE)*$E667))))))</x:f>
      </x:c>
      <x:c r="J667" s="25" t="str">
        <x:f>IF($A667="","",IF(AND($C667="",$E667=""),"",IF($E667="","brak danych",IF($E667=0,0,IF(COUNTIFS($A$10:$A$89,$C667)&lt;&gt;1,"brak danych",IF(COUNTIFS($A$10:$A$89,$C667,$I$10:$I$89,"&lt;&gt;")=0,"brak danych",VLOOKUP($C667,$A$10:$J$89,9,FALSE)*$E667))))))</x:f>
      </x:c>
      <x:c r="K667" s="25" t="str">
        <x:f>IF($A667="","",IF(AND($C667="",$E667=""),"",IF($E667="","brak danych",IF($E667=0,0,IF(COUNTIFS($A$10:$A$89,$C667)&lt;&gt;1,"brak danych",IF(COUNTIFS($A$10:$A$89,$C667,$J$10:$J$89,"&lt;&gt;")=0,"brak danych",VLOOKUP($C667,$A$10:$J$89,10,FALSE)*$E667))))))</x:f>
      </x:c>
      <x:c r="L667" s="24" t="str">
        <x:f>IF($A667="","",IF($F667="","",IF($F667=0,0,IF(COUNTIFS($A$10:$A$89,$C667)&lt;&gt;1,"brak danych",IF(COUNTIFS($A$10:$A$89,$C667,$F$10:$F$89,"&lt;&gt;")=0,"brak danych",VLOOKUP($C667,$A$10:$J$89,6,FALSE)*$F667)))))</x:f>
      </x:c>
      <x:c r="M667" s="25" t="str">
        <x:f>IF($A667="","",IF($F667="","",IF($F667=0,0,IF(COUNTIFS($A$10:$A$89,$C667)&lt;&gt;1,"brak danych",IF(COUNTIFS($A$10:$A$89,$C667,$G$10:$G$89,"&lt;&gt;")=0,"brak danych",VLOOKUP($C667,$A$10:$J$89,7,FALSE)*$F667)))))</x:f>
      </x:c>
      <x:c r="N667" s="25" t="str">
        <x:f>IF($A667="","",IF($F667="","",IF($F667=0,0,IF(COUNTIFS($A$10:$A$89,$C667)&lt;&gt;1,"brak danych",IF(COUNTIFS($A$10:$A$89,$C667,$H$10:$H$89,"&lt;&gt;")=0,"brak danych",VLOOKUP($C667,$A$10:$J$89,8,FALSE)*$F667)))))</x:f>
      </x:c>
      <x:c r="O667" s="25" t="str">
        <x:f>IF($A667="","",IF($F667="","",IF($F667=0,0,IF(COUNTIFS($A$10:$A$89,$C667)&lt;&gt;1,"brak danych",IF(COUNTIFS($A$10:$A$89,$C667,$I$10:$I$89,"&lt;&gt;")=0,"brak danych",VLOOKUP($C667,$A$10:$J$89,9,FALSE)*$F667)))))</x:f>
      </x:c>
      <x:c r="P667" s="25" t="str">
        <x:f>IF($A667="","",IF($F667="","",IF($F667=0,0,IF(COUNTIFS($A$10:$A$89,$C667)&lt;&gt;1,"brak danych",IF(COUNTIFS($A$10:$A$89,$C667,$J$10:$J$89,"&lt;&gt;")=0,"brak danych",VLOOKUP($C667,$A$10:$J$89,10,FALSE)*$F667)))))</x:f>
      </x:c>
      <x:c r="Q667" s="18"/>
    </x:row>
    <x:row r="668" ht="25" customHeight="1">
      <x:c r="A668" s="6"/>
      <x:c r="B668" s="30"/>
      <x:c r="C668" s="5"/>
      <x:c r="D668" s="5"/>
      <x:c r="E668" s="32"/>
      <x:c r="F668" s="32"/>
      <x:c r="G668" s="24" t="str">
        <x:f>IF($A668="","",IF(AND($C668="",$E668=""),"",IF($E668="","brak danych",IF($E668=0,0,IF(COUNTIFS($A$10:$A$89,$C668)&lt;&gt;1,"brak danych",IF(COUNTIFS($A$10:$A$89,$C668,$F$10:$F$89,"&lt;&gt;")=0,"brak danych",VLOOKUP($C668,$A$10:$J$89,6,FALSE)*$E668))))))</x:f>
      </x:c>
      <x:c r="H668" s="25" t="str">
        <x:f>IF($A668="","",IF(AND($C668="",$E668=""),"",IF($E668="","brak danych",IF($E668=0,0,IF(COUNTIFS($A$10:$A$89,$C668)&lt;&gt;1,"brak danych",IF(COUNTIFS($A$10:$A$89,$C668,$G$10:$G$89,"&lt;&gt;")=0,"brak danych",VLOOKUP($C668,$A$10:$J$89,7,FALSE)*$E668))))))</x:f>
      </x:c>
      <x:c r="I668" s="25" t="str">
        <x:f>IF($A668="","",IF(AND($C668="",$E668=""),"",IF($E668="","brak danych",IF($E668=0,0,IF(COUNTIFS($A$10:$A$89,$C668)&lt;&gt;1,"brak danych",IF(COUNTIFS($A$10:$A$89,$C668,$H$10:$H$89,"&lt;&gt;")=0,"brak danych",VLOOKUP($C668,$A$10:$J$89,8,FALSE)*$E668))))))</x:f>
      </x:c>
      <x:c r="J668" s="25" t="str">
        <x:f>IF($A668="","",IF(AND($C668="",$E668=""),"",IF($E668="","brak danych",IF($E668=0,0,IF(COUNTIFS($A$10:$A$89,$C668)&lt;&gt;1,"brak danych",IF(COUNTIFS($A$10:$A$89,$C668,$I$10:$I$89,"&lt;&gt;")=0,"brak danych",VLOOKUP($C668,$A$10:$J$89,9,FALSE)*$E668))))))</x:f>
      </x:c>
      <x:c r="K668" s="25" t="str">
        <x:f>IF($A668="","",IF(AND($C668="",$E668=""),"",IF($E668="","brak danych",IF($E668=0,0,IF(COUNTIFS($A$10:$A$89,$C668)&lt;&gt;1,"brak danych",IF(COUNTIFS($A$10:$A$89,$C668,$J$10:$J$89,"&lt;&gt;")=0,"brak danych",VLOOKUP($C668,$A$10:$J$89,10,FALSE)*$E668))))))</x:f>
      </x:c>
      <x:c r="L668" s="24" t="str">
        <x:f>IF($A668="","",IF($F668="","",IF($F668=0,0,IF(COUNTIFS($A$10:$A$89,$C668)&lt;&gt;1,"brak danych",IF(COUNTIFS($A$10:$A$89,$C668,$F$10:$F$89,"&lt;&gt;")=0,"brak danych",VLOOKUP($C668,$A$10:$J$89,6,FALSE)*$F668)))))</x:f>
      </x:c>
      <x:c r="M668" s="25" t="str">
        <x:f>IF($A668="","",IF($F668="","",IF($F668=0,0,IF(COUNTIFS($A$10:$A$89,$C668)&lt;&gt;1,"brak danych",IF(COUNTIFS($A$10:$A$89,$C668,$G$10:$G$89,"&lt;&gt;")=0,"brak danych",VLOOKUP($C668,$A$10:$J$89,7,FALSE)*$F668)))))</x:f>
      </x:c>
      <x:c r="N668" s="25" t="str">
        <x:f>IF($A668="","",IF($F668="","",IF($F668=0,0,IF(COUNTIFS($A$10:$A$89,$C668)&lt;&gt;1,"brak danych",IF(COUNTIFS($A$10:$A$89,$C668,$H$10:$H$89,"&lt;&gt;")=0,"brak danych",VLOOKUP($C668,$A$10:$J$89,8,FALSE)*$F668)))))</x:f>
      </x:c>
      <x:c r="O668" s="25" t="str">
        <x:f>IF($A668="","",IF($F668="","",IF($F668=0,0,IF(COUNTIFS($A$10:$A$89,$C668)&lt;&gt;1,"brak danych",IF(COUNTIFS($A$10:$A$89,$C668,$I$10:$I$89,"&lt;&gt;")=0,"brak danych",VLOOKUP($C668,$A$10:$J$89,9,FALSE)*$F668)))))</x:f>
      </x:c>
      <x:c r="P668" s="25" t="str">
        <x:f>IF($A668="","",IF($F668="","",IF($F668=0,0,IF(COUNTIFS($A$10:$A$89,$C668)&lt;&gt;1,"brak danych",IF(COUNTIFS($A$10:$A$89,$C668,$J$10:$J$89,"&lt;&gt;")=0,"brak danych",VLOOKUP($C668,$A$10:$J$89,10,FALSE)*$F668)))))</x:f>
      </x:c>
      <x:c r="Q668" s="18"/>
    </x:row>
    <x:row r="669" ht="25" customHeight="1">
      <x:c r="A669" s="6"/>
      <x:c r="B669" s="30"/>
      <x:c r="C669" s="5"/>
      <x:c r="D669" s="5"/>
      <x:c r="E669" s="32"/>
      <x:c r="F669" s="32"/>
      <x:c r="G669" s="24" t="str">
        <x:f>IF($A669="","",IF(AND($C669="",$E669=""),"",IF($E669="","brak danych",IF($E669=0,0,IF(COUNTIFS($A$10:$A$89,$C669)&lt;&gt;1,"brak danych",IF(COUNTIFS($A$10:$A$89,$C669,$F$10:$F$89,"&lt;&gt;")=0,"brak danych",VLOOKUP($C669,$A$10:$J$89,6,FALSE)*$E669))))))</x:f>
      </x:c>
      <x:c r="H669" s="25" t="str">
        <x:f>IF($A669="","",IF(AND($C669="",$E669=""),"",IF($E669="","brak danych",IF($E669=0,0,IF(COUNTIFS($A$10:$A$89,$C669)&lt;&gt;1,"brak danych",IF(COUNTIFS($A$10:$A$89,$C669,$G$10:$G$89,"&lt;&gt;")=0,"brak danych",VLOOKUP($C669,$A$10:$J$89,7,FALSE)*$E669))))))</x:f>
      </x:c>
      <x:c r="I669" s="25" t="str">
        <x:f>IF($A669="","",IF(AND($C669="",$E669=""),"",IF($E669="","brak danych",IF($E669=0,0,IF(COUNTIFS($A$10:$A$89,$C669)&lt;&gt;1,"brak danych",IF(COUNTIFS($A$10:$A$89,$C669,$H$10:$H$89,"&lt;&gt;")=0,"brak danych",VLOOKUP($C669,$A$10:$J$89,8,FALSE)*$E669))))))</x:f>
      </x:c>
      <x:c r="J669" s="25" t="str">
        <x:f>IF($A669="","",IF(AND($C669="",$E669=""),"",IF($E669="","brak danych",IF($E669=0,0,IF(COUNTIFS($A$10:$A$89,$C669)&lt;&gt;1,"brak danych",IF(COUNTIFS($A$10:$A$89,$C669,$I$10:$I$89,"&lt;&gt;")=0,"brak danych",VLOOKUP($C669,$A$10:$J$89,9,FALSE)*$E669))))))</x:f>
      </x:c>
      <x:c r="K669" s="25" t="str">
        <x:f>IF($A669="","",IF(AND($C669="",$E669=""),"",IF($E669="","brak danych",IF($E669=0,0,IF(COUNTIFS($A$10:$A$89,$C669)&lt;&gt;1,"brak danych",IF(COUNTIFS($A$10:$A$89,$C669,$J$10:$J$89,"&lt;&gt;")=0,"brak danych",VLOOKUP($C669,$A$10:$J$89,10,FALSE)*$E669))))))</x:f>
      </x:c>
      <x:c r="L669" s="24" t="str">
        <x:f>IF($A669="","",IF($F669="","",IF($F669=0,0,IF(COUNTIFS($A$10:$A$89,$C669)&lt;&gt;1,"brak danych",IF(COUNTIFS($A$10:$A$89,$C669,$F$10:$F$89,"&lt;&gt;")=0,"brak danych",VLOOKUP($C669,$A$10:$J$89,6,FALSE)*$F669)))))</x:f>
      </x:c>
      <x:c r="M669" s="25" t="str">
        <x:f>IF($A669="","",IF($F669="","",IF($F669=0,0,IF(COUNTIFS($A$10:$A$89,$C669)&lt;&gt;1,"brak danych",IF(COUNTIFS($A$10:$A$89,$C669,$G$10:$G$89,"&lt;&gt;")=0,"brak danych",VLOOKUP($C669,$A$10:$J$89,7,FALSE)*$F669)))))</x:f>
      </x:c>
      <x:c r="N669" s="25" t="str">
        <x:f>IF($A669="","",IF($F669="","",IF($F669=0,0,IF(COUNTIFS($A$10:$A$89,$C669)&lt;&gt;1,"brak danych",IF(COUNTIFS($A$10:$A$89,$C669,$H$10:$H$89,"&lt;&gt;")=0,"brak danych",VLOOKUP($C669,$A$10:$J$89,8,FALSE)*$F669)))))</x:f>
      </x:c>
      <x:c r="O669" s="25" t="str">
        <x:f>IF($A669="","",IF($F669="","",IF($F669=0,0,IF(COUNTIFS($A$10:$A$89,$C669)&lt;&gt;1,"brak danych",IF(COUNTIFS($A$10:$A$89,$C669,$I$10:$I$89,"&lt;&gt;")=0,"brak danych",VLOOKUP($C669,$A$10:$J$89,9,FALSE)*$F669)))))</x:f>
      </x:c>
      <x:c r="P669" s="25" t="str">
        <x:f>IF($A669="","",IF($F669="","",IF($F669=0,0,IF(COUNTIFS($A$10:$A$89,$C669)&lt;&gt;1,"brak danych",IF(COUNTIFS($A$10:$A$89,$C669,$J$10:$J$89,"&lt;&gt;")=0,"brak danych",VLOOKUP($C669,$A$10:$J$89,10,FALSE)*$F669)))))</x:f>
      </x:c>
      <x:c r="Q669" s="18"/>
    </x:row>
    <x:row r="670" ht="25" customHeight="1">
      <x:c r="A670" s="6"/>
      <x:c r="B670" s="30"/>
      <x:c r="C670" s="5"/>
      <x:c r="D670" s="5"/>
      <x:c r="E670" s="32"/>
      <x:c r="F670" s="32"/>
      <x:c r="G670" s="24" t="str">
        <x:f>IF($A670="","",IF(AND($C670="",$E670=""),"",IF($E670="","brak danych",IF($E670=0,0,IF(COUNTIFS($A$10:$A$89,$C670)&lt;&gt;1,"brak danych",IF(COUNTIFS($A$10:$A$89,$C670,$F$10:$F$89,"&lt;&gt;")=0,"brak danych",VLOOKUP($C670,$A$10:$J$89,6,FALSE)*$E670))))))</x:f>
      </x:c>
      <x:c r="H670" s="25" t="str">
        <x:f>IF($A670="","",IF(AND($C670="",$E670=""),"",IF($E670="","brak danych",IF($E670=0,0,IF(COUNTIFS($A$10:$A$89,$C670)&lt;&gt;1,"brak danych",IF(COUNTIFS($A$10:$A$89,$C670,$G$10:$G$89,"&lt;&gt;")=0,"brak danych",VLOOKUP($C670,$A$10:$J$89,7,FALSE)*$E670))))))</x:f>
      </x:c>
      <x:c r="I670" s="25" t="str">
        <x:f>IF($A670="","",IF(AND($C670="",$E670=""),"",IF($E670="","brak danych",IF($E670=0,0,IF(COUNTIFS($A$10:$A$89,$C670)&lt;&gt;1,"brak danych",IF(COUNTIFS($A$10:$A$89,$C670,$H$10:$H$89,"&lt;&gt;")=0,"brak danych",VLOOKUP($C670,$A$10:$J$89,8,FALSE)*$E670))))))</x:f>
      </x:c>
      <x:c r="J670" s="25" t="str">
        <x:f>IF($A670="","",IF(AND($C670="",$E670=""),"",IF($E670="","brak danych",IF($E670=0,0,IF(COUNTIFS($A$10:$A$89,$C670)&lt;&gt;1,"brak danych",IF(COUNTIFS($A$10:$A$89,$C670,$I$10:$I$89,"&lt;&gt;")=0,"brak danych",VLOOKUP($C670,$A$10:$J$89,9,FALSE)*$E670))))))</x:f>
      </x:c>
      <x:c r="K670" s="25" t="str">
        <x:f>IF($A670="","",IF(AND($C670="",$E670=""),"",IF($E670="","brak danych",IF($E670=0,0,IF(COUNTIFS($A$10:$A$89,$C670)&lt;&gt;1,"brak danych",IF(COUNTIFS($A$10:$A$89,$C670,$J$10:$J$89,"&lt;&gt;")=0,"brak danych",VLOOKUP($C670,$A$10:$J$89,10,FALSE)*$E670))))))</x:f>
      </x:c>
      <x:c r="L670" s="24" t="str">
        <x:f>IF($A670="","",IF($F670="","",IF($F670=0,0,IF(COUNTIFS($A$10:$A$89,$C670)&lt;&gt;1,"brak danych",IF(COUNTIFS($A$10:$A$89,$C670,$F$10:$F$89,"&lt;&gt;")=0,"brak danych",VLOOKUP($C670,$A$10:$J$89,6,FALSE)*$F670)))))</x:f>
      </x:c>
      <x:c r="M670" s="25" t="str">
        <x:f>IF($A670="","",IF($F670="","",IF($F670=0,0,IF(COUNTIFS($A$10:$A$89,$C670)&lt;&gt;1,"brak danych",IF(COUNTIFS($A$10:$A$89,$C670,$G$10:$G$89,"&lt;&gt;")=0,"brak danych",VLOOKUP($C670,$A$10:$J$89,7,FALSE)*$F670)))))</x:f>
      </x:c>
      <x:c r="N670" s="25" t="str">
        <x:f>IF($A670="","",IF($F670="","",IF($F670=0,0,IF(COUNTIFS($A$10:$A$89,$C670)&lt;&gt;1,"brak danych",IF(COUNTIFS($A$10:$A$89,$C670,$H$10:$H$89,"&lt;&gt;")=0,"brak danych",VLOOKUP($C670,$A$10:$J$89,8,FALSE)*$F670)))))</x:f>
      </x:c>
      <x:c r="O670" s="25" t="str">
        <x:f>IF($A670="","",IF($F670="","",IF($F670=0,0,IF(COUNTIFS($A$10:$A$89,$C670)&lt;&gt;1,"brak danych",IF(COUNTIFS($A$10:$A$89,$C670,$I$10:$I$89,"&lt;&gt;")=0,"brak danych",VLOOKUP($C670,$A$10:$J$89,9,FALSE)*$F670)))))</x:f>
      </x:c>
      <x:c r="P670" s="25" t="str">
        <x:f>IF($A670="","",IF($F670="","",IF($F670=0,0,IF(COUNTIFS($A$10:$A$89,$C670)&lt;&gt;1,"brak danych",IF(COUNTIFS($A$10:$A$89,$C670,$J$10:$J$89,"&lt;&gt;")=0,"brak danych",VLOOKUP($C670,$A$10:$J$89,10,FALSE)*$F670)))))</x:f>
      </x:c>
      <x:c r="Q670" s="18"/>
    </x:row>
    <x:row r="671" ht="25" customHeight="1">
      <x:c r="A671" s="6"/>
      <x:c r="B671" s="30"/>
      <x:c r="C671" s="5"/>
      <x:c r="D671" s="5"/>
      <x:c r="E671" s="32"/>
      <x:c r="F671" s="32"/>
      <x:c r="G671" s="24" t="str">
        <x:f>IF($A671="","",IF(AND($C671="",$E671=""),"",IF($E671="","brak danych",IF($E671=0,0,IF(COUNTIFS($A$10:$A$89,$C671)&lt;&gt;1,"brak danych",IF(COUNTIFS($A$10:$A$89,$C671,$F$10:$F$89,"&lt;&gt;")=0,"brak danych",VLOOKUP($C671,$A$10:$J$89,6,FALSE)*$E671))))))</x:f>
      </x:c>
      <x:c r="H671" s="25" t="str">
        <x:f>IF($A671="","",IF(AND($C671="",$E671=""),"",IF($E671="","brak danych",IF($E671=0,0,IF(COUNTIFS($A$10:$A$89,$C671)&lt;&gt;1,"brak danych",IF(COUNTIFS($A$10:$A$89,$C671,$G$10:$G$89,"&lt;&gt;")=0,"brak danych",VLOOKUP($C671,$A$10:$J$89,7,FALSE)*$E671))))))</x:f>
      </x:c>
      <x:c r="I671" s="25" t="str">
        <x:f>IF($A671="","",IF(AND($C671="",$E671=""),"",IF($E671="","brak danych",IF($E671=0,0,IF(COUNTIFS($A$10:$A$89,$C671)&lt;&gt;1,"brak danych",IF(COUNTIFS($A$10:$A$89,$C671,$H$10:$H$89,"&lt;&gt;")=0,"brak danych",VLOOKUP($C671,$A$10:$J$89,8,FALSE)*$E671))))))</x:f>
      </x:c>
      <x:c r="J671" s="25" t="str">
        <x:f>IF($A671="","",IF(AND($C671="",$E671=""),"",IF($E671="","brak danych",IF($E671=0,0,IF(COUNTIFS($A$10:$A$89,$C671)&lt;&gt;1,"brak danych",IF(COUNTIFS($A$10:$A$89,$C671,$I$10:$I$89,"&lt;&gt;")=0,"brak danych",VLOOKUP($C671,$A$10:$J$89,9,FALSE)*$E671))))))</x:f>
      </x:c>
      <x:c r="K671" s="25" t="str">
        <x:f>IF($A671="","",IF(AND($C671="",$E671=""),"",IF($E671="","brak danych",IF($E671=0,0,IF(COUNTIFS($A$10:$A$89,$C671)&lt;&gt;1,"brak danych",IF(COUNTIFS($A$10:$A$89,$C671,$J$10:$J$89,"&lt;&gt;")=0,"brak danych",VLOOKUP($C671,$A$10:$J$89,10,FALSE)*$E671))))))</x:f>
      </x:c>
      <x:c r="L671" s="24" t="str">
        <x:f>IF($A671="","",IF($F671="","",IF($F671=0,0,IF(COUNTIFS($A$10:$A$89,$C671)&lt;&gt;1,"brak danych",IF(COUNTIFS($A$10:$A$89,$C671,$F$10:$F$89,"&lt;&gt;")=0,"brak danych",VLOOKUP($C671,$A$10:$J$89,6,FALSE)*$F671)))))</x:f>
      </x:c>
      <x:c r="M671" s="25" t="str">
        <x:f>IF($A671="","",IF($F671="","",IF($F671=0,0,IF(COUNTIFS($A$10:$A$89,$C671)&lt;&gt;1,"brak danych",IF(COUNTIFS($A$10:$A$89,$C671,$G$10:$G$89,"&lt;&gt;")=0,"brak danych",VLOOKUP($C671,$A$10:$J$89,7,FALSE)*$F671)))))</x:f>
      </x:c>
      <x:c r="N671" s="25" t="str">
        <x:f>IF($A671="","",IF($F671="","",IF($F671=0,0,IF(COUNTIFS($A$10:$A$89,$C671)&lt;&gt;1,"brak danych",IF(COUNTIFS($A$10:$A$89,$C671,$H$10:$H$89,"&lt;&gt;")=0,"brak danych",VLOOKUP($C671,$A$10:$J$89,8,FALSE)*$F671)))))</x:f>
      </x:c>
      <x:c r="O671" s="25" t="str">
        <x:f>IF($A671="","",IF($F671="","",IF($F671=0,0,IF(COUNTIFS($A$10:$A$89,$C671)&lt;&gt;1,"brak danych",IF(COUNTIFS($A$10:$A$89,$C671,$I$10:$I$89,"&lt;&gt;")=0,"brak danych",VLOOKUP($C671,$A$10:$J$89,9,FALSE)*$F671)))))</x:f>
      </x:c>
      <x:c r="P671" s="25" t="str">
        <x:f>IF($A671="","",IF($F671="","",IF($F671=0,0,IF(COUNTIFS($A$10:$A$89,$C671)&lt;&gt;1,"brak danych",IF(COUNTIFS($A$10:$A$89,$C671,$J$10:$J$89,"&lt;&gt;")=0,"brak danych",VLOOKUP($C671,$A$10:$J$89,10,FALSE)*$F671)))))</x:f>
      </x:c>
      <x:c r="Q671" s="18"/>
    </x:row>
    <x:row r="672" ht="25" customHeight="1">
      <x:c r="A672" s="6"/>
      <x:c r="B672" s="30"/>
      <x:c r="C672" s="5"/>
      <x:c r="D672" s="5"/>
      <x:c r="E672" s="32"/>
      <x:c r="F672" s="32"/>
      <x:c r="G672" s="24" t="str">
        <x:f>IF($A672="","",IF(AND($C672="",$E672=""),"",IF($E672="","brak danych",IF($E672=0,0,IF(COUNTIFS($A$10:$A$89,$C672)&lt;&gt;1,"brak danych",IF(COUNTIFS($A$10:$A$89,$C672,$F$10:$F$89,"&lt;&gt;")=0,"brak danych",VLOOKUP($C672,$A$10:$J$89,6,FALSE)*$E672))))))</x:f>
      </x:c>
      <x:c r="H672" s="25" t="str">
        <x:f>IF($A672="","",IF(AND($C672="",$E672=""),"",IF($E672="","brak danych",IF($E672=0,0,IF(COUNTIFS($A$10:$A$89,$C672)&lt;&gt;1,"brak danych",IF(COUNTIFS($A$10:$A$89,$C672,$G$10:$G$89,"&lt;&gt;")=0,"brak danych",VLOOKUP($C672,$A$10:$J$89,7,FALSE)*$E672))))))</x:f>
      </x:c>
      <x:c r="I672" s="25" t="str">
        <x:f>IF($A672="","",IF(AND($C672="",$E672=""),"",IF($E672="","brak danych",IF($E672=0,0,IF(COUNTIFS($A$10:$A$89,$C672)&lt;&gt;1,"brak danych",IF(COUNTIFS($A$10:$A$89,$C672,$H$10:$H$89,"&lt;&gt;")=0,"brak danych",VLOOKUP($C672,$A$10:$J$89,8,FALSE)*$E672))))))</x:f>
      </x:c>
      <x:c r="J672" s="25" t="str">
        <x:f>IF($A672="","",IF(AND($C672="",$E672=""),"",IF($E672="","brak danych",IF($E672=0,0,IF(COUNTIFS($A$10:$A$89,$C672)&lt;&gt;1,"brak danych",IF(COUNTIFS($A$10:$A$89,$C672,$I$10:$I$89,"&lt;&gt;")=0,"brak danych",VLOOKUP($C672,$A$10:$J$89,9,FALSE)*$E672))))))</x:f>
      </x:c>
      <x:c r="K672" s="25" t="str">
        <x:f>IF($A672="","",IF(AND($C672="",$E672=""),"",IF($E672="","brak danych",IF($E672=0,0,IF(COUNTIFS($A$10:$A$89,$C672)&lt;&gt;1,"brak danych",IF(COUNTIFS($A$10:$A$89,$C672,$J$10:$J$89,"&lt;&gt;")=0,"brak danych",VLOOKUP($C672,$A$10:$J$89,10,FALSE)*$E672))))))</x:f>
      </x:c>
      <x:c r="L672" s="24" t="str">
        <x:f>IF($A672="","",IF($F672="","",IF($F672=0,0,IF(COUNTIFS($A$10:$A$89,$C672)&lt;&gt;1,"brak danych",IF(COUNTIFS($A$10:$A$89,$C672,$F$10:$F$89,"&lt;&gt;")=0,"brak danych",VLOOKUP($C672,$A$10:$J$89,6,FALSE)*$F672)))))</x:f>
      </x:c>
      <x:c r="M672" s="25" t="str">
        <x:f>IF($A672="","",IF($F672="","",IF($F672=0,0,IF(COUNTIFS($A$10:$A$89,$C672)&lt;&gt;1,"brak danych",IF(COUNTIFS($A$10:$A$89,$C672,$G$10:$G$89,"&lt;&gt;")=0,"brak danych",VLOOKUP($C672,$A$10:$J$89,7,FALSE)*$F672)))))</x:f>
      </x:c>
      <x:c r="N672" s="25" t="str">
        <x:f>IF($A672="","",IF($F672="","",IF($F672=0,0,IF(COUNTIFS($A$10:$A$89,$C672)&lt;&gt;1,"brak danych",IF(COUNTIFS($A$10:$A$89,$C672,$H$10:$H$89,"&lt;&gt;")=0,"brak danych",VLOOKUP($C672,$A$10:$J$89,8,FALSE)*$F672)))))</x:f>
      </x:c>
      <x:c r="O672" s="25" t="str">
        <x:f>IF($A672="","",IF($F672="","",IF($F672=0,0,IF(COUNTIFS($A$10:$A$89,$C672)&lt;&gt;1,"brak danych",IF(COUNTIFS($A$10:$A$89,$C672,$I$10:$I$89,"&lt;&gt;")=0,"brak danych",VLOOKUP($C672,$A$10:$J$89,9,FALSE)*$F672)))))</x:f>
      </x:c>
      <x:c r="P672" s="25" t="str">
        <x:f>IF($A672="","",IF($F672="","",IF($F672=0,0,IF(COUNTIFS($A$10:$A$89,$C672)&lt;&gt;1,"brak danych",IF(COUNTIFS($A$10:$A$89,$C672,$J$10:$J$89,"&lt;&gt;")=0,"brak danych",VLOOKUP($C672,$A$10:$J$89,10,FALSE)*$F672)))))</x:f>
      </x:c>
      <x:c r="Q672" s="18"/>
    </x:row>
    <x:row r="673" ht="25" customHeight="1">
      <x:c r="A673" s="6"/>
      <x:c r="B673" s="30"/>
      <x:c r="C673" s="5"/>
      <x:c r="D673" s="5"/>
      <x:c r="E673" s="32"/>
      <x:c r="F673" s="32"/>
      <x:c r="G673" s="24" t="str">
        <x:f>IF($A673="","",IF(AND($C673="",$E673=""),"",IF($E673="","brak danych",IF($E673=0,0,IF(COUNTIFS($A$10:$A$89,$C673)&lt;&gt;1,"brak danych",IF(COUNTIFS($A$10:$A$89,$C673,$F$10:$F$89,"&lt;&gt;")=0,"brak danych",VLOOKUP($C673,$A$10:$J$89,6,FALSE)*$E673))))))</x:f>
      </x:c>
      <x:c r="H673" s="25" t="str">
        <x:f>IF($A673="","",IF(AND($C673="",$E673=""),"",IF($E673="","brak danych",IF($E673=0,0,IF(COUNTIFS($A$10:$A$89,$C673)&lt;&gt;1,"brak danych",IF(COUNTIFS($A$10:$A$89,$C673,$G$10:$G$89,"&lt;&gt;")=0,"brak danych",VLOOKUP($C673,$A$10:$J$89,7,FALSE)*$E673))))))</x:f>
      </x:c>
      <x:c r="I673" s="25" t="str">
        <x:f>IF($A673="","",IF(AND($C673="",$E673=""),"",IF($E673="","brak danych",IF($E673=0,0,IF(COUNTIFS($A$10:$A$89,$C673)&lt;&gt;1,"brak danych",IF(COUNTIFS($A$10:$A$89,$C673,$H$10:$H$89,"&lt;&gt;")=0,"brak danych",VLOOKUP($C673,$A$10:$J$89,8,FALSE)*$E673))))))</x:f>
      </x:c>
      <x:c r="J673" s="25" t="str">
        <x:f>IF($A673="","",IF(AND($C673="",$E673=""),"",IF($E673="","brak danych",IF($E673=0,0,IF(COUNTIFS($A$10:$A$89,$C673)&lt;&gt;1,"brak danych",IF(COUNTIFS($A$10:$A$89,$C673,$I$10:$I$89,"&lt;&gt;")=0,"brak danych",VLOOKUP($C673,$A$10:$J$89,9,FALSE)*$E673))))))</x:f>
      </x:c>
      <x:c r="K673" s="25" t="str">
        <x:f>IF($A673="","",IF(AND($C673="",$E673=""),"",IF($E673="","brak danych",IF($E673=0,0,IF(COUNTIFS($A$10:$A$89,$C673)&lt;&gt;1,"brak danych",IF(COUNTIFS($A$10:$A$89,$C673,$J$10:$J$89,"&lt;&gt;")=0,"brak danych",VLOOKUP($C673,$A$10:$J$89,10,FALSE)*$E673))))))</x:f>
      </x:c>
      <x:c r="L673" s="24" t="str">
        <x:f>IF($A673="","",IF($F673="","",IF($F673=0,0,IF(COUNTIFS($A$10:$A$89,$C673)&lt;&gt;1,"brak danych",IF(COUNTIFS($A$10:$A$89,$C673,$F$10:$F$89,"&lt;&gt;")=0,"brak danych",VLOOKUP($C673,$A$10:$J$89,6,FALSE)*$F673)))))</x:f>
      </x:c>
      <x:c r="M673" s="25" t="str">
        <x:f>IF($A673="","",IF($F673="","",IF($F673=0,0,IF(COUNTIFS($A$10:$A$89,$C673)&lt;&gt;1,"brak danych",IF(COUNTIFS($A$10:$A$89,$C673,$G$10:$G$89,"&lt;&gt;")=0,"brak danych",VLOOKUP($C673,$A$10:$J$89,7,FALSE)*$F673)))))</x:f>
      </x:c>
      <x:c r="N673" s="25" t="str">
        <x:f>IF($A673="","",IF($F673="","",IF($F673=0,0,IF(COUNTIFS($A$10:$A$89,$C673)&lt;&gt;1,"brak danych",IF(COUNTIFS($A$10:$A$89,$C673,$H$10:$H$89,"&lt;&gt;")=0,"brak danych",VLOOKUP($C673,$A$10:$J$89,8,FALSE)*$F673)))))</x:f>
      </x:c>
      <x:c r="O673" s="25" t="str">
        <x:f>IF($A673="","",IF($F673="","",IF($F673=0,0,IF(COUNTIFS($A$10:$A$89,$C673)&lt;&gt;1,"brak danych",IF(COUNTIFS($A$10:$A$89,$C673,$I$10:$I$89,"&lt;&gt;")=0,"brak danych",VLOOKUP($C673,$A$10:$J$89,9,FALSE)*$F673)))))</x:f>
      </x:c>
      <x:c r="P673" s="25" t="str">
        <x:f>IF($A673="","",IF($F673="","",IF($F673=0,0,IF(COUNTIFS($A$10:$A$89,$C673)&lt;&gt;1,"brak danych",IF(COUNTIFS($A$10:$A$89,$C673,$J$10:$J$89,"&lt;&gt;")=0,"brak danych",VLOOKUP($C673,$A$10:$J$89,10,FALSE)*$F673)))))</x:f>
      </x:c>
      <x:c r="Q673" s="18"/>
    </x:row>
    <x:row r="674" ht="25" customHeight="1">
      <x:c r="A674" s="6"/>
      <x:c r="B674" s="30"/>
      <x:c r="C674" s="5"/>
      <x:c r="D674" s="5"/>
      <x:c r="E674" s="32"/>
      <x:c r="F674" s="32"/>
      <x:c r="G674" s="24" t="str">
        <x:f>IF($A674="","",IF(AND($C674="",$E674=""),"",IF($E674="","brak danych",IF($E674=0,0,IF(COUNTIFS($A$10:$A$89,$C674)&lt;&gt;1,"brak danych",IF(COUNTIFS($A$10:$A$89,$C674,$F$10:$F$89,"&lt;&gt;")=0,"brak danych",VLOOKUP($C674,$A$10:$J$89,6,FALSE)*$E674))))))</x:f>
      </x:c>
      <x:c r="H674" s="25" t="str">
        <x:f>IF($A674="","",IF(AND($C674="",$E674=""),"",IF($E674="","brak danych",IF($E674=0,0,IF(COUNTIFS($A$10:$A$89,$C674)&lt;&gt;1,"brak danych",IF(COUNTIFS($A$10:$A$89,$C674,$G$10:$G$89,"&lt;&gt;")=0,"brak danych",VLOOKUP($C674,$A$10:$J$89,7,FALSE)*$E674))))))</x:f>
      </x:c>
      <x:c r="I674" s="25" t="str">
        <x:f>IF($A674="","",IF(AND($C674="",$E674=""),"",IF($E674="","brak danych",IF($E674=0,0,IF(COUNTIFS($A$10:$A$89,$C674)&lt;&gt;1,"brak danych",IF(COUNTIFS($A$10:$A$89,$C674,$H$10:$H$89,"&lt;&gt;")=0,"brak danych",VLOOKUP($C674,$A$10:$J$89,8,FALSE)*$E674))))))</x:f>
      </x:c>
      <x:c r="J674" s="25" t="str">
        <x:f>IF($A674="","",IF(AND($C674="",$E674=""),"",IF($E674="","brak danych",IF($E674=0,0,IF(COUNTIFS($A$10:$A$89,$C674)&lt;&gt;1,"brak danych",IF(COUNTIFS($A$10:$A$89,$C674,$I$10:$I$89,"&lt;&gt;")=0,"brak danych",VLOOKUP($C674,$A$10:$J$89,9,FALSE)*$E674))))))</x:f>
      </x:c>
      <x:c r="K674" s="25" t="str">
        <x:f>IF($A674="","",IF(AND($C674="",$E674=""),"",IF($E674="","brak danych",IF($E674=0,0,IF(COUNTIFS($A$10:$A$89,$C674)&lt;&gt;1,"brak danych",IF(COUNTIFS($A$10:$A$89,$C674,$J$10:$J$89,"&lt;&gt;")=0,"brak danych",VLOOKUP($C674,$A$10:$J$89,10,FALSE)*$E674))))))</x:f>
      </x:c>
      <x:c r="L674" s="24" t="str">
        <x:f>IF($A674="","",IF($F674="","",IF($F674=0,0,IF(COUNTIFS($A$10:$A$89,$C674)&lt;&gt;1,"brak danych",IF(COUNTIFS($A$10:$A$89,$C674,$F$10:$F$89,"&lt;&gt;")=0,"brak danych",VLOOKUP($C674,$A$10:$J$89,6,FALSE)*$F674)))))</x:f>
      </x:c>
      <x:c r="M674" s="25" t="str">
        <x:f>IF($A674="","",IF($F674="","",IF($F674=0,0,IF(COUNTIFS($A$10:$A$89,$C674)&lt;&gt;1,"brak danych",IF(COUNTIFS($A$10:$A$89,$C674,$G$10:$G$89,"&lt;&gt;")=0,"brak danych",VLOOKUP($C674,$A$10:$J$89,7,FALSE)*$F674)))))</x:f>
      </x:c>
      <x:c r="N674" s="25" t="str">
        <x:f>IF($A674="","",IF($F674="","",IF($F674=0,0,IF(COUNTIFS($A$10:$A$89,$C674)&lt;&gt;1,"brak danych",IF(COUNTIFS($A$10:$A$89,$C674,$H$10:$H$89,"&lt;&gt;")=0,"brak danych",VLOOKUP($C674,$A$10:$J$89,8,FALSE)*$F674)))))</x:f>
      </x:c>
      <x:c r="O674" s="25" t="str">
        <x:f>IF($A674="","",IF($F674="","",IF($F674=0,0,IF(COUNTIFS($A$10:$A$89,$C674)&lt;&gt;1,"brak danych",IF(COUNTIFS($A$10:$A$89,$C674,$I$10:$I$89,"&lt;&gt;")=0,"brak danych",VLOOKUP($C674,$A$10:$J$89,9,FALSE)*$F674)))))</x:f>
      </x:c>
      <x:c r="P674" s="25" t="str">
        <x:f>IF($A674="","",IF($F674="","",IF($F674=0,0,IF(COUNTIFS($A$10:$A$89,$C674)&lt;&gt;1,"brak danych",IF(COUNTIFS($A$10:$A$89,$C674,$J$10:$J$89,"&lt;&gt;")=0,"brak danych",VLOOKUP($C674,$A$10:$J$89,10,FALSE)*$F674)))))</x:f>
      </x:c>
      <x:c r="Q674" s="18"/>
    </x:row>
    <x:row r="675" ht="25" customHeight="1">
      <x:c r="A675" s="6"/>
      <x:c r="B675" s="30"/>
      <x:c r="C675" s="5"/>
      <x:c r="D675" s="5"/>
      <x:c r="E675" s="32"/>
      <x:c r="F675" s="32"/>
      <x:c r="G675" s="24" t="str">
        <x:f>IF($A675="","",IF(AND($C675="",$E675=""),"",IF($E675="","brak danych",IF($E675=0,0,IF(COUNTIFS($A$10:$A$89,$C675)&lt;&gt;1,"brak danych",IF(COUNTIFS($A$10:$A$89,$C675,$F$10:$F$89,"&lt;&gt;")=0,"brak danych",VLOOKUP($C675,$A$10:$J$89,6,FALSE)*$E675))))))</x:f>
      </x:c>
      <x:c r="H675" s="25" t="str">
        <x:f>IF($A675="","",IF(AND($C675="",$E675=""),"",IF($E675="","brak danych",IF($E675=0,0,IF(COUNTIFS($A$10:$A$89,$C675)&lt;&gt;1,"brak danych",IF(COUNTIFS($A$10:$A$89,$C675,$G$10:$G$89,"&lt;&gt;")=0,"brak danych",VLOOKUP($C675,$A$10:$J$89,7,FALSE)*$E675))))))</x:f>
      </x:c>
      <x:c r="I675" s="25" t="str">
        <x:f>IF($A675="","",IF(AND($C675="",$E675=""),"",IF($E675="","brak danych",IF($E675=0,0,IF(COUNTIFS($A$10:$A$89,$C675)&lt;&gt;1,"brak danych",IF(COUNTIFS($A$10:$A$89,$C675,$H$10:$H$89,"&lt;&gt;")=0,"brak danych",VLOOKUP($C675,$A$10:$J$89,8,FALSE)*$E675))))))</x:f>
      </x:c>
      <x:c r="J675" s="25" t="str">
        <x:f>IF($A675="","",IF(AND($C675="",$E675=""),"",IF($E675="","brak danych",IF($E675=0,0,IF(COUNTIFS($A$10:$A$89,$C675)&lt;&gt;1,"brak danych",IF(COUNTIFS($A$10:$A$89,$C675,$I$10:$I$89,"&lt;&gt;")=0,"brak danych",VLOOKUP($C675,$A$10:$J$89,9,FALSE)*$E675))))))</x:f>
      </x:c>
      <x:c r="K675" s="25" t="str">
        <x:f>IF($A675="","",IF(AND($C675="",$E675=""),"",IF($E675="","brak danych",IF($E675=0,0,IF(COUNTIFS($A$10:$A$89,$C675)&lt;&gt;1,"brak danych",IF(COUNTIFS($A$10:$A$89,$C675,$J$10:$J$89,"&lt;&gt;")=0,"brak danych",VLOOKUP($C675,$A$10:$J$89,10,FALSE)*$E675))))))</x:f>
      </x:c>
      <x:c r="L675" s="24" t="str">
        <x:f>IF($A675="","",IF($F675="","",IF($F675=0,0,IF(COUNTIFS($A$10:$A$89,$C675)&lt;&gt;1,"brak danych",IF(COUNTIFS($A$10:$A$89,$C675,$F$10:$F$89,"&lt;&gt;")=0,"brak danych",VLOOKUP($C675,$A$10:$J$89,6,FALSE)*$F675)))))</x:f>
      </x:c>
      <x:c r="M675" s="25" t="str">
        <x:f>IF($A675="","",IF($F675="","",IF($F675=0,0,IF(COUNTIFS($A$10:$A$89,$C675)&lt;&gt;1,"brak danych",IF(COUNTIFS($A$10:$A$89,$C675,$G$10:$G$89,"&lt;&gt;")=0,"brak danych",VLOOKUP($C675,$A$10:$J$89,7,FALSE)*$F675)))))</x:f>
      </x:c>
      <x:c r="N675" s="25" t="str">
        <x:f>IF($A675="","",IF($F675="","",IF($F675=0,0,IF(COUNTIFS($A$10:$A$89,$C675)&lt;&gt;1,"brak danych",IF(COUNTIFS($A$10:$A$89,$C675,$H$10:$H$89,"&lt;&gt;")=0,"brak danych",VLOOKUP($C675,$A$10:$J$89,8,FALSE)*$F675)))))</x:f>
      </x:c>
      <x:c r="O675" s="25" t="str">
        <x:f>IF($A675="","",IF($F675="","",IF($F675=0,0,IF(COUNTIFS($A$10:$A$89,$C675)&lt;&gt;1,"brak danych",IF(COUNTIFS($A$10:$A$89,$C675,$I$10:$I$89,"&lt;&gt;")=0,"brak danych",VLOOKUP($C675,$A$10:$J$89,9,FALSE)*$F675)))))</x:f>
      </x:c>
      <x:c r="P675" s="25" t="str">
        <x:f>IF($A675="","",IF($F675="","",IF($F675=0,0,IF(COUNTIFS($A$10:$A$89,$C675)&lt;&gt;1,"brak danych",IF(COUNTIFS($A$10:$A$89,$C675,$J$10:$J$89,"&lt;&gt;")=0,"brak danych",VLOOKUP($C675,$A$10:$J$89,10,FALSE)*$F675)))))</x:f>
      </x:c>
      <x:c r="Q675" s="18"/>
    </x:row>
    <x:row r="676" ht="25" customHeight="1">
      <x:c r="A676" s="6"/>
      <x:c r="B676" s="30"/>
      <x:c r="C676" s="5"/>
      <x:c r="D676" s="5"/>
      <x:c r="E676" s="32"/>
      <x:c r="F676" s="32"/>
      <x:c r="G676" s="24" t="str">
        <x:f>IF($A676="","",IF(AND($C676="",$E676=""),"",IF($E676="","brak danych",IF($E676=0,0,IF(COUNTIFS($A$10:$A$89,$C676)&lt;&gt;1,"brak danych",IF(COUNTIFS($A$10:$A$89,$C676,$F$10:$F$89,"&lt;&gt;")=0,"brak danych",VLOOKUP($C676,$A$10:$J$89,6,FALSE)*$E676))))))</x:f>
      </x:c>
      <x:c r="H676" s="25" t="str">
        <x:f>IF($A676="","",IF(AND($C676="",$E676=""),"",IF($E676="","brak danych",IF($E676=0,0,IF(COUNTIFS($A$10:$A$89,$C676)&lt;&gt;1,"brak danych",IF(COUNTIFS($A$10:$A$89,$C676,$G$10:$G$89,"&lt;&gt;")=0,"brak danych",VLOOKUP($C676,$A$10:$J$89,7,FALSE)*$E676))))))</x:f>
      </x:c>
      <x:c r="I676" s="25" t="str">
        <x:f>IF($A676="","",IF(AND($C676="",$E676=""),"",IF($E676="","brak danych",IF($E676=0,0,IF(COUNTIFS($A$10:$A$89,$C676)&lt;&gt;1,"brak danych",IF(COUNTIFS($A$10:$A$89,$C676,$H$10:$H$89,"&lt;&gt;")=0,"brak danych",VLOOKUP($C676,$A$10:$J$89,8,FALSE)*$E676))))))</x:f>
      </x:c>
      <x:c r="J676" s="25" t="str">
        <x:f>IF($A676="","",IF(AND($C676="",$E676=""),"",IF($E676="","brak danych",IF($E676=0,0,IF(COUNTIFS($A$10:$A$89,$C676)&lt;&gt;1,"brak danych",IF(COUNTIFS($A$10:$A$89,$C676,$I$10:$I$89,"&lt;&gt;")=0,"brak danych",VLOOKUP($C676,$A$10:$J$89,9,FALSE)*$E676))))))</x:f>
      </x:c>
      <x:c r="K676" s="25" t="str">
        <x:f>IF($A676="","",IF(AND($C676="",$E676=""),"",IF($E676="","brak danych",IF($E676=0,0,IF(COUNTIFS($A$10:$A$89,$C676)&lt;&gt;1,"brak danych",IF(COUNTIFS($A$10:$A$89,$C676,$J$10:$J$89,"&lt;&gt;")=0,"brak danych",VLOOKUP($C676,$A$10:$J$89,10,FALSE)*$E676))))))</x:f>
      </x:c>
      <x:c r="L676" s="24" t="str">
        <x:f>IF($A676="","",IF($F676="","",IF($F676=0,0,IF(COUNTIFS($A$10:$A$89,$C676)&lt;&gt;1,"brak danych",IF(COUNTIFS($A$10:$A$89,$C676,$F$10:$F$89,"&lt;&gt;")=0,"brak danych",VLOOKUP($C676,$A$10:$J$89,6,FALSE)*$F676)))))</x:f>
      </x:c>
      <x:c r="M676" s="25" t="str">
        <x:f>IF($A676="","",IF($F676="","",IF($F676=0,0,IF(COUNTIFS($A$10:$A$89,$C676)&lt;&gt;1,"brak danych",IF(COUNTIFS($A$10:$A$89,$C676,$G$10:$G$89,"&lt;&gt;")=0,"brak danych",VLOOKUP($C676,$A$10:$J$89,7,FALSE)*$F676)))))</x:f>
      </x:c>
      <x:c r="N676" s="25" t="str">
        <x:f>IF($A676="","",IF($F676="","",IF($F676=0,0,IF(COUNTIFS($A$10:$A$89,$C676)&lt;&gt;1,"brak danych",IF(COUNTIFS($A$10:$A$89,$C676,$H$10:$H$89,"&lt;&gt;")=0,"brak danych",VLOOKUP($C676,$A$10:$J$89,8,FALSE)*$F676)))))</x:f>
      </x:c>
      <x:c r="O676" s="25" t="str">
        <x:f>IF($A676="","",IF($F676="","",IF($F676=0,0,IF(COUNTIFS($A$10:$A$89,$C676)&lt;&gt;1,"brak danych",IF(COUNTIFS($A$10:$A$89,$C676,$I$10:$I$89,"&lt;&gt;")=0,"brak danych",VLOOKUP($C676,$A$10:$J$89,9,FALSE)*$F676)))))</x:f>
      </x:c>
      <x:c r="P676" s="25" t="str">
        <x:f>IF($A676="","",IF($F676="","",IF($F676=0,0,IF(COUNTIFS($A$10:$A$89,$C676)&lt;&gt;1,"brak danych",IF(COUNTIFS($A$10:$A$89,$C676,$J$10:$J$89,"&lt;&gt;")=0,"brak danych",VLOOKUP($C676,$A$10:$J$89,10,FALSE)*$F676)))))</x:f>
      </x:c>
      <x:c r="Q676" s="18"/>
    </x:row>
    <x:row r="677" ht="25" customHeight="1">
      <x:c r="A677" s="6"/>
      <x:c r="B677" s="30"/>
      <x:c r="C677" s="5"/>
      <x:c r="D677" s="5"/>
      <x:c r="E677" s="32"/>
      <x:c r="F677" s="32"/>
      <x:c r="G677" s="24" t="str">
        <x:f>IF($A677="","",IF(AND($C677="",$E677=""),"",IF($E677="","brak danych",IF($E677=0,0,IF(COUNTIFS($A$10:$A$89,$C677)&lt;&gt;1,"brak danych",IF(COUNTIFS($A$10:$A$89,$C677,$F$10:$F$89,"&lt;&gt;")=0,"brak danych",VLOOKUP($C677,$A$10:$J$89,6,FALSE)*$E677))))))</x:f>
      </x:c>
      <x:c r="H677" s="25" t="str">
        <x:f>IF($A677="","",IF(AND($C677="",$E677=""),"",IF($E677="","brak danych",IF($E677=0,0,IF(COUNTIFS($A$10:$A$89,$C677)&lt;&gt;1,"brak danych",IF(COUNTIFS($A$10:$A$89,$C677,$G$10:$G$89,"&lt;&gt;")=0,"brak danych",VLOOKUP($C677,$A$10:$J$89,7,FALSE)*$E677))))))</x:f>
      </x:c>
      <x:c r="I677" s="25" t="str">
        <x:f>IF($A677="","",IF(AND($C677="",$E677=""),"",IF($E677="","brak danych",IF($E677=0,0,IF(COUNTIFS($A$10:$A$89,$C677)&lt;&gt;1,"brak danych",IF(COUNTIFS($A$10:$A$89,$C677,$H$10:$H$89,"&lt;&gt;")=0,"brak danych",VLOOKUP($C677,$A$10:$J$89,8,FALSE)*$E677))))))</x:f>
      </x:c>
      <x:c r="J677" s="25" t="str">
        <x:f>IF($A677="","",IF(AND($C677="",$E677=""),"",IF($E677="","brak danych",IF($E677=0,0,IF(COUNTIFS($A$10:$A$89,$C677)&lt;&gt;1,"brak danych",IF(COUNTIFS($A$10:$A$89,$C677,$I$10:$I$89,"&lt;&gt;")=0,"brak danych",VLOOKUP($C677,$A$10:$J$89,9,FALSE)*$E677))))))</x:f>
      </x:c>
      <x:c r="K677" s="25" t="str">
        <x:f>IF($A677="","",IF(AND($C677="",$E677=""),"",IF($E677="","brak danych",IF($E677=0,0,IF(COUNTIFS($A$10:$A$89,$C677)&lt;&gt;1,"brak danych",IF(COUNTIFS($A$10:$A$89,$C677,$J$10:$J$89,"&lt;&gt;")=0,"brak danych",VLOOKUP($C677,$A$10:$J$89,10,FALSE)*$E677))))))</x:f>
      </x:c>
      <x:c r="L677" s="24" t="str">
        <x:f>IF($A677="","",IF($F677="","",IF($F677=0,0,IF(COUNTIFS($A$10:$A$89,$C677)&lt;&gt;1,"brak danych",IF(COUNTIFS($A$10:$A$89,$C677,$F$10:$F$89,"&lt;&gt;")=0,"brak danych",VLOOKUP($C677,$A$10:$J$89,6,FALSE)*$F677)))))</x:f>
      </x:c>
      <x:c r="M677" s="25" t="str">
        <x:f>IF($A677="","",IF($F677="","",IF($F677=0,0,IF(COUNTIFS($A$10:$A$89,$C677)&lt;&gt;1,"brak danych",IF(COUNTIFS($A$10:$A$89,$C677,$G$10:$G$89,"&lt;&gt;")=0,"brak danych",VLOOKUP($C677,$A$10:$J$89,7,FALSE)*$F677)))))</x:f>
      </x:c>
      <x:c r="N677" s="25" t="str">
        <x:f>IF($A677="","",IF($F677="","",IF($F677=0,0,IF(COUNTIFS($A$10:$A$89,$C677)&lt;&gt;1,"brak danych",IF(COUNTIFS($A$10:$A$89,$C677,$H$10:$H$89,"&lt;&gt;")=0,"brak danych",VLOOKUP($C677,$A$10:$J$89,8,FALSE)*$F677)))))</x:f>
      </x:c>
      <x:c r="O677" s="25" t="str">
        <x:f>IF($A677="","",IF($F677="","",IF($F677=0,0,IF(COUNTIFS($A$10:$A$89,$C677)&lt;&gt;1,"brak danych",IF(COUNTIFS($A$10:$A$89,$C677,$I$10:$I$89,"&lt;&gt;")=0,"brak danych",VLOOKUP($C677,$A$10:$J$89,9,FALSE)*$F677)))))</x:f>
      </x:c>
      <x:c r="P677" s="25" t="str">
        <x:f>IF($A677="","",IF($F677="","",IF($F677=0,0,IF(COUNTIFS($A$10:$A$89,$C677)&lt;&gt;1,"brak danych",IF(COUNTIFS($A$10:$A$89,$C677,$J$10:$J$89,"&lt;&gt;")=0,"brak danych",VLOOKUP($C677,$A$10:$J$89,10,FALSE)*$F677)))))</x:f>
      </x:c>
      <x:c r="Q677" s="18"/>
    </x:row>
    <x:row r="678" ht="25" customHeight="1">
      <x:c r="A678" s="6"/>
      <x:c r="B678" s="30"/>
      <x:c r="C678" s="5"/>
      <x:c r="D678" s="5"/>
      <x:c r="E678" s="32"/>
      <x:c r="F678" s="32"/>
      <x:c r="G678" s="24" t="str">
        <x:f>IF($A678="","",IF(AND($C678="",$E678=""),"",IF($E678="","brak danych",IF($E678=0,0,IF(COUNTIFS($A$10:$A$89,$C678)&lt;&gt;1,"brak danych",IF(COUNTIFS($A$10:$A$89,$C678,$F$10:$F$89,"&lt;&gt;")=0,"brak danych",VLOOKUP($C678,$A$10:$J$89,6,FALSE)*$E678))))))</x:f>
      </x:c>
      <x:c r="H678" s="25" t="str">
        <x:f>IF($A678="","",IF(AND($C678="",$E678=""),"",IF($E678="","brak danych",IF($E678=0,0,IF(COUNTIFS($A$10:$A$89,$C678)&lt;&gt;1,"brak danych",IF(COUNTIFS($A$10:$A$89,$C678,$G$10:$G$89,"&lt;&gt;")=0,"brak danych",VLOOKUP($C678,$A$10:$J$89,7,FALSE)*$E678))))))</x:f>
      </x:c>
      <x:c r="I678" s="25" t="str">
        <x:f>IF($A678="","",IF(AND($C678="",$E678=""),"",IF($E678="","brak danych",IF($E678=0,0,IF(COUNTIFS($A$10:$A$89,$C678)&lt;&gt;1,"brak danych",IF(COUNTIFS($A$10:$A$89,$C678,$H$10:$H$89,"&lt;&gt;")=0,"brak danych",VLOOKUP($C678,$A$10:$J$89,8,FALSE)*$E678))))))</x:f>
      </x:c>
      <x:c r="J678" s="25" t="str">
        <x:f>IF($A678="","",IF(AND($C678="",$E678=""),"",IF($E678="","brak danych",IF($E678=0,0,IF(COUNTIFS($A$10:$A$89,$C678)&lt;&gt;1,"brak danych",IF(COUNTIFS($A$10:$A$89,$C678,$I$10:$I$89,"&lt;&gt;")=0,"brak danych",VLOOKUP($C678,$A$10:$J$89,9,FALSE)*$E678))))))</x:f>
      </x:c>
      <x:c r="K678" s="25" t="str">
        <x:f>IF($A678="","",IF(AND($C678="",$E678=""),"",IF($E678="","brak danych",IF($E678=0,0,IF(COUNTIFS($A$10:$A$89,$C678)&lt;&gt;1,"brak danych",IF(COUNTIFS($A$10:$A$89,$C678,$J$10:$J$89,"&lt;&gt;")=0,"brak danych",VLOOKUP($C678,$A$10:$J$89,10,FALSE)*$E678))))))</x:f>
      </x:c>
      <x:c r="L678" s="24" t="str">
        <x:f>IF($A678="","",IF($F678="","",IF($F678=0,0,IF(COUNTIFS($A$10:$A$89,$C678)&lt;&gt;1,"brak danych",IF(COUNTIFS($A$10:$A$89,$C678,$F$10:$F$89,"&lt;&gt;")=0,"brak danych",VLOOKUP($C678,$A$10:$J$89,6,FALSE)*$F678)))))</x:f>
      </x:c>
      <x:c r="M678" s="25" t="str">
        <x:f>IF($A678="","",IF($F678="","",IF($F678=0,0,IF(COUNTIFS($A$10:$A$89,$C678)&lt;&gt;1,"brak danych",IF(COUNTIFS($A$10:$A$89,$C678,$G$10:$G$89,"&lt;&gt;")=0,"brak danych",VLOOKUP($C678,$A$10:$J$89,7,FALSE)*$F678)))))</x:f>
      </x:c>
      <x:c r="N678" s="25" t="str">
        <x:f>IF($A678="","",IF($F678="","",IF($F678=0,0,IF(COUNTIFS($A$10:$A$89,$C678)&lt;&gt;1,"brak danych",IF(COUNTIFS($A$10:$A$89,$C678,$H$10:$H$89,"&lt;&gt;")=0,"brak danych",VLOOKUP($C678,$A$10:$J$89,8,FALSE)*$F678)))))</x:f>
      </x:c>
      <x:c r="O678" s="25" t="str">
        <x:f>IF($A678="","",IF($F678="","",IF($F678=0,0,IF(COUNTIFS($A$10:$A$89,$C678)&lt;&gt;1,"brak danych",IF(COUNTIFS($A$10:$A$89,$C678,$I$10:$I$89,"&lt;&gt;")=0,"brak danych",VLOOKUP($C678,$A$10:$J$89,9,FALSE)*$F678)))))</x:f>
      </x:c>
      <x:c r="P678" s="25" t="str">
        <x:f>IF($A678="","",IF($F678="","",IF($F678=0,0,IF(COUNTIFS($A$10:$A$89,$C678)&lt;&gt;1,"brak danych",IF(COUNTIFS($A$10:$A$89,$C678,$J$10:$J$89,"&lt;&gt;")=0,"brak danych",VLOOKUP($C678,$A$10:$J$89,10,FALSE)*$F678)))))</x:f>
      </x:c>
      <x:c r="Q678" s="18"/>
    </x:row>
    <x:row r="679" ht="25" customHeight="1">
      <x:c r="A679" s="6"/>
      <x:c r="B679" s="30"/>
      <x:c r="C679" s="5"/>
      <x:c r="D679" s="5"/>
      <x:c r="E679" s="32"/>
      <x:c r="F679" s="32"/>
      <x:c r="G679" s="24" t="str">
        <x:f>IF($A679="","",IF(AND($C679="",$E679=""),"",IF($E679="","brak danych",IF($E679=0,0,IF(COUNTIFS($A$10:$A$89,$C679)&lt;&gt;1,"brak danych",IF(COUNTIFS($A$10:$A$89,$C679,$F$10:$F$89,"&lt;&gt;")=0,"brak danych",VLOOKUP($C679,$A$10:$J$89,6,FALSE)*$E679))))))</x:f>
      </x:c>
      <x:c r="H679" s="25" t="str">
        <x:f>IF($A679="","",IF(AND($C679="",$E679=""),"",IF($E679="","brak danych",IF($E679=0,0,IF(COUNTIFS($A$10:$A$89,$C679)&lt;&gt;1,"brak danych",IF(COUNTIFS($A$10:$A$89,$C679,$G$10:$G$89,"&lt;&gt;")=0,"brak danych",VLOOKUP($C679,$A$10:$J$89,7,FALSE)*$E679))))))</x:f>
      </x:c>
      <x:c r="I679" s="25" t="str">
        <x:f>IF($A679="","",IF(AND($C679="",$E679=""),"",IF($E679="","brak danych",IF($E679=0,0,IF(COUNTIFS($A$10:$A$89,$C679)&lt;&gt;1,"brak danych",IF(COUNTIFS($A$10:$A$89,$C679,$H$10:$H$89,"&lt;&gt;")=0,"brak danych",VLOOKUP($C679,$A$10:$J$89,8,FALSE)*$E679))))))</x:f>
      </x:c>
      <x:c r="J679" s="25" t="str">
        <x:f>IF($A679="","",IF(AND($C679="",$E679=""),"",IF($E679="","brak danych",IF($E679=0,0,IF(COUNTIFS($A$10:$A$89,$C679)&lt;&gt;1,"brak danych",IF(COUNTIFS($A$10:$A$89,$C679,$I$10:$I$89,"&lt;&gt;")=0,"brak danych",VLOOKUP($C679,$A$10:$J$89,9,FALSE)*$E679))))))</x:f>
      </x:c>
      <x:c r="K679" s="25" t="str">
        <x:f>IF($A679="","",IF(AND($C679="",$E679=""),"",IF($E679="","brak danych",IF($E679=0,0,IF(COUNTIFS($A$10:$A$89,$C679)&lt;&gt;1,"brak danych",IF(COUNTIFS($A$10:$A$89,$C679,$J$10:$J$89,"&lt;&gt;")=0,"brak danych",VLOOKUP($C679,$A$10:$J$89,10,FALSE)*$E679))))))</x:f>
      </x:c>
      <x:c r="L679" s="24" t="str">
        <x:f>IF($A679="","",IF($F679="","",IF($F679=0,0,IF(COUNTIFS($A$10:$A$89,$C679)&lt;&gt;1,"brak danych",IF(COUNTIFS($A$10:$A$89,$C679,$F$10:$F$89,"&lt;&gt;")=0,"brak danych",VLOOKUP($C679,$A$10:$J$89,6,FALSE)*$F679)))))</x:f>
      </x:c>
      <x:c r="M679" s="25" t="str">
        <x:f>IF($A679="","",IF($F679="","",IF($F679=0,0,IF(COUNTIFS($A$10:$A$89,$C679)&lt;&gt;1,"brak danych",IF(COUNTIFS($A$10:$A$89,$C679,$G$10:$G$89,"&lt;&gt;")=0,"brak danych",VLOOKUP($C679,$A$10:$J$89,7,FALSE)*$F679)))))</x:f>
      </x:c>
      <x:c r="N679" s="25" t="str">
        <x:f>IF($A679="","",IF($F679="","",IF($F679=0,0,IF(COUNTIFS($A$10:$A$89,$C679)&lt;&gt;1,"brak danych",IF(COUNTIFS($A$10:$A$89,$C679,$H$10:$H$89,"&lt;&gt;")=0,"brak danych",VLOOKUP($C679,$A$10:$J$89,8,FALSE)*$F679)))))</x:f>
      </x:c>
      <x:c r="O679" s="25" t="str">
        <x:f>IF($A679="","",IF($F679="","",IF($F679=0,0,IF(COUNTIFS($A$10:$A$89,$C679)&lt;&gt;1,"brak danych",IF(COUNTIFS($A$10:$A$89,$C679,$I$10:$I$89,"&lt;&gt;")=0,"brak danych",VLOOKUP($C679,$A$10:$J$89,9,FALSE)*$F679)))))</x:f>
      </x:c>
      <x:c r="P679" s="25" t="str">
        <x:f>IF($A679="","",IF($F679="","",IF($F679=0,0,IF(COUNTIFS($A$10:$A$89,$C679)&lt;&gt;1,"brak danych",IF(COUNTIFS($A$10:$A$89,$C679,$J$10:$J$89,"&lt;&gt;")=0,"brak danych",VLOOKUP($C679,$A$10:$J$89,10,FALSE)*$F679)))))</x:f>
      </x:c>
      <x:c r="Q679" s="18"/>
    </x:row>
    <x:row r="680" ht="25" customHeight="1">
      <x:c r="A680" s="6"/>
      <x:c r="B680" s="30"/>
      <x:c r="C680" s="5"/>
      <x:c r="D680" s="5"/>
      <x:c r="E680" s="32"/>
      <x:c r="F680" s="32"/>
      <x:c r="G680" s="24" t="str">
        <x:f>IF($A680="","",IF(AND($C680="",$E680=""),"",IF($E680="","brak danych",IF($E680=0,0,IF(COUNTIFS($A$10:$A$89,$C680)&lt;&gt;1,"brak danych",IF(COUNTIFS($A$10:$A$89,$C680,$F$10:$F$89,"&lt;&gt;")=0,"brak danych",VLOOKUP($C680,$A$10:$J$89,6,FALSE)*$E680))))))</x:f>
      </x:c>
      <x:c r="H680" s="25" t="str">
        <x:f>IF($A680="","",IF(AND($C680="",$E680=""),"",IF($E680="","brak danych",IF($E680=0,0,IF(COUNTIFS($A$10:$A$89,$C680)&lt;&gt;1,"brak danych",IF(COUNTIFS($A$10:$A$89,$C680,$G$10:$G$89,"&lt;&gt;")=0,"brak danych",VLOOKUP($C680,$A$10:$J$89,7,FALSE)*$E680))))))</x:f>
      </x:c>
      <x:c r="I680" s="25" t="str">
        <x:f>IF($A680="","",IF(AND($C680="",$E680=""),"",IF($E680="","brak danych",IF($E680=0,0,IF(COUNTIFS($A$10:$A$89,$C680)&lt;&gt;1,"brak danych",IF(COUNTIFS($A$10:$A$89,$C680,$H$10:$H$89,"&lt;&gt;")=0,"brak danych",VLOOKUP($C680,$A$10:$J$89,8,FALSE)*$E680))))))</x:f>
      </x:c>
      <x:c r="J680" s="25" t="str">
        <x:f>IF($A680="","",IF(AND($C680="",$E680=""),"",IF($E680="","brak danych",IF($E680=0,0,IF(COUNTIFS($A$10:$A$89,$C680)&lt;&gt;1,"brak danych",IF(COUNTIFS($A$10:$A$89,$C680,$I$10:$I$89,"&lt;&gt;")=0,"brak danych",VLOOKUP($C680,$A$10:$J$89,9,FALSE)*$E680))))))</x:f>
      </x:c>
      <x:c r="K680" s="25" t="str">
        <x:f>IF($A680="","",IF(AND($C680="",$E680=""),"",IF($E680="","brak danych",IF($E680=0,0,IF(COUNTIFS($A$10:$A$89,$C680)&lt;&gt;1,"brak danych",IF(COUNTIFS($A$10:$A$89,$C680,$J$10:$J$89,"&lt;&gt;")=0,"brak danych",VLOOKUP($C680,$A$10:$J$89,10,FALSE)*$E680))))))</x:f>
      </x:c>
      <x:c r="L680" s="24" t="str">
        <x:f>IF($A680="","",IF($F680="","",IF($F680=0,0,IF(COUNTIFS($A$10:$A$89,$C680)&lt;&gt;1,"brak danych",IF(COUNTIFS($A$10:$A$89,$C680,$F$10:$F$89,"&lt;&gt;")=0,"brak danych",VLOOKUP($C680,$A$10:$J$89,6,FALSE)*$F680)))))</x:f>
      </x:c>
      <x:c r="M680" s="25" t="str">
        <x:f>IF($A680="","",IF($F680="","",IF($F680=0,0,IF(COUNTIFS($A$10:$A$89,$C680)&lt;&gt;1,"brak danych",IF(COUNTIFS($A$10:$A$89,$C680,$G$10:$G$89,"&lt;&gt;")=0,"brak danych",VLOOKUP($C680,$A$10:$J$89,7,FALSE)*$F680)))))</x:f>
      </x:c>
      <x:c r="N680" s="25" t="str">
        <x:f>IF($A680="","",IF($F680="","",IF($F680=0,0,IF(COUNTIFS($A$10:$A$89,$C680)&lt;&gt;1,"brak danych",IF(COUNTIFS($A$10:$A$89,$C680,$H$10:$H$89,"&lt;&gt;")=0,"brak danych",VLOOKUP($C680,$A$10:$J$89,8,FALSE)*$F680)))))</x:f>
      </x:c>
      <x:c r="O680" s="25" t="str">
        <x:f>IF($A680="","",IF($F680="","",IF($F680=0,0,IF(COUNTIFS($A$10:$A$89,$C680)&lt;&gt;1,"brak danych",IF(COUNTIFS($A$10:$A$89,$C680,$I$10:$I$89,"&lt;&gt;")=0,"brak danych",VLOOKUP($C680,$A$10:$J$89,9,FALSE)*$F680)))))</x:f>
      </x:c>
      <x:c r="P680" s="25" t="str">
        <x:f>IF($A680="","",IF($F680="","",IF($F680=0,0,IF(COUNTIFS($A$10:$A$89,$C680)&lt;&gt;1,"brak danych",IF(COUNTIFS($A$10:$A$89,$C680,$J$10:$J$89,"&lt;&gt;")=0,"brak danych",VLOOKUP($C680,$A$10:$J$89,10,FALSE)*$F680)))))</x:f>
      </x:c>
      <x:c r="Q680" s="18"/>
    </x:row>
    <x:row r="681" ht="25" customHeight="1">
      <x:c r="A681" s="6"/>
      <x:c r="B681" s="30"/>
      <x:c r="C681" s="5"/>
      <x:c r="D681" s="5"/>
      <x:c r="E681" s="32"/>
      <x:c r="F681" s="32"/>
      <x:c r="G681" s="24" t="str">
        <x:f>IF($A681="","",IF(AND($C681="",$E681=""),"",IF($E681="","brak danych",IF($E681=0,0,IF(COUNTIFS($A$10:$A$89,$C681)&lt;&gt;1,"brak danych",IF(COUNTIFS($A$10:$A$89,$C681,$F$10:$F$89,"&lt;&gt;")=0,"brak danych",VLOOKUP($C681,$A$10:$J$89,6,FALSE)*$E681))))))</x:f>
      </x:c>
      <x:c r="H681" s="25" t="str">
        <x:f>IF($A681="","",IF(AND($C681="",$E681=""),"",IF($E681="","brak danych",IF($E681=0,0,IF(COUNTIFS($A$10:$A$89,$C681)&lt;&gt;1,"brak danych",IF(COUNTIFS($A$10:$A$89,$C681,$G$10:$G$89,"&lt;&gt;")=0,"brak danych",VLOOKUP($C681,$A$10:$J$89,7,FALSE)*$E681))))))</x:f>
      </x:c>
      <x:c r="I681" s="25" t="str">
        <x:f>IF($A681="","",IF(AND($C681="",$E681=""),"",IF($E681="","brak danych",IF($E681=0,0,IF(COUNTIFS($A$10:$A$89,$C681)&lt;&gt;1,"brak danych",IF(COUNTIFS($A$10:$A$89,$C681,$H$10:$H$89,"&lt;&gt;")=0,"brak danych",VLOOKUP($C681,$A$10:$J$89,8,FALSE)*$E681))))))</x:f>
      </x:c>
      <x:c r="J681" s="25" t="str">
        <x:f>IF($A681="","",IF(AND($C681="",$E681=""),"",IF($E681="","brak danych",IF($E681=0,0,IF(COUNTIFS($A$10:$A$89,$C681)&lt;&gt;1,"brak danych",IF(COUNTIFS($A$10:$A$89,$C681,$I$10:$I$89,"&lt;&gt;")=0,"brak danych",VLOOKUP($C681,$A$10:$J$89,9,FALSE)*$E681))))))</x:f>
      </x:c>
      <x:c r="K681" s="25" t="str">
        <x:f>IF($A681="","",IF(AND($C681="",$E681=""),"",IF($E681="","brak danych",IF($E681=0,0,IF(COUNTIFS($A$10:$A$89,$C681)&lt;&gt;1,"brak danych",IF(COUNTIFS($A$10:$A$89,$C681,$J$10:$J$89,"&lt;&gt;")=0,"brak danych",VLOOKUP($C681,$A$10:$J$89,10,FALSE)*$E681))))))</x:f>
      </x:c>
      <x:c r="L681" s="24" t="str">
        <x:f>IF($A681="","",IF($F681="","",IF($F681=0,0,IF(COUNTIFS($A$10:$A$89,$C681)&lt;&gt;1,"brak danych",IF(COUNTIFS($A$10:$A$89,$C681,$F$10:$F$89,"&lt;&gt;")=0,"brak danych",VLOOKUP($C681,$A$10:$J$89,6,FALSE)*$F681)))))</x:f>
      </x:c>
      <x:c r="M681" s="25" t="str">
        <x:f>IF($A681="","",IF($F681="","",IF($F681=0,0,IF(COUNTIFS($A$10:$A$89,$C681)&lt;&gt;1,"brak danych",IF(COUNTIFS($A$10:$A$89,$C681,$G$10:$G$89,"&lt;&gt;")=0,"brak danych",VLOOKUP($C681,$A$10:$J$89,7,FALSE)*$F681)))))</x:f>
      </x:c>
      <x:c r="N681" s="25" t="str">
        <x:f>IF($A681="","",IF($F681="","",IF($F681=0,0,IF(COUNTIFS($A$10:$A$89,$C681)&lt;&gt;1,"brak danych",IF(COUNTIFS($A$10:$A$89,$C681,$H$10:$H$89,"&lt;&gt;")=0,"brak danych",VLOOKUP($C681,$A$10:$J$89,8,FALSE)*$F681)))))</x:f>
      </x:c>
      <x:c r="O681" s="25" t="str">
        <x:f>IF($A681="","",IF($F681="","",IF($F681=0,0,IF(COUNTIFS($A$10:$A$89,$C681)&lt;&gt;1,"brak danych",IF(COUNTIFS($A$10:$A$89,$C681,$I$10:$I$89,"&lt;&gt;")=0,"brak danych",VLOOKUP($C681,$A$10:$J$89,9,FALSE)*$F681)))))</x:f>
      </x:c>
      <x:c r="P681" s="25" t="str">
        <x:f>IF($A681="","",IF($F681="","",IF($F681=0,0,IF(COUNTIFS($A$10:$A$89,$C681)&lt;&gt;1,"brak danych",IF(COUNTIFS($A$10:$A$89,$C681,$J$10:$J$89,"&lt;&gt;")=0,"brak danych",VLOOKUP($C681,$A$10:$J$89,10,FALSE)*$F681)))))</x:f>
      </x:c>
      <x:c r="Q681" s="18"/>
    </x:row>
    <x:row r="682" ht="25" customHeight="1">
      <x:c r="A682" s="6"/>
      <x:c r="B682" s="30"/>
      <x:c r="C682" s="5"/>
      <x:c r="D682" s="5"/>
      <x:c r="E682" s="32"/>
      <x:c r="F682" s="32"/>
      <x:c r="G682" s="24" t="str">
        <x:f>IF($A682="","",IF(AND($C682="",$E682=""),"",IF($E682="","brak danych",IF($E682=0,0,IF(COUNTIFS($A$10:$A$89,$C682)&lt;&gt;1,"brak danych",IF(COUNTIFS($A$10:$A$89,$C682,$F$10:$F$89,"&lt;&gt;")=0,"brak danych",VLOOKUP($C682,$A$10:$J$89,6,FALSE)*$E682))))))</x:f>
      </x:c>
      <x:c r="H682" s="25" t="str">
        <x:f>IF($A682="","",IF(AND($C682="",$E682=""),"",IF($E682="","brak danych",IF($E682=0,0,IF(COUNTIFS($A$10:$A$89,$C682)&lt;&gt;1,"brak danych",IF(COUNTIFS($A$10:$A$89,$C682,$G$10:$G$89,"&lt;&gt;")=0,"brak danych",VLOOKUP($C682,$A$10:$J$89,7,FALSE)*$E682))))))</x:f>
      </x:c>
      <x:c r="I682" s="25" t="str">
        <x:f>IF($A682="","",IF(AND($C682="",$E682=""),"",IF($E682="","brak danych",IF($E682=0,0,IF(COUNTIFS($A$10:$A$89,$C682)&lt;&gt;1,"brak danych",IF(COUNTIFS($A$10:$A$89,$C682,$H$10:$H$89,"&lt;&gt;")=0,"brak danych",VLOOKUP($C682,$A$10:$J$89,8,FALSE)*$E682))))))</x:f>
      </x:c>
      <x:c r="J682" s="25" t="str">
        <x:f>IF($A682="","",IF(AND($C682="",$E682=""),"",IF($E682="","brak danych",IF($E682=0,0,IF(COUNTIFS($A$10:$A$89,$C682)&lt;&gt;1,"brak danych",IF(COUNTIFS($A$10:$A$89,$C682,$I$10:$I$89,"&lt;&gt;")=0,"brak danych",VLOOKUP($C682,$A$10:$J$89,9,FALSE)*$E682))))))</x:f>
      </x:c>
      <x:c r="K682" s="25" t="str">
        <x:f>IF($A682="","",IF(AND($C682="",$E682=""),"",IF($E682="","brak danych",IF($E682=0,0,IF(COUNTIFS($A$10:$A$89,$C682)&lt;&gt;1,"brak danych",IF(COUNTIFS($A$10:$A$89,$C682,$J$10:$J$89,"&lt;&gt;")=0,"brak danych",VLOOKUP($C682,$A$10:$J$89,10,FALSE)*$E682))))))</x:f>
      </x:c>
      <x:c r="L682" s="24" t="str">
        <x:f>IF($A682="","",IF($F682="","",IF($F682=0,0,IF(COUNTIFS($A$10:$A$89,$C682)&lt;&gt;1,"brak danych",IF(COUNTIFS($A$10:$A$89,$C682,$F$10:$F$89,"&lt;&gt;")=0,"brak danych",VLOOKUP($C682,$A$10:$J$89,6,FALSE)*$F682)))))</x:f>
      </x:c>
      <x:c r="M682" s="25" t="str">
        <x:f>IF($A682="","",IF($F682="","",IF($F682=0,0,IF(COUNTIFS($A$10:$A$89,$C682)&lt;&gt;1,"brak danych",IF(COUNTIFS($A$10:$A$89,$C682,$G$10:$G$89,"&lt;&gt;")=0,"brak danych",VLOOKUP($C682,$A$10:$J$89,7,FALSE)*$F682)))))</x:f>
      </x:c>
      <x:c r="N682" s="25" t="str">
        <x:f>IF($A682="","",IF($F682="","",IF($F682=0,0,IF(COUNTIFS($A$10:$A$89,$C682)&lt;&gt;1,"brak danych",IF(COUNTIFS($A$10:$A$89,$C682,$H$10:$H$89,"&lt;&gt;")=0,"brak danych",VLOOKUP($C682,$A$10:$J$89,8,FALSE)*$F682)))))</x:f>
      </x:c>
      <x:c r="O682" s="25" t="str">
        <x:f>IF($A682="","",IF($F682="","",IF($F682=0,0,IF(COUNTIFS($A$10:$A$89,$C682)&lt;&gt;1,"brak danych",IF(COUNTIFS($A$10:$A$89,$C682,$I$10:$I$89,"&lt;&gt;")=0,"brak danych",VLOOKUP($C682,$A$10:$J$89,9,FALSE)*$F682)))))</x:f>
      </x:c>
      <x:c r="P682" s="25" t="str">
        <x:f>IF($A682="","",IF($F682="","",IF($F682=0,0,IF(COUNTIFS($A$10:$A$89,$C682)&lt;&gt;1,"brak danych",IF(COUNTIFS($A$10:$A$89,$C682,$J$10:$J$89,"&lt;&gt;")=0,"brak danych",VLOOKUP($C682,$A$10:$J$89,10,FALSE)*$F682)))))</x:f>
      </x:c>
      <x:c r="Q682" s="18"/>
    </x:row>
    <x:row r="683" ht="25" customHeight="1">
      <x:c r="A683" s="6"/>
      <x:c r="B683" s="30"/>
      <x:c r="C683" s="5"/>
      <x:c r="D683" s="5"/>
      <x:c r="E683" s="32"/>
      <x:c r="F683" s="32"/>
      <x:c r="G683" s="24" t="str">
        <x:f>IF($A683="","",IF(AND($C683="",$E683=""),"",IF($E683="","brak danych",IF($E683=0,0,IF(COUNTIFS($A$10:$A$89,$C683)&lt;&gt;1,"brak danych",IF(COUNTIFS($A$10:$A$89,$C683,$F$10:$F$89,"&lt;&gt;")=0,"brak danych",VLOOKUP($C683,$A$10:$J$89,6,FALSE)*$E683))))))</x:f>
      </x:c>
      <x:c r="H683" s="25" t="str">
        <x:f>IF($A683="","",IF(AND($C683="",$E683=""),"",IF($E683="","brak danych",IF($E683=0,0,IF(COUNTIFS($A$10:$A$89,$C683)&lt;&gt;1,"brak danych",IF(COUNTIFS($A$10:$A$89,$C683,$G$10:$G$89,"&lt;&gt;")=0,"brak danych",VLOOKUP($C683,$A$10:$J$89,7,FALSE)*$E683))))))</x:f>
      </x:c>
      <x:c r="I683" s="25" t="str">
        <x:f>IF($A683="","",IF(AND($C683="",$E683=""),"",IF($E683="","brak danych",IF($E683=0,0,IF(COUNTIFS($A$10:$A$89,$C683)&lt;&gt;1,"brak danych",IF(COUNTIFS($A$10:$A$89,$C683,$H$10:$H$89,"&lt;&gt;")=0,"brak danych",VLOOKUP($C683,$A$10:$J$89,8,FALSE)*$E683))))))</x:f>
      </x:c>
      <x:c r="J683" s="25" t="str">
        <x:f>IF($A683="","",IF(AND($C683="",$E683=""),"",IF($E683="","brak danych",IF($E683=0,0,IF(COUNTIFS($A$10:$A$89,$C683)&lt;&gt;1,"brak danych",IF(COUNTIFS($A$10:$A$89,$C683,$I$10:$I$89,"&lt;&gt;")=0,"brak danych",VLOOKUP($C683,$A$10:$J$89,9,FALSE)*$E683))))))</x:f>
      </x:c>
      <x:c r="K683" s="25" t="str">
        <x:f>IF($A683="","",IF(AND($C683="",$E683=""),"",IF($E683="","brak danych",IF($E683=0,0,IF(COUNTIFS($A$10:$A$89,$C683)&lt;&gt;1,"brak danych",IF(COUNTIFS($A$10:$A$89,$C683,$J$10:$J$89,"&lt;&gt;")=0,"brak danych",VLOOKUP($C683,$A$10:$J$89,10,FALSE)*$E683))))))</x:f>
      </x:c>
      <x:c r="L683" s="24" t="str">
        <x:f>IF($A683="","",IF($F683="","",IF($F683=0,0,IF(COUNTIFS($A$10:$A$89,$C683)&lt;&gt;1,"brak danych",IF(COUNTIFS($A$10:$A$89,$C683,$F$10:$F$89,"&lt;&gt;")=0,"brak danych",VLOOKUP($C683,$A$10:$J$89,6,FALSE)*$F683)))))</x:f>
      </x:c>
      <x:c r="M683" s="25" t="str">
        <x:f>IF($A683="","",IF($F683="","",IF($F683=0,0,IF(COUNTIFS($A$10:$A$89,$C683)&lt;&gt;1,"brak danych",IF(COUNTIFS($A$10:$A$89,$C683,$G$10:$G$89,"&lt;&gt;")=0,"brak danych",VLOOKUP($C683,$A$10:$J$89,7,FALSE)*$F683)))))</x:f>
      </x:c>
      <x:c r="N683" s="25" t="str">
        <x:f>IF($A683="","",IF($F683="","",IF($F683=0,0,IF(COUNTIFS($A$10:$A$89,$C683)&lt;&gt;1,"brak danych",IF(COUNTIFS($A$10:$A$89,$C683,$H$10:$H$89,"&lt;&gt;")=0,"brak danych",VLOOKUP($C683,$A$10:$J$89,8,FALSE)*$F683)))))</x:f>
      </x:c>
      <x:c r="O683" s="25" t="str">
        <x:f>IF($A683="","",IF($F683="","",IF($F683=0,0,IF(COUNTIFS($A$10:$A$89,$C683)&lt;&gt;1,"brak danych",IF(COUNTIFS($A$10:$A$89,$C683,$I$10:$I$89,"&lt;&gt;")=0,"brak danych",VLOOKUP($C683,$A$10:$J$89,9,FALSE)*$F683)))))</x:f>
      </x:c>
      <x:c r="P683" s="25" t="str">
        <x:f>IF($A683="","",IF($F683="","",IF($F683=0,0,IF(COUNTIFS($A$10:$A$89,$C683)&lt;&gt;1,"brak danych",IF(COUNTIFS($A$10:$A$89,$C683,$J$10:$J$89,"&lt;&gt;")=0,"brak danych",VLOOKUP($C683,$A$10:$J$89,10,FALSE)*$F683)))))</x:f>
      </x:c>
      <x:c r="Q683" s="18"/>
    </x:row>
    <x:row r="684" ht="25" customHeight="1">
      <x:c r="A684" s="6"/>
      <x:c r="B684" s="30"/>
      <x:c r="C684" s="5"/>
      <x:c r="D684" s="5"/>
      <x:c r="E684" s="32"/>
      <x:c r="F684" s="32"/>
      <x:c r="G684" s="24" t="str">
        <x:f>IF($A684="","",IF(AND($C684="",$E684=""),"",IF($E684="","brak danych",IF($E684=0,0,IF(COUNTIFS($A$10:$A$89,$C684)&lt;&gt;1,"brak danych",IF(COUNTIFS($A$10:$A$89,$C684,$F$10:$F$89,"&lt;&gt;")=0,"brak danych",VLOOKUP($C684,$A$10:$J$89,6,FALSE)*$E684))))))</x:f>
      </x:c>
      <x:c r="H684" s="25" t="str">
        <x:f>IF($A684="","",IF(AND($C684="",$E684=""),"",IF($E684="","brak danych",IF($E684=0,0,IF(COUNTIFS($A$10:$A$89,$C684)&lt;&gt;1,"brak danych",IF(COUNTIFS($A$10:$A$89,$C684,$G$10:$G$89,"&lt;&gt;")=0,"brak danych",VLOOKUP($C684,$A$10:$J$89,7,FALSE)*$E684))))))</x:f>
      </x:c>
      <x:c r="I684" s="25" t="str">
        <x:f>IF($A684="","",IF(AND($C684="",$E684=""),"",IF($E684="","brak danych",IF($E684=0,0,IF(COUNTIFS($A$10:$A$89,$C684)&lt;&gt;1,"brak danych",IF(COUNTIFS($A$10:$A$89,$C684,$H$10:$H$89,"&lt;&gt;")=0,"brak danych",VLOOKUP($C684,$A$10:$J$89,8,FALSE)*$E684))))))</x:f>
      </x:c>
      <x:c r="J684" s="25" t="str">
        <x:f>IF($A684="","",IF(AND($C684="",$E684=""),"",IF($E684="","brak danych",IF($E684=0,0,IF(COUNTIFS($A$10:$A$89,$C684)&lt;&gt;1,"brak danych",IF(COUNTIFS($A$10:$A$89,$C684,$I$10:$I$89,"&lt;&gt;")=0,"brak danych",VLOOKUP($C684,$A$10:$J$89,9,FALSE)*$E684))))))</x:f>
      </x:c>
      <x:c r="K684" s="25" t="str">
        <x:f>IF($A684="","",IF(AND($C684="",$E684=""),"",IF($E684="","brak danych",IF($E684=0,0,IF(COUNTIFS($A$10:$A$89,$C684)&lt;&gt;1,"brak danych",IF(COUNTIFS($A$10:$A$89,$C684,$J$10:$J$89,"&lt;&gt;")=0,"brak danych",VLOOKUP($C684,$A$10:$J$89,10,FALSE)*$E684))))))</x:f>
      </x:c>
      <x:c r="L684" s="24" t="str">
        <x:f>IF($A684="","",IF($F684="","",IF($F684=0,0,IF(COUNTIFS($A$10:$A$89,$C684)&lt;&gt;1,"brak danych",IF(COUNTIFS($A$10:$A$89,$C684,$F$10:$F$89,"&lt;&gt;")=0,"brak danych",VLOOKUP($C684,$A$10:$J$89,6,FALSE)*$F684)))))</x:f>
      </x:c>
      <x:c r="M684" s="25" t="str">
        <x:f>IF($A684="","",IF($F684="","",IF($F684=0,0,IF(COUNTIFS($A$10:$A$89,$C684)&lt;&gt;1,"brak danych",IF(COUNTIFS($A$10:$A$89,$C684,$G$10:$G$89,"&lt;&gt;")=0,"brak danych",VLOOKUP($C684,$A$10:$J$89,7,FALSE)*$F684)))))</x:f>
      </x:c>
      <x:c r="N684" s="25" t="str">
        <x:f>IF($A684="","",IF($F684="","",IF($F684=0,0,IF(COUNTIFS($A$10:$A$89,$C684)&lt;&gt;1,"brak danych",IF(COUNTIFS($A$10:$A$89,$C684,$H$10:$H$89,"&lt;&gt;")=0,"brak danych",VLOOKUP($C684,$A$10:$J$89,8,FALSE)*$F684)))))</x:f>
      </x:c>
      <x:c r="O684" s="25" t="str">
        <x:f>IF($A684="","",IF($F684="","",IF($F684=0,0,IF(COUNTIFS($A$10:$A$89,$C684)&lt;&gt;1,"brak danych",IF(COUNTIFS($A$10:$A$89,$C684,$I$10:$I$89,"&lt;&gt;")=0,"brak danych",VLOOKUP($C684,$A$10:$J$89,9,FALSE)*$F684)))))</x:f>
      </x:c>
      <x:c r="P684" s="25" t="str">
        <x:f>IF($A684="","",IF($F684="","",IF($F684=0,0,IF(COUNTIFS($A$10:$A$89,$C684)&lt;&gt;1,"brak danych",IF(COUNTIFS($A$10:$A$89,$C684,$J$10:$J$89,"&lt;&gt;")=0,"brak danych",VLOOKUP($C684,$A$10:$J$89,10,FALSE)*$F684)))))</x:f>
      </x:c>
      <x:c r="Q684" s="18"/>
    </x:row>
    <x:row r="685" ht="25" customHeight="1">
      <x:c r="A685" s="6"/>
      <x:c r="B685" s="30"/>
      <x:c r="C685" s="5"/>
      <x:c r="D685" s="5"/>
      <x:c r="E685" s="32"/>
      <x:c r="F685" s="32"/>
      <x:c r="G685" s="24" t="str">
        <x:f>IF($A685="","",IF(AND($C685="",$E685=""),"",IF($E685="","brak danych",IF($E685=0,0,IF(COUNTIFS($A$10:$A$89,$C685)&lt;&gt;1,"brak danych",IF(COUNTIFS($A$10:$A$89,$C685,$F$10:$F$89,"&lt;&gt;")=0,"brak danych",VLOOKUP($C685,$A$10:$J$89,6,FALSE)*$E685))))))</x:f>
      </x:c>
      <x:c r="H685" s="25" t="str">
        <x:f>IF($A685="","",IF(AND($C685="",$E685=""),"",IF($E685="","brak danych",IF($E685=0,0,IF(COUNTIFS($A$10:$A$89,$C685)&lt;&gt;1,"brak danych",IF(COUNTIFS($A$10:$A$89,$C685,$G$10:$G$89,"&lt;&gt;")=0,"brak danych",VLOOKUP($C685,$A$10:$J$89,7,FALSE)*$E685))))))</x:f>
      </x:c>
      <x:c r="I685" s="25" t="str">
        <x:f>IF($A685="","",IF(AND($C685="",$E685=""),"",IF($E685="","brak danych",IF($E685=0,0,IF(COUNTIFS($A$10:$A$89,$C685)&lt;&gt;1,"brak danych",IF(COUNTIFS($A$10:$A$89,$C685,$H$10:$H$89,"&lt;&gt;")=0,"brak danych",VLOOKUP($C685,$A$10:$J$89,8,FALSE)*$E685))))))</x:f>
      </x:c>
      <x:c r="J685" s="25" t="str">
        <x:f>IF($A685="","",IF(AND($C685="",$E685=""),"",IF($E685="","brak danych",IF($E685=0,0,IF(COUNTIFS($A$10:$A$89,$C685)&lt;&gt;1,"brak danych",IF(COUNTIFS($A$10:$A$89,$C685,$I$10:$I$89,"&lt;&gt;")=0,"brak danych",VLOOKUP($C685,$A$10:$J$89,9,FALSE)*$E685))))))</x:f>
      </x:c>
      <x:c r="K685" s="25" t="str">
        <x:f>IF($A685="","",IF(AND($C685="",$E685=""),"",IF($E685="","brak danych",IF($E685=0,0,IF(COUNTIFS($A$10:$A$89,$C685)&lt;&gt;1,"brak danych",IF(COUNTIFS($A$10:$A$89,$C685,$J$10:$J$89,"&lt;&gt;")=0,"brak danych",VLOOKUP($C685,$A$10:$J$89,10,FALSE)*$E685))))))</x:f>
      </x:c>
      <x:c r="L685" s="24" t="str">
        <x:f>IF($A685="","",IF($F685="","",IF($F685=0,0,IF(COUNTIFS($A$10:$A$89,$C685)&lt;&gt;1,"brak danych",IF(COUNTIFS($A$10:$A$89,$C685,$F$10:$F$89,"&lt;&gt;")=0,"brak danych",VLOOKUP($C685,$A$10:$J$89,6,FALSE)*$F685)))))</x:f>
      </x:c>
      <x:c r="M685" s="25" t="str">
        <x:f>IF($A685="","",IF($F685="","",IF($F685=0,0,IF(COUNTIFS($A$10:$A$89,$C685)&lt;&gt;1,"brak danych",IF(COUNTIFS($A$10:$A$89,$C685,$G$10:$G$89,"&lt;&gt;")=0,"brak danych",VLOOKUP($C685,$A$10:$J$89,7,FALSE)*$F685)))))</x:f>
      </x:c>
      <x:c r="N685" s="25" t="str">
        <x:f>IF($A685="","",IF($F685="","",IF($F685=0,0,IF(COUNTIFS($A$10:$A$89,$C685)&lt;&gt;1,"brak danych",IF(COUNTIFS($A$10:$A$89,$C685,$H$10:$H$89,"&lt;&gt;")=0,"brak danych",VLOOKUP($C685,$A$10:$J$89,8,FALSE)*$F685)))))</x:f>
      </x:c>
      <x:c r="O685" s="25" t="str">
        <x:f>IF($A685="","",IF($F685="","",IF($F685=0,0,IF(COUNTIFS($A$10:$A$89,$C685)&lt;&gt;1,"brak danych",IF(COUNTIFS($A$10:$A$89,$C685,$I$10:$I$89,"&lt;&gt;")=0,"brak danych",VLOOKUP($C685,$A$10:$J$89,9,FALSE)*$F685)))))</x:f>
      </x:c>
      <x:c r="P685" s="25" t="str">
        <x:f>IF($A685="","",IF($F685="","",IF($F685=0,0,IF(COUNTIFS($A$10:$A$89,$C685)&lt;&gt;1,"brak danych",IF(COUNTIFS($A$10:$A$89,$C685,$J$10:$J$89,"&lt;&gt;")=0,"brak danych",VLOOKUP($C685,$A$10:$J$89,10,FALSE)*$F685)))))</x:f>
      </x:c>
      <x:c r="Q685" s="18"/>
    </x:row>
    <x:row r="686" ht="25" customHeight="1">
      <x:c r="A686" s="6"/>
      <x:c r="B686" s="30"/>
      <x:c r="C686" s="5"/>
      <x:c r="D686" s="5"/>
      <x:c r="E686" s="32"/>
      <x:c r="F686" s="32"/>
      <x:c r="G686" s="24" t="str">
        <x:f>IF($A686="","",IF(AND($C686="",$E686=""),"",IF($E686="","brak danych",IF($E686=0,0,IF(COUNTIFS($A$10:$A$89,$C686)&lt;&gt;1,"brak danych",IF(COUNTIFS($A$10:$A$89,$C686,$F$10:$F$89,"&lt;&gt;")=0,"brak danych",VLOOKUP($C686,$A$10:$J$89,6,FALSE)*$E686))))))</x:f>
      </x:c>
      <x:c r="H686" s="25" t="str">
        <x:f>IF($A686="","",IF(AND($C686="",$E686=""),"",IF($E686="","brak danych",IF($E686=0,0,IF(COUNTIFS($A$10:$A$89,$C686)&lt;&gt;1,"brak danych",IF(COUNTIFS($A$10:$A$89,$C686,$G$10:$G$89,"&lt;&gt;")=0,"brak danych",VLOOKUP($C686,$A$10:$J$89,7,FALSE)*$E686))))))</x:f>
      </x:c>
      <x:c r="I686" s="25" t="str">
        <x:f>IF($A686="","",IF(AND($C686="",$E686=""),"",IF($E686="","brak danych",IF($E686=0,0,IF(COUNTIFS($A$10:$A$89,$C686)&lt;&gt;1,"brak danych",IF(COUNTIFS($A$10:$A$89,$C686,$H$10:$H$89,"&lt;&gt;")=0,"brak danych",VLOOKUP($C686,$A$10:$J$89,8,FALSE)*$E686))))))</x:f>
      </x:c>
      <x:c r="J686" s="25" t="str">
        <x:f>IF($A686="","",IF(AND($C686="",$E686=""),"",IF($E686="","brak danych",IF($E686=0,0,IF(COUNTIFS($A$10:$A$89,$C686)&lt;&gt;1,"brak danych",IF(COUNTIFS($A$10:$A$89,$C686,$I$10:$I$89,"&lt;&gt;")=0,"brak danych",VLOOKUP($C686,$A$10:$J$89,9,FALSE)*$E686))))))</x:f>
      </x:c>
      <x:c r="K686" s="25" t="str">
        <x:f>IF($A686="","",IF(AND($C686="",$E686=""),"",IF($E686="","brak danych",IF($E686=0,0,IF(COUNTIFS($A$10:$A$89,$C686)&lt;&gt;1,"brak danych",IF(COUNTIFS($A$10:$A$89,$C686,$J$10:$J$89,"&lt;&gt;")=0,"brak danych",VLOOKUP($C686,$A$10:$J$89,10,FALSE)*$E686))))))</x:f>
      </x:c>
      <x:c r="L686" s="24" t="str">
        <x:f>IF($A686="","",IF($F686="","",IF($F686=0,0,IF(COUNTIFS($A$10:$A$89,$C686)&lt;&gt;1,"brak danych",IF(COUNTIFS($A$10:$A$89,$C686,$F$10:$F$89,"&lt;&gt;")=0,"brak danych",VLOOKUP($C686,$A$10:$J$89,6,FALSE)*$F686)))))</x:f>
      </x:c>
      <x:c r="M686" s="25" t="str">
        <x:f>IF($A686="","",IF($F686="","",IF($F686=0,0,IF(COUNTIFS($A$10:$A$89,$C686)&lt;&gt;1,"brak danych",IF(COUNTIFS($A$10:$A$89,$C686,$G$10:$G$89,"&lt;&gt;")=0,"brak danych",VLOOKUP($C686,$A$10:$J$89,7,FALSE)*$F686)))))</x:f>
      </x:c>
      <x:c r="N686" s="25" t="str">
        <x:f>IF($A686="","",IF($F686="","",IF($F686=0,0,IF(COUNTIFS($A$10:$A$89,$C686)&lt;&gt;1,"brak danych",IF(COUNTIFS($A$10:$A$89,$C686,$H$10:$H$89,"&lt;&gt;")=0,"brak danych",VLOOKUP($C686,$A$10:$J$89,8,FALSE)*$F686)))))</x:f>
      </x:c>
      <x:c r="O686" s="25" t="str">
        <x:f>IF($A686="","",IF($F686="","",IF($F686=0,0,IF(COUNTIFS($A$10:$A$89,$C686)&lt;&gt;1,"brak danych",IF(COUNTIFS($A$10:$A$89,$C686,$I$10:$I$89,"&lt;&gt;")=0,"brak danych",VLOOKUP($C686,$A$10:$J$89,9,FALSE)*$F686)))))</x:f>
      </x:c>
      <x:c r="P686" s="25" t="str">
        <x:f>IF($A686="","",IF($F686="","",IF($F686=0,0,IF(COUNTIFS($A$10:$A$89,$C686)&lt;&gt;1,"brak danych",IF(COUNTIFS($A$10:$A$89,$C686,$J$10:$J$89,"&lt;&gt;")=0,"brak danych",VLOOKUP($C686,$A$10:$J$89,10,FALSE)*$F686)))))</x:f>
      </x:c>
      <x:c r="Q686" s="18"/>
    </x:row>
    <x:row r="687" ht="25" customHeight="1">
      <x:c r="A687" s="6"/>
      <x:c r="B687" s="30"/>
      <x:c r="C687" s="5"/>
      <x:c r="D687" s="5"/>
      <x:c r="E687" s="32"/>
      <x:c r="F687" s="32"/>
      <x:c r="G687" s="24" t="str">
        <x:f>IF($A687="","",IF(AND($C687="",$E687=""),"",IF($E687="","brak danych",IF($E687=0,0,IF(COUNTIFS($A$10:$A$89,$C687)&lt;&gt;1,"brak danych",IF(COUNTIFS($A$10:$A$89,$C687,$F$10:$F$89,"&lt;&gt;")=0,"brak danych",VLOOKUP($C687,$A$10:$J$89,6,FALSE)*$E687))))))</x:f>
      </x:c>
      <x:c r="H687" s="25" t="str">
        <x:f>IF($A687="","",IF(AND($C687="",$E687=""),"",IF($E687="","brak danych",IF($E687=0,0,IF(COUNTIFS($A$10:$A$89,$C687)&lt;&gt;1,"brak danych",IF(COUNTIFS($A$10:$A$89,$C687,$G$10:$G$89,"&lt;&gt;")=0,"brak danych",VLOOKUP($C687,$A$10:$J$89,7,FALSE)*$E687))))))</x:f>
      </x:c>
      <x:c r="I687" s="25" t="str">
        <x:f>IF($A687="","",IF(AND($C687="",$E687=""),"",IF($E687="","brak danych",IF($E687=0,0,IF(COUNTIFS($A$10:$A$89,$C687)&lt;&gt;1,"brak danych",IF(COUNTIFS($A$10:$A$89,$C687,$H$10:$H$89,"&lt;&gt;")=0,"brak danych",VLOOKUP($C687,$A$10:$J$89,8,FALSE)*$E687))))))</x:f>
      </x:c>
      <x:c r="J687" s="25" t="str">
        <x:f>IF($A687="","",IF(AND($C687="",$E687=""),"",IF($E687="","brak danych",IF($E687=0,0,IF(COUNTIFS($A$10:$A$89,$C687)&lt;&gt;1,"brak danych",IF(COUNTIFS($A$10:$A$89,$C687,$I$10:$I$89,"&lt;&gt;")=0,"brak danych",VLOOKUP($C687,$A$10:$J$89,9,FALSE)*$E687))))))</x:f>
      </x:c>
      <x:c r="K687" s="25" t="str">
        <x:f>IF($A687="","",IF(AND($C687="",$E687=""),"",IF($E687="","brak danych",IF($E687=0,0,IF(COUNTIFS($A$10:$A$89,$C687)&lt;&gt;1,"brak danych",IF(COUNTIFS($A$10:$A$89,$C687,$J$10:$J$89,"&lt;&gt;")=0,"brak danych",VLOOKUP($C687,$A$10:$J$89,10,FALSE)*$E687))))))</x:f>
      </x:c>
      <x:c r="L687" s="24" t="str">
        <x:f>IF($A687="","",IF($F687="","",IF($F687=0,0,IF(COUNTIFS($A$10:$A$89,$C687)&lt;&gt;1,"brak danych",IF(COUNTIFS($A$10:$A$89,$C687,$F$10:$F$89,"&lt;&gt;")=0,"brak danych",VLOOKUP($C687,$A$10:$J$89,6,FALSE)*$F687)))))</x:f>
      </x:c>
      <x:c r="M687" s="25" t="str">
        <x:f>IF($A687="","",IF($F687="","",IF($F687=0,0,IF(COUNTIFS($A$10:$A$89,$C687)&lt;&gt;1,"brak danych",IF(COUNTIFS($A$10:$A$89,$C687,$G$10:$G$89,"&lt;&gt;")=0,"brak danych",VLOOKUP($C687,$A$10:$J$89,7,FALSE)*$F687)))))</x:f>
      </x:c>
      <x:c r="N687" s="25" t="str">
        <x:f>IF($A687="","",IF($F687="","",IF($F687=0,0,IF(COUNTIFS($A$10:$A$89,$C687)&lt;&gt;1,"brak danych",IF(COUNTIFS($A$10:$A$89,$C687,$H$10:$H$89,"&lt;&gt;")=0,"brak danych",VLOOKUP($C687,$A$10:$J$89,8,FALSE)*$F687)))))</x:f>
      </x:c>
      <x:c r="O687" s="25" t="str">
        <x:f>IF($A687="","",IF($F687="","",IF($F687=0,0,IF(COUNTIFS($A$10:$A$89,$C687)&lt;&gt;1,"brak danych",IF(COUNTIFS($A$10:$A$89,$C687,$I$10:$I$89,"&lt;&gt;")=0,"brak danych",VLOOKUP($C687,$A$10:$J$89,9,FALSE)*$F687)))))</x:f>
      </x:c>
      <x:c r="P687" s="25" t="str">
        <x:f>IF($A687="","",IF($F687="","",IF($F687=0,0,IF(COUNTIFS($A$10:$A$89,$C687)&lt;&gt;1,"brak danych",IF(COUNTIFS($A$10:$A$89,$C687,$J$10:$J$89,"&lt;&gt;")=0,"brak danych",VLOOKUP($C687,$A$10:$J$89,10,FALSE)*$F687)))))</x:f>
      </x:c>
      <x:c r="Q687" s="18"/>
    </x:row>
    <x:row r="688" ht="25" customHeight="1">
      <x:c r="A688" s="6"/>
      <x:c r="B688" s="30"/>
      <x:c r="C688" s="5"/>
      <x:c r="D688" s="5"/>
      <x:c r="E688" s="32"/>
      <x:c r="F688" s="32"/>
      <x:c r="G688" s="24" t="str">
        <x:f>IF($A688="","",IF(AND($C688="",$E688=""),"",IF($E688="","brak danych",IF($E688=0,0,IF(COUNTIFS($A$10:$A$89,$C688)&lt;&gt;1,"brak danych",IF(COUNTIFS($A$10:$A$89,$C688,$F$10:$F$89,"&lt;&gt;")=0,"brak danych",VLOOKUP($C688,$A$10:$J$89,6,FALSE)*$E688))))))</x:f>
      </x:c>
      <x:c r="H688" s="25" t="str">
        <x:f>IF($A688="","",IF(AND($C688="",$E688=""),"",IF($E688="","brak danych",IF($E688=0,0,IF(COUNTIFS($A$10:$A$89,$C688)&lt;&gt;1,"brak danych",IF(COUNTIFS($A$10:$A$89,$C688,$G$10:$G$89,"&lt;&gt;")=0,"brak danych",VLOOKUP($C688,$A$10:$J$89,7,FALSE)*$E688))))))</x:f>
      </x:c>
      <x:c r="I688" s="25" t="str">
        <x:f>IF($A688="","",IF(AND($C688="",$E688=""),"",IF($E688="","brak danych",IF($E688=0,0,IF(COUNTIFS($A$10:$A$89,$C688)&lt;&gt;1,"brak danych",IF(COUNTIFS($A$10:$A$89,$C688,$H$10:$H$89,"&lt;&gt;")=0,"brak danych",VLOOKUP($C688,$A$10:$J$89,8,FALSE)*$E688))))))</x:f>
      </x:c>
      <x:c r="J688" s="25" t="str">
        <x:f>IF($A688="","",IF(AND($C688="",$E688=""),"",IF($E688="","brak danych",IF($E688=0,0,IF(COUNTIFS($A$10:$A$89,$C688)&lt;&gt;1,"brak danych",IF(COUNTIFS($A$10:$A$89,$C688,$I$10:$I$89,"&lt;&gt;")=0,"brak danych",VLOOKUP($C688,$A$10:$J$89,9,FALSE)*$E688))))))</x:f>
      </x:c>
      <x:c r="K688" s="25" t="str">
        <x:f>IF($A688="","",IF(AND($C688="",$E688=""),"",IF($E688="","brak danych",IF($E688=0,0,IF(COUNTIFS($A$10:$A$89,$C688)&lt;&gt;1,"brak danych",IF(COUNTIFS($A$10:$A$89,$C688,$J$10:$J$89,"&lt;&gt;")=0,"brak danych",VLOOKUP($C688,$A$10:$J$89,10,FALSE)*$E688))))))</x:f>
      </x:c>
      <x:c r="L688" s="24" t="str">
        <x:f>IF($A688="","",IF($F688="","",IF($F688=0,0,IF(COUNTIFS($A$10:$A$89,$C688)&lt;&gt;1,"brak danych",IF(COUNTIFS($A$10:$A$89,$C688,$F$10:$F$89,"&lt;&gt;")=0,"brak danych",VLOOKUP($C688,$A$10:$J$89,6,FALSE)*$F688)))))</x:f>
      </x:c>
      <x:c r="M688" s="25" t="str">
        <x:f>IF($A688="","",IF($F688="","",IF($F688=0,0,IF(COUNTIFS($A$10:$A$89,$C688)&lt;&gt;1,"brak danych",IF(COUNTIFS($A$10:$A$89,$C688,$G$10:$G$89,"&lt;&gt;")=0,"brak danych",VLOOKUP($C688,$A$10:$J$89,7,FALSE)*$F688)))))</x:f>
      </x:c>
      <x:c r="N688" s="25" t="str">
        <x:f>IF($A688="","",IF($F688="","",IF($F688=0,0,IF(COUNTIFS($A$10:$A$89,$C688)&lt;&gt;1,"brak danych",IF(COUNTIFS($A$10:$A$89,$C688,$H$10:$H$89,"&lt;&gt;")=0,"brak danych",VLOOKUP($C688,$A$10:$J$89,8,FALSE)*$F688)))))</x:f>
      </x:c>
      <x:c r="O688" s="25" t="str">
        <x:f>IF($A688="","",IF($F688="","",IF($F688=0,0,IF(COUNTIFS($A$10:$A$89,$C688)&lt;&gt;1,"brak danych",IF(COUNTIFS($A$10:$A$89,$C688,$I$10:$I$89,"&lt;&gt;")=0,"brak danych",VLOOKUP($C688,$A$10:$J$89,9,FALSE)*$F688)))))</x:f>
      </x:c>
      <x:c r="P688" s="25" t="str">
        <x:f>IF($A688="","",IF($F688="","",IF($F688=0,0,IF(COUNTIFS($A$10:$A$89,$C688)&lt;&gt;1,"brak danych",IF(COUNTIFS($A$10:$A$89,$C688,$J$10:$J$89,"&lt;&gt;")=0,"brak danych",VLOOKUP($C688,$A$10:$J$89,10,FALSE)*$F688)))))</x:f>
      </x:c>
      <x:c r="Q688" s="18"/>
    </x:row>
    <x:row r="689" ht="25" customHeight="1">
      <x:c r="A689" s="6"/>
      <x:c r="B689" s="30"/>
      <x:c r="C689" s="5"/>
      <x:c r="D689" s="5"/>
      <x:c r="E689" s="32"/>
      <x:c r="F689" s="32"/>
      <x:c r="G689" s="24" t="str">
        <x:f>IF($A689="","",IF(AND($C689="",$E689=""),"",IF($E689="","brak danych",IF($E689=0,0,IF(COUNTIFS($A$10:$A$89,$C689)&lt;&gt;1,"brak danych",IF(COUNTIFS($A$10:$A$89,$C689,$F$10:$F$89,"&lt;&gt;")=0,"brak danych",VLOOKUP($C689,$A$10:$J$89,6,FALSE)*$E689))))))</x:f>
      </x:c>
      <x:c r="H689" s="25" t="str">
        <x:f>IF($A689="","",IF(AND($C689="",$E689=""),"",IF($E689="","brak danych",IF($E689=0,0,IF(COUNTIFS($A$10:$A$89,$C689)&lt;&gt;1,"brak danych",IF(COUNTIFS($A$10:$A$89,$C689,$G$10:$G$89,"&lt;&gt;")=0,"brak danych",VLOOKUP($C689,$A$10:$J$89,7,FALSE)*$E689))))))</x:f>
      </x:c>
      <x:c r="I689" s="25" t="str">
        <x:f>IF($A689="","",IF(AND($C689="",$E689=""),"",IF($E689="","brak danych",IF($E689=0,0,IF(COUNTIFS($A$10:$A$89,$C689)&lt;&gt;1,"brak danych",IF(COUNTIFS($A$10:$A$89,$C689,$H$10:$H$89,"&lt;&gt;")=0,"brak danych",VLOOKUP($C689,$A$10:$J$89,8,FALSE)*$E689))))))</x:f>
      </x:c>
      <x:c r="J689" s="25" t="str">
        <x:f>IF($A689="","",IF(AND($C689="",$E689=""),"",IF($E689="","brak danych",IF($E689=0,0,IF(COUNTIFS($A$10:$A$89,$C689)&lt;&gt;1,"brak danych",IF(COUNTIFS($A$10:$A$89,$C689,$I$10:$I$89,"&lt;&gt;")=0,"brak danych",VLOOKUP($C689,$A$10:$J$89,9,FALSE)*$E689))))))</x:f>
      </x:c>
      <x:c r="K689" s="25" t="str">
        <x:f>IF($A689="","",IF(AND($C689="",$E689=""),"",IF($E689="","brak danych",IF($E689=0,0,IF(COUNTIFS($A$10:$A$89,$C689)&lt;&gt;1,"brak danych",IF(COUNTIFS($A$10:$A$89,$C689,$J$10:$J$89,"&lt;&gt;")=0,"brak danych",VLOOKUP($C689,$A$10:$J$89,10,FALSE)*$E689))))))</x:f>
      </x:c>
      <x:c r="L689" s="24" t="str">
        <x:f>IF($A689="","",IF($F689="","",IF($F689=0,0,IF(COUNTIFS($A$10:$A$89,$C689)&lt;&gt;1,"brak danych",IF(COUNTIFS($A$10:$A$89,$C689,$F$10:$F$89,"&lt;&gt;")=0,"brak danych",VLOOKUP($C689,$A$10:$J$89,6,FALSE)*$F689)))))</x:f>
      </x:c>
      <x:c r="M689" s="25" t="str">
        <x:f>IF($A689="","",IF($F689="","",IF($F689=0,0,IF(COUNTIFS($A$10:$A$89,$C689)&lt;&gt;1,"brak danych",IF(COUNTIFS($A$10:$A$89,$C689,$G$10:$G$89,"&lt;&gt;")=0,"brak danych",VLOOKUP($C689,$A$10:$J$89,7,FALSE)*$F689)))))</x:f>
      </x:c>
      <x:c r="N689" s="25" t="str">
        <x:f>IF($A689="","",IF($F689="","",IF($F689=0,0,IF(COUNTIFS($A$10:$A$89,$C689)&lt;&gt;1,"brak danych",IF(COUNTIFS($A$10:$A$89,$C689,$H$10:$H$89,"&lt;&gt;")=0,"brak danych",VLOOKUP($C689,$A$10:$J$89,8,FALSE)*$F689)))))</x:f>
      </x:c>
      <x:c r="O689" s="25" t="str">
        <x:f>IF($A689="","",IF($F689="","",IF($F689=0,0,IF(COUNTIFS($A$10:$A$89,$C689)&lt;&gt;1,"brak danych",IF(COUNTIFS($A$10:$A$89,$C689,$I$10:$I$89,"&lt;&gt;")=0,"brak danych",VLOOKUP($C689,$A$10:$J$89,9,FALSE)*$F689)))))</x:f>
      </x:c>
      <x:c r="P689" s="25" t="str">
        <x:f>IF($A689="","",IF($F689="","",IF($F689=0,0,IF(COUNTIFS($A$10:$A$89,$C689)&lt;&gt;1,"brak danych",IF(COUNTIFS($A$10:$A$89,$C689,$J$10:$J$89,"&lt;&gt;")=0,"brak danych",VLOOKUP($C689,$A$10:$J$89,10,FALSE)*$F689)))))</x:f>
      </x:c>
      <x:c r="Q689" s="18"/>
    </x:row>
    <x:row r="690" ht="25" customHeight="1">
      <x:c r="A690" s="6"/>
      <x:c r="B690" s="30"/>
      <x:c r="C690" s="5"/>
      <x:c r="D690" s="5"/>
      <x:c r="E690" s="32"/>
      <x:c r="F690" s="32"/>
      <x:c r="G690" s="24" t="str">
        <x:f>IF($A690="","",IF(AND($C690="",$E690=""),"",IF($E690="","brak danych",IF($E690=0,0,IF(COUNTIFS($A$10:$A$89,$C690)&lt;&gt;1,"brak danych",IF(COUNTIFS($A$10:$A$89,$C690,$F$10:$F$89,"&lt;&gt;")=0,"brak danych",VLOOKUP($C690,$A$10:$J$89,6,FALSE)*$E690))))))</x:f>
      </x:c>
      <x:c r="H690" s="25" t="str">
        <x:f>IF($A690="","",IF(AND($C690="",$E690=""),"",IF($E690="","brak danych",IF($E690=0,0,IF(COUNTIFS($A$10:$A$89,$C690)&lt;&gt;1,"brak danych",IF(COUNTIFS($A$10:$A$89,$C690,$G$10:$G$89,"&lt;&gt;")=0,"brak danych",VLOOKUP($C690,$A$10:$J$89,7,FALSE)*$E690))))))</x:f>
      </x:c>
      <x:c r="I690" s="25" t="str">
        <x:f>IF($A690="","",IF(AND($C690="",$E690=""),"",IF($E690="","brak danych",IF($E690=0,0,IF(COUNTIFS($A$10:$A$89,$C690)&lt;&gt;1,"brak danych",IF(COUNTIFS($A$10:$A$89,$C690,$H$10:$H$89,"&lt;&gt;")=0,"brak danych",VLOOKUP($C690,$A$10:$J$89,8,FALSE)*$E690))))))</x:f>
      </x:c>
      <x:c r="J690" s="25" t="str">
        <x:f>IF($A690="","",IF(AND($C690="",$E690=""),"",IF($E690="","brak danych",IF($E690=0,0,IF(COUNTIFS($A$10:$A$89,$C690)&lt;&gt;1,"brak danych",IF(COUNTIFS($A$10:$A$89,$C690,$I$10:$I$89,"&lt;&gt;")=0,"brak danych",VLOOKUP($C690,$A$10:$J$89,9,FALSE)*$E690))))))</x:f>
      </x:c>
      <x:c r="K690" s="25" t="str">
        <x:f>IF($A690="","",IF(AND($C690="",$E690=""),"",IF($E690="","brak danych",IF($E690=0,0,IF(COUNTIFS($A$10:$A$89,$C690)&lt;&gt;1,"brak danych",IF(COUNTIFS($A$10:$A$89,$C690,$J$10:$J$89,"&lt;&gt;")=0,"brak danych",VLOOKUP($C690,$A$10:$J$89,10,FALSE)*$E690))))))</x:f>
      </x:c>
      <x:c r="L690" s="24" t="str">
        <x:f>IF($A690="","",IF($F690="","",IF($F690=0,0,IF(COUNTIFS($A$10:$A$89,$C690)&lt;&gt;1,"brak danych",IF(COUNTIFS($A$10:$A$89,$C690,$F$10:$F$89,"&lt;&gt;")=0,"brak danych",VLOOKUP($C690,$A$10:$J$89,6,FALSE)*$F690)))))</x:f>
      </x:c>
      <x:c r="M690" s="25" t="str">
        <x:f>IF($A690="","",IF($F690="","",IF($F690=0,0,IF(COUNTIFS($A$10:$A$89,$C690)&lt;&gt;1,"brak danych",IF(COUNTIFS($A$10:$A$89,$C690,$G$10:$G$89,"&lt;&gt;")=0,"brak danych",VLOOKUP($C690,$A$10:$J$89,7,FALSE)*$F690)))))</x:f>
      </x:c>
      <x:c r="N690" s="25" t="str">
        <x:f>IF($A690="","",IF($F690="","",IF($F690=0,0,IF(COUNTIFS($A$10:$A$89,$C690)&lt;&gt;1,"brak danych",IF(COUNTIFS($A$10:$A$89,$C690,$H$10:$H$89,"&lt;&gt;")=0,"brak danych",VLOOKUP($C690,$A$10:$J$89,8,FALSE)*$F690)))))</x:f>
      </x:c>
      <x:c r="O690" s="25" t="str">
        <x:f>IF($A690="","",IF($F690="","",IF($F690=0,0,IF(COUNTIFS($A$10:$A$89,$C690)&lt;&gt;1,"brak danych",IF(COUNTIFS($A$10:$A$89,$C690,$I$10:$I$89,"&lt;&gt;")=0,"brak danych",VLOOKUP($C690,$A$10:$J$89,9,FALSE)*$F690)))))</x:f>
      </x:c>
      <x:c r="P690" s="25" t="str">
        <x:f>IF($A690="","",IF($F690="","",IF($F690=0,0,IF(COUNTIFS($A$10:$A$89,$C690)&lt;&gt;1,"brak danych",IF(COUNTIFS($A$10:$A$89,$C690,$J$10:$J$89,"&lt;&gt;")=0,"brak danych",VLOOKUP($C690,$A$10:$J$89,10,FALSE)*$F690)))))</x:f>
      </x:c>
      <x:c r="Q690" s="18"/>
    </x:row>
    <x:row r="691" ht="25" customHeight="1">
      <x:c r="A691" s="6"/>
      <x:c r="B691" s="30"/>
      <x:c r="C691" s="5"/>
      <x:c r="D691" s="5"/>
      <x:c r="E691" s="32"/>
      <x:c r="F691" s="32"/>
      <x:c r="G691" s="24" t="str">
        <x:f>IF($A691="","",IF(AND($C691="",$E691=""),"",IF($E691="","brak danych",IF($E691=0,0,IF(COUNTIFS($A$10:$A$89,$C691)&lt;&gt;1,"brak danych",IF(COUNTIFS($A$10:$A$89,$C691,$F$10:$F$89,"&lt;&gt;")=0,"brak danych",VLOOKUP($C691,$A$10:$J$89,6,FALSE)*$E691))))))</x:f>
      </x:c>
      <x:c r="H691" s="25" t="str">
        <x:f>IF($A691="","",IF(AND($C691="",$E691=""),"",IF($E691="","brak danych",IF($E691=0,0,IF(COUNTIFS($A$10:$A$89,$C691)&lt;&gt;1,"brak danych",IF(COUNTIFS($A$10:$A$89,$C691,$G$10:$G$89,"&lt;&gt;")=0,"brak danych",VLOOKUP($C691,$A$10:$J$89,7,FALSE)*$E691))))))</x:f>
      </x:c>
      <x:c r="I691" s="25" t="str">
        <x:f>IF($A691="","",IF(AND($C691="",$E691=""),"",IF($E691="","brak danych",IF($E691=0,0,IF(COUNTIFS($A$10:$A$89,$C691)&lt;&gt;1,"brak danych",IF(COUNTIFS($A$10:$A$89,$C691,$H$10:$H$89,"&lt;&gt;")=0,"brak danych",VLOOKUP($C691,$A$10:$J$89,8,FALSE)*$E691))))))</x:f>
      </x:c>
      <x:c r="J691" s="25" t="str">
        <x:f>IF($A691="","",IF(AND($C691="",$E691=""),"",IF($E691="","brak danych",IF($E691=0,0,IF(COUNTIFS($A$10:$A$89,$C691)&lt;&gt;1,"brak danych",IF(COUNTIFS($A$10:$A$89,$C691,$I$10:$I$89,"&lt;&gt;")=0,"brak danych",VLOOKUP($C691,$A$10:$J$89,9,FALSE)*$E691))))))</x:f>
      </x:c>
      <x:c r="K691" s="25" t="str">
        <x:f>IF($A691="","",IF(AND($C691="",$E691=""),"",IF($E691="","brak danych",IF($E691=0,0,IF(COUNTIFS($A$10:$A$89,$C691)&lt;&gt;1,"brak danych",IF(COUNTIFS($A$10:$A$89,$C691,$J$10:$J$89,"&lt;&gt;")=0,"brak danych",VLOOKUP($C691,$A$10:$J$89,10,FALSE)*$E691))))))</x:f>
      </x:c>
      <x:c r="L691" s="24" t="str">
        <x:f>IF($A691="","",IF($F691="","",IF($F691=0,0,IF(COUNTIFS($A$10:$A$89,$C691)&lt;&gt;1,"brak danych",IF(COUNTIFS($A$10:$A$89,$C691,$F$10:$F$89,"&lt;&gt;")=0,"brak danych",VLOOKUP($C691,$A$10:$J$89,6,FALSE)*$F691)))))</x:f>
      </x:c>
      <x:c r="M691" s="25" t="str">
        <x:f>IF($A691="","",IF($F691="","",IF($F691=0,0,IF(COUNTIFS($A$10:$A$89,$C691)&lt;&gt;1,"brak danych",IF(COUNTIFS($A$10:$A$89,$C691,$G$10:$G$89,"&lt;&gt;")=0,"brak danych",VLOOKUP($C691,$A$10:$J$89,7,FALSE)*$F691)))))</x:f>
      </x:c>
      <x:c r="N691" s="25" t="str">
        <x:f>IF($A691="","",IF($F691="","",IF($F691=0,0,IF(COUNTIFS($A$10:$A$89,$C691)&lt;&gt;1,"brak danych",IF(COUNTIFS($A$10:$A$89,$C691,$H$10:$H$89,"&lt;&gt;")=0,"brak danych",VLOOKUP($C691,$A$10:$J$89,8,FALSE)*$F691)))))</x:f>
      </x:c>
      <x:c r="O691" s="25" t="str">
        <x:f>IF($A691="","",IF($F691="","",IF($F691=0,0,IF(COUNTIFS($A$10:$A$89,$C691)&lt;&gt;1,"brak danych",IF(COUNTIFS($A$10:$A$89,$C691,$I$10:$I$89,"&lt;&gt;")=0,"brak danych",VLOOKUP($C691,$A$10:$J$89,9,FALSE)*$F691)))))</x:f>
      </x:c>
      <x:c r="P691" s="25" t="str">
        <x:f>IF($A691="","",IF($F691="","",IF($F691=0,0,IF(COUNTIFS($A$10:$A$89,$C691)&lt;&gt;1,"brak danych",IF(COUNTIFS($A$10:$A$89,$C691,$J$10:$J$89,"&lt;&gt;")=0,"brak danych",VLOOKUP($C691,$A$10:$J$89,10,FALSE)*$F691)))))</x:f>
      </x:c>
      <x:c r="Q691" s="18"/>
    </x:row>
    <x:row r="692" ht="25" customHeight="1">
      <x:c r="A692" s="6"/>
      <x:c r="B692" s="30"/>
      <x:c r="C692" s="5"/>
      <x:c r="D692" s="5"/>
      <x:c r="E692" s="32"/>
      <x:c r="F692" s="32"/>
      <x:c r="G692" s="24" t="str">
        <x:f>IF($A692="","",IF(AND($C692="",$E692=""),"",IF($E692="","brak danych",IF($E692=0,0,IF(COUNTIFS($A$10:$A$89,$C692)&lt;&gt;1,"brak danych",IF(COUNTIFS($A$10:$A$89,$C692,$F$10:$F$89,"&lt;&gt;")=0,"brak danych",VLOOKUP($C692,$A$10:$J$89,6,FALSE)*$E692))))))</x:f>
      </x:c>
      <x:c r="H692" s="25" t="str">
        <x:f>IF($A692="","",IF(AND($C692="",$E692=""),"",IF($E692="","brak danych",IF($E692=0,0,IF(COUNTIFS($A$10:$A$89,$C692)&lt;&gt;1,"brak danych",IF(COUNTIFS($A$10:$A$89,$C692,$G$10:$G$89,"&lt;&gt;")=0,"brak danych",VLOOKUP($C692,$A$10:$J$89,7,FALSE)*$E692))))))</x:f>
      </x:c>
      <x:c r="I692" s="25" t="str">
        <x:f>IF($A692="","",IF(AND($C692="",$E692=""),"",IF($E692="","brak danych",IF($E692=0,0,IF(COUNTIFS($A$10:$A$89,$C692)&lt;&gt;1,"brak danych",IF(COUNTIFS($A$10:$A$89,$C692,$H$10:$H$89,"&lt;&gt;")=0,"brak danych",VLOOKUP($C692,$A$10:$J$89,8,FALSE)*$E692))))))</x:f>
      </x:c>
      <x:c r="J692" s="25" t="str">
        <x:f>IF($A692="","",IF(AND($C692="",$E692=""),"",IF($E692="","brak danych",IF($E692=0,0,IF(COUNTIFS($A$10:$A$89,$C692)&lt;&gt;1,"brak danych",IF(COUNTIFS($A$10:$A$89,$C692,$I$10:$I$89,"&lt;&gt;")=0,"brak danych",VLOOKUP($C692,$A$10:$J$89,9,FALSE)*$E692))))))</x:f>
      </x:c>
      <x:c r="K692" s="25" t="str">
        <x:f>IF($A692="","",IF(AND($C692="",$E692=""),"",IF($E692="","brak danych",IF($E692=0,0,IF(COUNTIFS($A$10:$A$89,$C692)&lt;&gt;1,"brak danych",IF(COUNTIFS($A$10:$A$89,$C692,$J$10:$J$89,"&lt;&gt;")=0,"brak danych",VLOOKUP($C692,$A$10:$J$89,10,FALSE)*$E692))))))</x:f>
      </x:c>
      <x:c r="L692" s="24" t="str">
        <x:f>IF($A692="","",IF($F692="","",IF($F692=0,0,IF(COUNTIFS($A$10:$A$89,$C692)&lt;&gt;1,"brak danych",IF(COUNTIFS($A$10:$A$89,$C692,$F$10:$F$89,"&lt;&gt;")=0,"brak danych",VLOOKUP($C692,$A$10:$J$89,6,FALSE)*$F692)))))</x:f>
      </x:c>
      <x:c r="M692" s="25" t="str">
        <x:f>IF($A692="","",IF($F692="","",IF($F692=0,0,IF(COUNTIFS($A$10:$A$89,$C692)&lt;&gt;1,"brak danych",IF(COUNTIFS($A$10:$A$89,$C692,$G$10:$G$89,"&lt;&gt;")=0,"brak danych",VLOOKUP($C692,$A$10:$J$89,7,FALSE)*$F692)))))</x:f>
      </x:c>
      <x:c r="N692" s="25" t="str">
        <x:f>IF($A692="","",IF($F692="","",IF($F692=0,0,IF(COUNTIFS($A$10:$A$89,$C692)&lt;&gt;1,"brak danych",IF(COUNTIFS($A$10:$A$89,$C692,$H$10:$H$89,"&lt;&gt;")=0,"brak danych",VLOOKUP($C692,$A$10:$J$89,8,FALSE)*$F692)))))</x:f>
      </x:c>
      <x:c r="O692" s="25" t="str">
        <x:f>IF($A692="","",IF($F692="","",IF($F692=0,0,IF(COUNTIFS($A$10:$A$89,$C692)&lt;&gt;1,"brak danych",IF(COUNTIFS($A$10:$A$89,$C692,$I$10:$I$89,"&lt;&gt;")=0,"brak danych",VLOOKUP($C692,$A$10:$J$89,9,FALSE)*$F692)))))</x:f>
      </x:c>
      <x:c r="P692" s="25" t="str">
        <x:f>IF($A692="","",IF($F692="","",IF($F692=0,0,IF(COUNTIFS($A$10:$A$89,$C692)&lt;&gt;1,"brak danych",IF(COUNTIFS($A$10:$A$89,$C692,$J$10:$J$89,"&lt;&gt;")=0,"brak danych",VLOOKUP($C692,$A$10:$J$89,10,FALSE)*$F692)))))</x:f>
      </x:c>
      <x:c r="Q692" s="18"/>
    </x:row>
    <x:row r="693" ht="25" customHeight="1">
      <x:c r="A693" s="6"/>
      <x:c r="B693" s="30"/>
      <x:c r="C693" s="5"/>
      <x:c r="D693" s="5"/>
      <x:c r="E693" s="32"/>
      <x:c r="F693" s="32"/>
      <x:c r="G693" s="24" t="str">
        <x:f>IF($A693="","",IF(AND($C693="",$E693=""),"",IF($E693="","brak danych",IF($E693=0,0,IF(COUNTIFS($A$10:$A$89,$C693)&lt;&gt;1,"brak danych",IF(COUNTIFS($A$10:$A$89,$C693,$F$10:$F$89,"&lt;&gt;")=0,"brak danych",VLOOKUP($C693,$A$10:$J$89,6,FALSE)*$E693))))))</x:f>
      </x:c>
      <x:c r="H693" s="25" t="str">
        <x:f>IF($A693="","",IF(AND($C693="",$E693=""),"",IF($E693="","brak danych",IF($E693=0,0,IF(COUNTIFS($A$10:$A$89,$C693)&lt;&gt;1,"brak danych",IF(COUNTIFS($A$10:$A$89,$C693,$G$10:$G$89,"&lt;&gt;")=0,"brak danych",VLOOKUP($C693,$A$10:$J$89,7,FALSE)*$E693))))))</x:f>
      </x:c>
      <x:c r="I693" s="25" t="str">
        <x:f>IF($A693="","",IF(AND($C693="",$E693=""),"",IF($E693="","brak danych",IF($E693=0,0,IF(COUNTIFS($A$10:$A$89,$C693)&lt;&gt;1,"brak danych",IF(COUNTIFS($A$10:$A$89,$C693,$H$10:$H$89,"&lt;&gt;")=0,"brak danych",VLOOKUP($C693,$A$10:$J$89,8,FALSE)*$E693))))))</x:f>
      </x:c>
      <x:c r="J693" s="25" t="str">
        <x:f>IF($A693="","",IF(AND($C693="",$E693=""),"",IF($E693="","brak danych",IF($E693=0,0,IF(COUNTIFS($A$10:$A$89,$C693)&lt;&gt;1,"brak danych",IF(COUNTIFS($A$10:$A$89,$C693,$I$10:$I$89,"&lt;&gt;")=0,"brak danych",VLOOKUP($C693,$A$10:$J$89,9,FALSE)*$E693))))))</x:f>
      </x:c>
      <x:c r="K693" s="25" t="str">
        <x:f>IF($A693="","",IF(AND($C693="",$E693=""),"",IF($E693="","brak danych",IF($E693=0,0,IF(COUNTIFS($A$10:$A$89,$C693)&lt;&gt;1,"brak danych",IF(COUNTIFS($A$10:$A$89,$C693,$J$10:$J$89,"&lt;&gt;")=0,"brak danych",VLOOKUP($C693,$A$10:$J$89,10,FALSE)*$E693))))))</x:f>
      </x:c>
      <x:c r="L693" s="24" t="str">
        <x:f>IF($A693="","",IF($F693="","",IF($F693=0,0,IF(COUNTIFS($A$10:$A$89,$C693)&lt;&gt;1,"brak danych",IF(COUNTIFS($A$10:$A$89,$C693,$F$10:$F$89,"&lt;&gt;")=0,"brak danych",VLOOKUP($C693,$A$10:$J$89,6,FALSE)*$F693)))))</x:f>
      </x:c>
      <x:c r="M693" s="25" t="str">
        <x:f>IF($A693="","",IF($F693="","",IF($F693=0,0,IF(COUNTIFS($A$10:$A$89,$C693)&lt;&gt;1,"brak danych",IF(COUNTIFS($A$10:$A$89,$C693,$G$10:$G$89,"&lt;&gt;")=0,"brak danych",VLOOKUP($C693,$A$10:$J$89,7,FALSE)*$F693)))))</x:f>
      </x:c>
      <x:c r="N693" s="25" t="str">
        <x:f>IF($A693="","",IF($F693="","",IF($F693=0,0,IF(COUNTIFS($A$10:$A$89,$C693)&lt;&gt;1,"brak danych",IF(COUNTIFS($A$10:$A$89,$C693,$H$10:$H$89,"&lt;&gt;")=0,"brak danych",VLOOKUP($C693,$A$10:$J$89,8,FALSE)*$F693)))))</x:f>
      </x:c>
      <x:c r="O693" s="25" t="str">
        <x:f>IF($A693="","",IF($F693="","",IF($F693=0,0,IF(COUNTIFS($A$10:$A$89,$C693)&lt;&gt;1,"brak danych",IF(COUNTIFS($A$10:$A$89,$C693,$I$10:$I$89,"&lt;&gt;")=0,"brak danych",VLOOKUP($C693,$A$10:$J$89,9,FALSE)*$F693)))))</x:f>
      </x:c>
      <x:c r="P693" s="25" t="str">
        <x:f>IF($A693="","",IF($F693="","",IF($F693=0,0,IF(COUNTIFS($A$10:$A$89,$C693)&lt;&gt;1,"brak danych",IF(COUNTIFS($A$10:$A$89,$C693,$J$10:$J$89,"&lt;&gt;")=0,"brak danych",VLOOKUP($C693,$A$10:$J$89,10,FALSE)*$F693)))))</x:f>
      </x:c>
      <x:c r="Q693" s="18"/>
    </x:row>
    <x:row r="694" ht="25" customHeight="1">
      <x:c r="A694" s="6"/>
      <x:c r="B694" s="30"/>
      <x:c r="C694" s="5"/>
      <x:c r="D694" s="5"/>
      <x:c r="E694" s="32"/>
      <x:c r="F694" s="32"/>
      <x:c r="G694" s="24" t="str">
        <x:f>IF($A694="","",IF(AND($C694="",$E694=""),"",IF($E694="","brak danych",IF($E694=0,0,IF(COUNTIFS($A$10:$A$89,$C694)&lt;&gt;1,"brak danych",IF(COUNTIFS($A$10:$A$89,$C694,$F$10:$F$89,"&lt;&gt;")=0,"brak danych",VLOOKUP($C694,$A$10:$J$89,6,FALSE)*$E694))))))</x:f>
      </x:c>
      <x:c r="H694" s="25" t="str">
        <x:f>IF($A694="","",IF(AND($C694="",$E694=""),"",IF($E694="","brak danych",IF($E694=0,0,IF(COUNTIFS($A$10:$A$89,$C694)&lt;&gt;1,"brak danych",IF(COUNTIFS($A$10:$A$89,$C694,$G$10:$G$89,"&lt;&gt;")=0,"brak danych",VLOOKUP($C694,$A$10:$J$89,7,FALSE)*$E694))))))</x:f>
      </x:c>
      <x:c r="I694" s="25" t="str">
        <x:f>IF($A694="","",IF(AND($C694="",$E694=""),"",IF($E694="","brak danych",IF($E694=0,0,IF(COUNTIFS($A$10:$A$89,$C694)&lt;&gt;1,"brak danych",IF(COUNTIFS($A$10:$A$89,$C694,$H$10:$H$89,"&lt;&gt;")=0,"brak danych",VLOOKUP($C694,$A$10:$J$89,8,FALSE)*$E694))))))</x:f>
      </x:c>
      <x:c r="J694" s="25" t="str">
        <x:f>IF($A694="","",IF(AND($C694="",$E694=""),"",IF($E694="","brak danych",IF($E694=0,0,IF(COUNTIFS($A$10:$A$89,$C694)&lt;&gt;1,"brak danych",IF(COUNTIFS($A$10:$A$89,$C694,$I$10:$I$89,"&lt;&gt;")=0,"brak danych",VLOOKUP($C694,$A$10:$J$89,9,FALSE)*$E694))))))</x:f>
      </x:c>
      <x:c r="K694" s="25" t="str">
        <x:f>IF($A694="","",IF(AND($C694="",$E694=""),"",IF($E694="","brak danych",IF($E694=0,0,IF(COUNTIFS($A$10:$A$89,$C694)&lt;&gt;1,"brak danych",IF(COUNTIFS($A$10:$A$89,$C694,$J$10:$J$89,"&lt;&gt;")=0,"brak danych",VLOOKUP($C694,$A$10:$J$89,10,FALSE)*$E694))))))</x:f>
      </x:c>
      <x:c r="L694" s="24" t="str">
        <x:f>IF($A694="","",IF($F694="","",IF($F694=0,0,IF(COUNTIFS($A$10:$A$89,$C694)&lt;&gt;1,"brak danych",IF(COUNTIFS($A$10:$A$89,$C694,$F$10:$F$89,"&lt;&gt;")=0,"brak danych",VLOOKUP($C694,$A$10:$J$89,6,FALSE)*$F694)))))</x:f>
      </x:c>
      <x:c r="M694" s="25" t="str">
        <x:f>IF($A694="","",IF($F694="","",IF($F694=0,0,IF(COUNTIFS($A$10:$A$89,$C694)&lt;&gt;1,"brak danych",IF(COUNTIFS($A$10:$A$89,$C694,$G$10:$G$89,"&lt;&gt;")=0,"brak danych",VLOOKUP($C694,$A$10:$J$89,7,FALSE)*$F694)))))</x:f>
      </x:c>
      <x:c r="N694" s="25" t="str">
        <x:f>IF($A694="","",IF($F694="","",IF($F694=0,0,IF(COUNTIFS($A$10:$A$89,$C694)&lt;&gt;1,"brak danych",IF(COUNTIFS($A$10:$A$89,$C694,$H$10:$H$89,"&lt;&gt;")=0,"brak danych",VLOOKUP($C694,$A$10:$J$89,8,FALSE)*$F694)))))</x:f>
      </x:c>
      <x:c r="O694" s="25" t="str">
        <x:f>IF($A694="","",IF($F694="","",IF($F694=0,0,IF(COUNTIFS($A$10:$A$89,$C694)&lt;&gt;1,"brak danych",IF(COUNTIFS($A$10:$A$89,$C694,$I$10:$I$89,"&lt;&gt;")=0,"brak danych",VLOOKUP($C694,$A$10:$J$89,9,FALSE)*$F694)))))</x:f>
      </x:c>
      <x:c r="P694" s="25" t="str">
        <x:f>IF($A694="","",IF($F694="","",IF($F694=0,0,IF(COUNTIFS($A$10:$A$89,$C694)&lt;&gt;1,"brak danych",IF(COUNTIFS($A$10:$A$89,$C694,$J$10:$J$89,"&lt;&gt;")=0,"brak danych",VLOOKUP($C694,$A$10:$J$89,10,FALSE)*$F694)))))</x:f>
      </x:c>
      <x:c r="Q694" s="18"/>
    </x:row>
    <x:row r="695" ht="25" customHeight="1">
      <x:c r="A695" s="6"/>
      <x:c r="B695" s="30"/>
      <x:c r="C695" s="5"/>
      <x:c r="D695" s="5"/>
      <x:c r="E695" s="32"/>
      <x:c r="F695" s="32"/>
      <x:c r="G695" s="24" t="str">
        <x:f>IF($A695="","",IF(AND($C695="",$E695=""),"",IF($E695="","brak danych",IF($E695=0,0,IF(COUNTIFS($A$10:$A$89,$C695)&lt;&gt;1,"brak danych",IF(COUNTIFS($A$10:$A$89,$C695,$F$10:$F$89,"&lt;&gt;")=0,"brak danych",VLOOKUP($C695,$A$10:$J$89,6,FALSE)*$E695))))))</x:f>
      </x:c>
      <x:c r="H695" s="25" t="str">
        <x:f>IF($A695="","",IF(AND($C695="",$E695=""),"",IF($E695="","brak danych",IF($E695=0,0,IF(COUNTIFS($A$10:$A$89,$C695)&lt;&gt;1,"brak danych",IF(COUNTIFS($A$10:$A$89,$C695,$G$10:$G$89,"&lt;&gt;")=0,"brak danych",VLOOKUP($C695,$A$10:$J$89,7,FALSE)*$E695))))))</x:f>
      </x:c>
      <x:c r="I695" s="25" t="str">
        <x:f>IF($A695="","",IF(AND($C695="",$E695=""),"",IF($E695="","brak danych",IF($E695=0,0,IF(COUNTIFS($A$10:$A$89,$C695)&lt;&gt;1,"brak danych",IF(COUNTIFS($A$10:$A$89,$C695,$H$10:$H$89,"&lt;&gt;")=0,"brak danych",VLOOKUP($C695,$A$10:$J$89,8,FALSE)*$E695))))))</x:f>
      </x:c>
      <x:c r="J695" s="25" t="str">
        <x:f>IF($A695="","",IF(AND($C695="",$E695=""),"",IF($E695="","brak danych",IF($E695=0,0,IF(COUNTIFS($A$10:$A$89,$C695)&lt;&gt;1,"brak danych",IF(COUNTIFS($A$10:$A$89,$C695,$I$10:$I$89,"&lt;&gt;")=0,"brak danych",VLOOKUP($C695,$A$10:$J$89,9,FALSE)*$E695))))))</x:f>
      </x:c>
      <x:c r="K695" s="25" t="str">
        <x:f>IF($A695="","",IF(AND($C695="",$E695=""),"",IF($E695="","brak danych",IF($E695=0,0,IF(COUNTIFS($A$10:$A$89,$C695)&lt;&gt;1,"brak danych",IF(COUNTIFS($A$10:$A$89,$C695,$J$10:$J$89,"&lt;&gt;")=0,"brak danych",VLOOKUP($C695,$A$10:$J$89,10,FALSE)*$E695))))))</x:f>
      </x:c>
      <x:c r="L695" s="24" t="str">
        <x:f>IF($A695="","",IF($F695="","",IF($F695=0,0,IF(COUNTIFS($A$10:$A$89,$C695)&lt;&gt;1,"brak danych",IF(COUNTIFS($A$10:$A$89,$C695,$F$10:$F$89,"&lt;&gt;")=0,"brak danych",VLOOKUP($C695,$A$10:$J$89,6,FALSE)*$F695)))))</x:f>
      </x:c>
      <x:c r="M695" s="25" t="str">
        <x:f>IF($A695="","",IF($F695="","",IF($F695=0,0,IF(COUNTIFS($A$10:$A$89,$C695)&lt;&gt;1,"brak danych",IF(COUNTIFS($A$10:$A$89,$C695,$G$10:$G$89,"&lt;&gt;")=0,"brak danych",VLOOKUP($C695,$A$10:$J$89,7,FALSE)*$F695)))))</x:f>
      </x:c>
      <x:c r="N695" s="25" t="str">
        <x:f>IF($A695="","",IF($F695="","",IF($F695=0,0,IF(COUNTIFS($A$10:$A$89,$C695)&lt;&gt;1,"brak danych",IF(COUNTIFS($A$10:$A$89,$C695,$H$10:$H$89,"&lt;&gt;")=0,"brak danych",VLOOKUP($C695,$A$10:$J$89,8,FALSE)*$F695)))))</x:f>
      </x:c>
      <x:c r="O695" s="25" t="str">
        <x:f>IF($A695="","",IF($F695="","",IF($F695=0,0,IF(COUNTIFS($A$10:$A$89,$C695)&lt;&gt;1,"brak danych",IF(COUNTIFS($A$10:$A$89,$C695,$I$10:$I$89,"&lt;&gt;")=0,"brak danych",VLOOKUP($C695,$A$10:$J$89,9,FALSE)*$F695)))))</x:f>
      </x:c>
      <x:c r="P695" s="25" t="str">
        <x:f>IF($A695="","",IF($F695="","",IF($F695=0,0,IF(COUNTIFS($A$10:$A$89,$C695)&lt;&gt;1,"brak danych",IF(COUNTIFS($A$10:$A$89,$C695,$J$10:$J$89,"&lt;&gt;")=0,"brak danych",VLOOKUP($C695,$A$10:$J$89,10,FALSE)*$F695)))))</x:f>
      </x:c>
      <x:c r="Q695" s="18"/>
    </x:row>
    <x:row r="696" ht="25" customHeight="1">
      <x:c r="A696" s="6"/>
      <x:c r="B696" s="30"/>
      <x:c r="C696" s="5"/>
      <x:c r="D696" s="5"/>
      <x:c r="E696" s="32"/>
      <x:c r="F696" s="32"/>
      <x:c r="G696" s="24" t="str">
        <x:f>IF($A696="","",IF(AND($C696="",$E696=""),"",IF($E696="","brak danych",IF($E696=0,0,IF(COUNTIFS($A$10:$A$89,$C696)&lt;&gt;1,"brak danych",IF(COUNTIFS($A$10:$A$89,$C696,$F$10:$F$89,"&lt;&gt;")=0,"brak danych",VLOOKUP($C696,$A$10:$J$89,6,FALSE)*$E696))))))</x:f>
      </x:c>
      <x:c r="H696" s="25" t="str">
        <x:f>IF($A696="","",IF(AND($C696="",$E696=""),"",IF($E696="","brak danych",IF($E696=0,0,IF(COUNTIFS($A$10:$A$89,$C696)&lt;&gt;1,"brak danych",IF(COUNTIFS($A$10:$A$89,$C696,$G$10:$G$89,"&lt;&gt;")=0,"brak danych",VLOOKUP($C696,$A$10:$J$89,7,FALSE)*$E696))))))</x:f>
      </x:c>
      <x:c r="I696" s="25" t="str">
        <x:f>IF($A696="","",IF(AND($C696="",$E696=""),"",IF($E696="","brak danych",IF($E696=0,0,IF(COUNTIFS($A$10:$A$89,$C696)&lt;&gt;1,"brak danych",IF(COUNTIFS($A$10:$A$89,$C696,$H$10:$H$89,"&lt;&gt;")=0,"brak danych",VLOOKUP($C696,$A$10:$J$89,8,FALSE)*$E696))))))</x:f>
      </x:c>
      <x:c r="J696" s="25" t="str">
        <x:f>IF($A696="","",IF(AND($C696="",$E696=""),"",IF($E696="","brak danych",IF($E696=0,0,IF(COUNTIFS($A$10:$A$89,$C696)&lt;&gt;1,"brak danych",IF(COUNTIFS($A$10:$A$89,$C696,$I$10:$I$89,"&lt;&gt;")=0,"brak danych",VLOOKUP($C696,$A$10:$J$89,9,FALSE)*$E696))))))</x:f>
      </x:c>
      <x:c r="K696" s="25" t="str">
        <x:f>IF($A696="","",IF(AND($C696="",$E696=""),"",IF($E696="","brak danych",IF($E696=0,0,IF(COUNTIFS($A$10:$A$89,$C696)&lt;&gt;1,"brak danych",IF(COUNTIFS($A$10:$A$89,$C696,$J$10:$J$89,"&lt;&gt;")=0,"brak danych",VLOOKUP($C696,$A$10:$J$89,10,FALSE)*$E696))))))</x:f>
      </x:c>
      <x:c r="L696" s="24" t="str">
        <x:f>IF($A696="","",IF($F696="","",IF($F696=0,0,IF(COUNTIFS($A$10:$A$89,$C696)&lt;&gt;1,"brak danych",IF(COUNTIFS($A$10:$A$89,$C696,$F$10:$F$89,"&lt;&gt;")=0,"brak danych",VLOOKUP($C696,$A$10:$J$89,6,FALSE)*$F696)))))</x:f>
      </x:c>
      <x:c r="M696" s="25" t="str">
        <x:f>IF($A696="","",IF($F696="","",IF($F696=0,0,IF(COUNTIFS($A$10:$A$89,$C696)&lt;&gt;1,"brak danych",IF(COUNTIFS($A$10:$A$89,$C696,$G$10:$G$89,"&lt;&gt;")=0,"brak danych",VLOOKUP($C696,$A$10:$J$89,7,FALSE)*$F696)))))</x:f>
      </x:c>
      <x:c r="N696" s="25" t="str">
        <x:f>IF($A696="","",IF($F696="","",IF($F696=0,0,IF(COUNTIFS($A$10:$A$89,$C696)&lt;&gt;1,"brak danych",IF(COUNTIFS($A$10:$A$89,$C696,$H$10:$H$89,"&lt;&gt;")=0,"brak danych",VLOOKUP($C696,$A$10:$J$89,8,FALSE)*$F696)))))</x:f>
      </x:c>
      <x:c r="O696" s="25" t="str">
        <x:f>IF($A696="","",IF($F696="","",IF($F696=0,0,IF(COUNTIFS($A$10:$A$89,$C696)&lt;&gt;1,"brak danych",IF(COUNTIFS($A$10:$A$89,$C696,$I$10:$I$89,"&lt;&gt;")=0,"brak danych",VLOOKUP($C696,$A$10:$J$89,9,FALSE)*$F696)))))</x:f>
      </x:c>
      <x:c r="P696" s="25" t="str">
        <x:f>IF($A696="","",IF($F696="","",IF($F696=0,0,IF(COUNTIFS($A$10:$A$89,$C696)&lt;&gt;1,"brak danych",IF(COUNTIFS($A$10:$A$89,$C696,$J$10:$J$89,"&lt;&gt;")=0,"brak danych",VLOOKUP($C696,$A$10:$J$89,10,FALSE)*$F696)))))</x:f>
      </x:c>
      <x:c r="Q696" s="18"/>
    </x:row>
  </x:sheetData>
  <x:conditionalFormatting sqref="A10:A89">
    <x:cfRule type="expression" dxfId="1" priority="1">
      <x:formula>AND(A10&lt;&gt;"",COUNTIFS($A$10:$A$89,A10)&gt;1)</x:formula>
    </x:cfRule>
  </x:conditionalFormatting>
  <x:conditionalFormatting sqref="G97:P696">
    <x:cfRule type="containsText" dxfId="2" priority="2" operator="containsText" text="brak danych"/>
  </x:conditionalFormatting>
  <x:dataValidations count="3">
    <x:dataValidation type="list" sqref="B10:B89">
      <x:formula1>"NTFY,Własne,Produkt,Odżywka"</x:formula1>
    </x:dataValidation>
    <x:dataValidation type="list" sqref="C97:C696">
      <x:formula1>'Posiłki'!$A$10:$A$89</x:formula1>
    </x:dataValidation>
    <x:dataValidation type="list" sqref="D97:D696">
      <x:formula1>"Do wyboru,Zamówione,Domowe,Produkt"</x:formula1>
    </x:dataValidation>
  </x:dataValidations>
  <x:pageMargins left="0.7" right="0.7" top="0.75" bottom="0.75" header="0.3" footer="0.3"/>
</x:worksheet>
</file>